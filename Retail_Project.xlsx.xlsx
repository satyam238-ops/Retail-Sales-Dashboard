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5788295-66C0-4803-8221-99EF352C7905}" xr6:coauthVersionLast="36" xr6:coauthVersionMax="36" xr10:uidLastSave="{00000000-0000-0000-0000-000000000000}"/>
  <bookViews>
    <workbookView xWindow="0" yWindow="0" windowWidth="23040" windowHeight="8484" firstSheet="2" activeTab="8" xr2:uid="{76069F92-402E-4225-8B68-EFE8F381A82C}"/>
  </bookViews>
  <sheets>
    <sheet name="Orders" sheetId="2" r:id="rId1"/>
    <sheet name="Customers" sheetId="4" r:id="rId2"/>
    <sheet name="Products" sheetId="5" r:id="rId3"/>
    <sheet name="Returns" sheetId="7" r:id="rId4"/>
    <sheet name="Analysis" sheetId="8" r:id="rId5"/>
    <sheet name="Pivot_Region" sheetId="9" r:id="rId6"/>
    <sheet name="Pivot_Category" sheetId="11" r:id="rId7"/>
    <sheet name="Pivot_Monthly" sheetId="12" r:id="rId8"/>
    <sheet name="Pivot_Returns" sheetId="14" r:id="rId9"/>
  </sheets>
  <definedNames>
    <definedName name="ExternalData_1" localSheetId="4" hidden="1">Analysis!$A$1:$H$2001</definedName>
    <definedName name="ExternalData_1" localSheetId="1" hidden="1">Customers!$A$1:$D$201</definedName>
    <definedName name="ExternalData_1" localSheetId="0" hidden="1">Orders!$A$1:$H$2001</definedName>
    <definedName name="ExternalData_1" localSheetId="2" hidden="1">Products!$A$1:$D$101</definedName>
    <definedName name="ExternalData_1" localSheetId="3" hidden="1">Returns!$A$1:$B$2001</definedName>
  </definedNames>
  <calcPr calcId="191029"/>
  <pivotCaches>
    <pivotCache cacheId="10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8" l="1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32" i="8"/>
  <c r="M333" i="8"/>
  <c r="M334" i="8"/>
  <c r="M335" i="8"/>
  <c r="M336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60" i="8"/>
  <c r="M361" i="8"/>
  <c r="M362" i="8"/>
  <c r="M363" i="8"/>
  <c r="M364" i="8"/>
  <c r="M365" i="8"/>
  <c r="M366" i="8"/>
  <c r="M367" i="8"/>
  <c r="M368" i="8"/>
  <c r="M369" i="8"/>
  <c r="M370" i="8"/>
  <c r="M371" i="8"/>
  <c r="M372" i="8"/>
  <c r="M373" i="8"/>
  <c r="M374" i="8"/>
  <c r="M375" i="8"/>
  <c r="M376" i="8"/>
  <c r="M377" i="8"/>
  <c r="M378" i="8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92" i="8"/>
  <c r="M393" i="8"/>
  <c r="M394" i="8"/>
  <c r="M395" i="8"/>
  <c r="M396" i="8"/>
  <c r="M397" i="8"/>
  <c r="M398" i="8"/>
  <c r="M399" i="8"/>
  <c r="M400" i="8"/>
  <c r="M401" i="8"/>
  <c r="M402" i="8"/>
  <c r="M403" i="8"/>
  <c r="M404" i="8"/>
  <c r="M405" i="8"/>
  <c r="M406" i="8"/>
  <c r="M407" i="8"/>
  <c r="M408" i="8"/>
  <c r="M409" i="8"/>
  <c r="M410" i="8"/>
  <c r="M411" i="8"/>
  <c r="M412" i="8"/>
  <c r="M413" i="8"/>
  <c r="M414" i="8"/>
  <c r="M415" i="8"/>
  <c r="M416" i="8"/>
  <c r="M417" i="8"/>
  <c r="M418" i="8"/>
  <c r="M419" i="8"/>
  <c r="M420" i="8"/>
  <c r="M421" i="8"/>
  <c r="M422" i="8"/>
  <c r="M423" i="8"/>
  <c r="M424" i="8"/>
  <c r="M425" i="8"/>
  <c r="M426" i="8"/>
  <c r="M427" i="8"/>
  <c r="M428" i="8"/>
  <c r="M429" i="8"/>
  <c r="M430" i="8"/>
  <c r="M431" i="8"/>
  <c r="M432" i="8"/>
  <c r="M433" i="8"/>
  <c r="M434" i="8"/>
  <c r="M435" i="8"/>
  <c r="M436" i="8"/>
  <c r="M437" i="8"/>
  <c r="M438" i="8"/>
  <c r="M439" i="8"/>
  <c r="M440" i="8"/>
  <c r="M441" i="8"/>
  <c r="M442" i="8"/>
  <c r="M443" i="8"/>
  <c r="M444" i="8"/>
  <c r="M445" i="8"/>
  <c r="M446" i="8"/>
  <c r="M447" i="8"/>
  <c r="M448" i="8"/>
  <c r="M449" i="8"/>
  <c r="M450" i="8"/>
  <c r="M451" i="8"/>
  <c r="M452" i="8"/>
  <c r="M453" i="8"/>
  <c r="M454" i="8"/>
  <c r="M455" i="8"/>
  <c r="M456" i="8"/>
  <c r="M457" i="8"/>
  <c r="M458" i="8"/>
  <c r="M459" i="8"/>
  <c r="M460" i="8"/>
  <c r="M461" i="8"/>
  <c r="M462" i="8"/>
  <c r="M463" i="8"/>
  <c r="M464" i="8"/>
  <c r="M465" i="8"/>
  <c r="M466" i="8"/>
  <c r="M467" i="8"/>
  <c r="M468" i="8"/>
  <c r="M469" i="8"/>
  <c r="M470" i="8"/>
  <c r="M471" i="8"/>
  <c r="M472" i="8"/>
  <c r="M473" i="8"/>
  <c r="M474" i="8"/>
  <c r="M475" i="8"/>
  <c r="M476" i="8"/>
  <c r="M477" i="8"/>
  <c r="M478" i="8"/>
  <c r="M479" i="8"/>
  <c r="M480" i="8"/>
  <c r="M481" i="8"/>
  <c r="M482" i="8"/>
  <c r="M483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M639" i="8"/>
  <c r="M640" i="8"/>
  <c r="M641" i="8"/>
  <c r="M642" i="8"/>
  <c r="M643" i="8"/>
  <c r="M644" i="8"/>
  <c r="M645" i="8"/>
  <c r="M646" i="8"/>
  <c r="M647" i="8"/>
  <c r="M648" i="8"/>
  <c r="M649" i="8"/>
  <c r="M650" i="8"/>
  <c r="M651" i="8"/>
  <c r="M652" i="8"/>
  <c r="M653" i="8"/>
  <c r="M654" i="8"/>
  <c r="M655" i="8"/>
  <c r="M656" i="8"/>
  <c r="M657" i="8"/>
  <c r="M658" i="8"/>
  <c r="M659" i="8"/>
  <c r="M660" i="8"/>
  <c r="M661" i="8"/>
  <c r="M662" i="8"/>
  <c r="M663" i="8"/>
  <c r="M664" i="8"/>
  <c r="M665" i="8"/>
  <c r="M666" i="8"/>
  <c r="M667" i="8"/>
  <c r="M668" i="8"/>
  <c r="M669" i="8"/>
  <c r="M670" i="8"/>
  <c r="M671" i="8"/>
  <c r="M672" i="8"/>
  <c r="M673" i="8"/>
  <c r="M674" i="8"/>
  <c r="M675" i="8"/>
  <c r="M676" i="8"/>
  <c r="M677" i="8"/>
  <c r="M678" i="8"/>
  <c r="M679" i="8"/>
  <c r="M680" i="8"/>
  <c r="M681" i="8"/>
  <c r="M682" i="8"/>
  <c r="M683" i="8"/>
  <c r="M684" i="8"/>
  <c r="M685" i="8"/>
  <c r="M686" i="8"/>
  <c r="M687" i="8"/>
  <c r="M688" i="8"/>
  <c r="M689" i="8"/>
  <c r="M690" i="8"/>
  <c r="M691" i="8"/>
  <c r="M692" i="8"/>
  <c r="M693" i="8"/>
  <c r="M694" i="8"/>
  <c r="M695" i="8"/>
  <c r="M696" i="8"/>
  <c r="M697" i="8"/>
  <c r="M698" i="8"/>
  <c r="M699" i="8"/>
  <c r="M700" i="8"/>
  <c r="M701" i="8"/>
  <c r="M702" i="8"/>
  <c r="M703" i="8"/>
  <c r="M704" i="8"/>
  <c r="M705" i="8"/>
  <c r="M706" i="8"/>
  <c r="M707" i="8"/>
  <c r="M708" i="8"/>
  <c r="M709" i="8"/>
  <c r="M710" i="8"/>
  <c r="M711" i="8"/>
  <c r="M712" i="8"/>
  <c r="M713" i="8"/>
  <c r="M714" i="8"/>
  <c r="M715" i="8"/>
  <c r="M716" i="8"/>
  <c r="M717" i="8"/>
  <c r="M718" i="8"/>
  <c r="M719" i="8"/>
  <c r="M720" i="8"/>
  <c r="M721" i="8"/>
  <c r="M722" i="8"/>
  <c r="M723" i="8"/>
  <c r="M724" i="8"/>
  <c r="M725" i="8"/>
  <c r="M726" i="8"/>
  <c r="M727" i="8"/>
  <c r="M728" i="8"/>
  <c r="M729" i="8"/>
  <c r="M730" i="8"/>
  <c r="M731" i="8"/>
  <c r="M732" i="8"/>
  <c r="M733" i="8"/>
  <c r="M734" i="8"/>
  <c r="M735" i="8"/>
  <c r="M736" i="8"/>
  <c r="M737" i="8"/>
  <c r="M738" i="8"/>
  <c r="M739" i="8"/>
  <c r="M740" i="8"/>
  <c r="M741" i="8"/>
  <c r="M742" i="8"/>
  <c r="M743" i="8"/>
  <c r="M744" i="8"/>
  <c r="M745" i="8"/>
  <c r="M746" i="8"/>
  <c r="M747" i="8"/>
  <c r="M748" i="8"/>
  <c r="M749" i="8"/>
  <c r="M750" i="8"/>
  <c r="M751" i="8"/>
  <c r="M752" i="8"/>
  <c r="M753" i="8"/>
  <c r="M754" i="8"/>
  <c r="M755" i="8"/>
  <c r="M756" i="8"/>
  <c r="M757" i="8"/>
  <c r="M758" i="8"/>
  <c r="M759" i="8"/>
  <c r="M760" i="8"/>
  <c r="M761" i="8"/>
  <c r="M762" i="8"/>
  <c r="M763" i="8"/>
  <c r="M764" i="8"/>
  <c r="M765" i="8"/>
  <c r="M766" i="8"/>
  <c r="M767" i="8"/>
  <c r="M768" i="8"/>
  <c r="M769" i="8"/>
  <c r="M770" i="8"/>
  <c r="M771" i="8"/>
  <c r="M772" i="8"/>
  <c r="M773" i="8"/>
  <c r="M774" i="8"/>
  <c r="M775" i="8"/>
  <c r="M776" i="8"/>
  <c r="M777" i="8"/>
  <c r="M778" i="8"/>
  <c r="M779" i="8"/>
  <c r="M780" i="8"/>
  <c r="M781" i="8"/>
  <c r="M782" i="8"/>
  <c r="M783" i="8"/>
  <c r="M784" i="8"/>
  <c r="M785" i="8"/>
  <c r="M786" i="8"/>
  <c r="M787" i="8"/>
  <c r="M788" i="8"/>
  <c r="M789" i="8"/>
  <c r="M790" i="8"/>
  <c r="M791" i="8"/>
  <c r="M792" i="8"/>
  <c r="M793" i="8"/>
  <c r="M794" i="8"/>
  <c r="M795" i="8"/>
  <c r="M796" i="8"/>
  <c r="M797" i="8"/>
  <c r="M798" i="8"/>
  <c r="M799" i="8"/>
  <c r="M800" i="8"/>
  <c r="M801" i="8"/>
  <c r="M802" i="8"/>
  <c r="M803" i="8"/>
  <c r="M804" i="8"/>
  <c r="M805" i="8"/>
  <c r="M806" i="8"/>
  <c r="M807" i="8"/>
  <c r="M808" i="8"/>
  <c r="M809" i="8"/>
  <c r="M810" i="8"/>
  <c r="M811" i="8"/>
  <c r="M812" i="8"/>
  <c r="M813" i="8"/>
  <c r="M814" i="8"/>
  <c r="M815" i="8"/>
  <c r="M816" i="8"/>
  <c r="M817" i="8"/>
  <c r="M818" i="8"/>
  <c r="M819" i="8"/>
  <c r="M820" i="8"/>
  <c r="M821" i="8"/>
  <c r="M822" i="8"/>
  <c r="M823" i="8"/>
  <c r="M824" i="8"/>
  <c r="M825" i="8"/>
  <c r="M826" i="8"/>
  <c r="M827" i="8"/>
  <c r="M828" i="8"/>
  <c r="M829" i="8"/>
  <c r="M830" i="8"/>
  <c r="M831" i="8"/>
  <c r="M832" i="8"/>
  <c r="M833" i="8"/>
  <c r="M834" i="8"/>
  <c r="M835" i="8"/>
  <c r="M836" i="8"/>
  <c r="M837" i="8"/>
  <c r="M838" i="8"/>
  <c r="M839" i="8"/>
  <c r="M840" i="8"/>
  <c r="M841" i="8"/>
  <c r="M842" i="8"/>
  <c r="M843" i="8"/>
  <c r="M844" i="8"/>
  <c r="M845" i="8"/>
  <c r="M846" i="8"/>
  <c r="M847" i="8"/>
  <c r="M848" i="8"/>
  <c r="M849" i="8"/>
  <c r="M850" i="8"/>
  <c r="M851" i="8"/>
  <c r="M852" i="8"/>
  <c r="M853" i="8"/>
  <c r="M854" i="8"/>
  <c r="M855" i="8"/>
  <c r="M856" i="8"/>
  <c r="M857" i="8"/>
  <c r="M858" i="8"/>
  <c r="M859" i="8"/>
  <c r="M860" i="8"/>
  <c r="M861" i="8"/>
  <c r="M862" i="8"/>
  <c r="M863" i="8"/>
  <c r="M864" i="8"/>
  <c r="M865" i="8"/>
  <c r="M866" i="8"/>
  <c r="M867" i="8"/>
  <c r="M868" i="8"/>
  <c r="M869" i="8"/>
  <c r="M870" i="8"/>
  <c r="M871" i="8"/>
  <c r="M872" i="8"/>
  <c r="M873" i="8"/>
  <c r="M874" i="8"/>
  <c r="M875" i="8"/>
  <c r="M876" i="8"/>
  <c r="M877" i="8"/>
  <c r="M878" i="8"/>
  <c r="M879" i="8"/>
  <c r="M880" i="8"/>
  <c r="M881" i="8"/>
  <c r="M882" i="8"/>
  <c r="M883" i="8"/>
  <c r="M884" i="8"/>
  <c r="M885" i="8"/>
  <c r="M886" i="8"/>
  <c r="M887" i="8"/>
  <c r="M888" i="8"/>
  <c r="M889" i="8"/>
  <c r="M890" i="8"/>
  <c r="M891" i="8"/>
  <c r="M892" i="8"/>
  <c r="M893" i="8"/>
  <c r="M894" i="8"/>
  <c r="M895" i="8"/>
  <c r="M896" i="8"/>
  <c r="M897" i="8"/>
  <c r="M898" i="8"/>
  <c r="M899" i="8"/>
  <c r="M900" i="8"/>
  <c r="M901" i="8"/>
  <c r="M902" i="8"/>
  <c r="M903" i="8"/>
  <c r="M904" i="8"/>
  <c r="M905" i="8"/>
  <c r="M906" i="8"/>
  <c r="M907" i="8"/>
  <c r="M908" i="8"/>
  <c r="M909" i="8"/>
  <c r="M910" i="8"/>
  <c r="M911" i="8"/>
  <c r="M912" i="8"/>
  <c r="M913" i="8"/>
  <c r="M914" i="8"/>
  <c r="M915" i="8"/>
  <c r="M916" i="8"/>
  <c r="M917" i="8"/>
  <c r="M918" i="8"/>
  <c r="M919" i="8"/>
  <c r="M920" i="8"/>
  <c r="M921" i="8"/>
  <c r="M922" i="8"/>
  <c r="M923" i="8"/>
  <c r="M924" i="8"/>
  <c r="M925" i="8"/>
  <c r="M926" i="8"/>
  <c r="M927" i="8"/>
  <c r="M928" i="8"/>
  <c r="M929" i="8"/>
  <c r="M930" i="8"/>
  <c r="M931" i="8"/>
  <c r="M932" i="8"/>
  <c r="M933" i="8"/>
  <c r="M934" i="8"/>
  <c r="M935" i="8"/>
  <c r="M936" i="8"/>
  <c r="M937" i="8"/>
  <c r="M938" i="8"/>
  <c r="M939" i="8"/>
  <c r="M940" i="8"/>
  <c r="M941" i="8"/>
  <c r="M942" i="8"/>
  <c r="M943" i="8"/>
  <c r="M944" i="8"/>
  <c r="M945" i="8"/>
  <c r="M946" i="8"/>
  <c r="M947" i="8"/>
  <c r="M948" i="8"/>
  <c r="M949" i="8"/>
  <c r="M950" i="8"/>
  <c r="M951" i="8"/>
  <c r="M952" i="8"/>
  <c r="M953" i="8"/>
  <c r="M954" i="8"/>
  <c r="M955" i="8"/>
  <c r="M956" i="8"/>
  <c r="M957" i="8"/>
  <c r="M958" i="8"/>
  <c r="M959" i="8"/>
  <c r="M960" i="8"/>
  <c r="M961" i="8"/>
  <c r="M962" i="8"/>
  <c r="M963" i="8"/>
  <c r="M964" i="8"/>
  <c r="M965" i="8"/>
  <c r="M966" i="8"/>
  <c r="M967" i="8"/>
  <c r="M968" i="8"/>
  <c r="M969" i="8"/>
  <c r="M970" i="8"/>
  <c r="M971" i="8"/>
  <c r="M972" i="8"/>
  <c r="M973" i="8"/>
  <c r="M974" i="8"/>
  <c r="M975" i="8"/>
  <c r="M976" i="8"/>
  <c r="M977" i="8"/>
  <c r="M978" i="8"/>
  <c r="M979" i="8"/>
  <c r="M980" i="8"/>
  <c r="M981" i="8"/>
  <c r="M982" i="8"/>
  <c r="M983" i="8"/>
  <c r="M984" i="8"/>
  <c r="M985" i="8"/>
  <c r="M986" i="8"/>
  <c r="M987" i="8"/>
  <c r="M988" i="8"/>
  <c r="M989" i="8"/>
  <c r="M990" i="8"/>
  <c r="M991" i="8"/>
  <c r="M992" i="8"/>
  <c r="M993" i="8"/>
  <c r="M994" i="8"/>
  <c r="M995" i="8"/>
  <c r="M996" i="8"/>
  <c r="M997" i="8"/>
  <c r="M998" i="8"/>
  <c r="M999" i="8"/>
  <c r="M1000" i="8"/>
  <c r="M1001" i="8"/>
  <c r="M1002" i="8"/>
  <c r="M1003" i="8"/>
  <c r="M1004" i="8"/>
  <c r="M1005" i="8"/>
  <c r="M1006" i="8"/>
  <c r="M1007" i="8"/>
  <c r="M1008" i="8"/>
  <c r="M1009" i="8"/>
  <c r="M1010" i="8"/>
  <c r="M1011" i="8"/>
  <c r="M1012" i="8"/>
  <c r="M1013" i="8"/>
  <c r="M1014" i="8"/>
  <c r="M1015" i="8"/>
  <c r="M1016" i="8"/>
  <c r="M1017" i="8"/>
  <c r="M1018" i="8"/>
  <c r="M1019" i="8"/>
  <c r="M1020" i="8"/>
  <c r="M1021" i="8"/>
  <c r="M1022" i="8"/>
  <c r="M1023" i="8"/>
  <c r="M1024" i="8"/>
  <c r="M1025" i="8"/>
  <c r="M1026" i="8"/>
  <c r="M1027" i="8"/>
  <c r="M1028" i="8"/>
  <c r="M1029" i="8"/>
  <c r="M1030" i="8"/>
  <c r="M1031" i="8"/>
  <c r="M1032" i="8"/>
  <c r="M1033" i="8"/>
  <c r="M1034" i="8"/>
  <c r="M1035" i="8"/>
  <c r="M1036" i="8"/>
  <c r="M1037" i="8"/>
  <c r="M1038" i="8"/>
  <c r="M1039" i="8"/>
  <c r="M1040" i="8"/>
  <c r="M1041" i="8"/>
  <c r="M1042" i="8"/>
  <c r="M1043" i="8"/>
  <c r="M1044" i="8"/>
  <c r="M1045" i="8"/>
  <c r="M1046" i="8"/>
  <c r="M1047" i="8"/>
  <c r="M1048" i="8"/>
  <c r="M1049" i="8"/>
  <c r="M1050" i="8"/>
  <c r="M1051" i="8"/>
  <c r="M1052" i="8"/>
  <c r="M1053" i="8"/>
  <c r="M1054" i="8"/>
  <c r="M1055" i="8"/>
  <c r="M1056" i="8"/>
  <c r="M1057" i="8"/>
  <c r="M1058" i="8"/>
  <c r="M1059" i="8"/>
  <c r="M1060" i="8"/>
  <c r="M1061" i="8"/>
  <c r="M1062" i="8"/>
  <c r="M1063" i="8"/>
  <c r="M1064" i="8"/>
  <c r="M1065" i="8"/>
  <c r="M1066" i="8"/>
  <c r="M1067" i="8"/>
  <c r="M1068" i="8"/>
  <c r="M1069" i="8"/>
  <c r="M1070" i="8"/>
  <c r="M1071" i="8"/>
  <c r="M1072" i="8"/>
  <c r="M1073" i="8"/>
  <c r="M1074" i="8"/>
  <c r="M1075" i="8"/>
  <c r="M1076" i="8"/>
  <c r="M1077" i="8"/>
  <c r="M1078" i="8"/>
  <c r="M1079" i="8"/>
  <c r="M1080" i="8"/>
  <c r="M1081" i="8"/>
  <c r="M1082" i="8"/>
  <c r="M1083" i="8"/>
  <c r="M1084" i="8"/>
  <c r="M1085" i="8"/>
  <c r="M1086" i="8"/>
  <c r="M1087" i="8"/>
  <c r="M1088" i="8"/>
  <c r="M1089" i="8"/>
  <c r="M1090" i="8"/>
  <c r="M1091" i="8"/>
  <c r="M1092" i="8"/>
  <c r="M1093" i="8"/>
  <c r="M1094" i="8"/>
  <c r="M1095" i="8"/>
  <c r="M1096" i="8"/>
  <c r="M1097" i="8"/>
  <c r="M1098" i="8"/>
  <c r="M1099" i="8"/>
  <c r="M1100" i="8"/>
  <c r="M1101" i="8"/>
  <c r="M1102" i="8"/>
  <c r="M1103" i="8"/>
  <c r="M1104" i="8"/>
  <c r="M1105" i="8"/>
  <c r="M1106" i="8"/>
  <c r="M1107" i="8"/>
  <c r="M1108" i="8"/>
  <c r="M1109" i="8"/>
  <c r="M1110" i="8"/>
  <c r="M1111" i="8"/>
  <c r="M1112" i="8"/>
  <c r="M1113" i="8"/>
  <c r="M1114" i="8"/>
  <c r="M1115" i="8"/>
  <c r="M1116" i="8"/>
  <c r="M1117" i="8"/>
  <c r="M1118" i="8"/>
  <c r="M1119" i="8"/>
  <c r="M1120" i="8"/>
  <c r="M1121" i="8"/>
  <c r="M1122" i="8"/>
  <c r="M1123" i="8"/>
  <c r="M1124" i="8"/>
  <c r="M1125" i="8"/>
  <c r="M1126" i="8"/>
  <c r="M1127" i="8"/>
  <c r="M1128" i="8"/>
  <c r="M1129" i="8"/>
  <c r="M1130" i="8"/>
  <c r="M1131" i="8"/>
  <c r="M1132" i="8"/>
  <c r="M1133" i="8"/>
  <c r="M1134" i="8"/>
  <c r="M1135" i="8"/>
  <c r="M1136" i="8"/>
  <c r="M1137" i="8"/>
  <c r="M1138" i="8"/>
  <c r="M1139" i="8"/>
  <c r="M1140" i="8"/>
  <c r="M1141" i="8"/>
  <c r="M1142" i="8"/>
  <c r="M1143" i="8"/>
  <c r="M1144" i="8"/>
  <c r="M1145" i="8"/>
  <c r="M1146" i="8"/>
  <c r="M1147" i="8"/>
  <c r="M1148" i="8"/>
  <c r="M1149" i="8"/>
  <c r="M1150" i="8"/>
  <c r="M1151" i="8"/>
  <c r="M1152" i="8"/>
  <c r="M1153" i="8"/>
  <c r="M1154" i="8"/>
  <c r="M1155" i="8"/>
  <c r="M1156" i="8"/>
  <c r="M1157" i="8"/>
  <c r="M1158" i="8"/>
  <c r="M1159" i="8"/>
  <c r="M1160" i="8"/>
  <c r="M1161" i="8"/>
  <c r="M1162" i="8"/>
  <c r="M1163" i="8"/>
  <c r="M1164" i="8"/>
  <c r="M1165" i="8"/>
  <c r="M1166" i="8"/>
  <c r="M1167" i="8"/>
  <c r="M1168" i="8"/>
  <c r="M1169" i="8"/>
  <c r="M1170" i="8"/>
  <c r="M1171" i="8"/>
  <c r="M1172" i="8"/>
  <c r="M1173" i="8"/>
  <c r="M1174" i="8"/>
  <c r="M1175" i="8"/>
  <c r="M1176" i="8"/>
  <c r="M1177" i="8"/>
  <c r="M1178" i="8"/>
  <c r="M1179" i="8"/>
  <c r="M1180" i="8"/>
  <c r="M1181" i="8"/>
  <c r="M1182" i="8"/>
  <c r="M1183" i="8"/>
  <c r="M1184" i="8"/>
  <c r="M1185" i="8"/>
  <c r="M1186" i="8"/>
  <c r="M1187" i="8"/>
  <c r="M1188" i="8"/>
  <c r="M1189" i="8"/>
  <c r="M1190" i="8"/>
  <c r="M1191" i="8"/>
  <c r="M1192" i="8"/>
  <c r="M1193" i="8"/>
  <c r="M1194" i="8"/>
  <c r="M1195" i="8"/>
  <c r="M1196" i="8"/>
  <c r="M1197" i="8"/>
  <c r="M1198" i="8"/>
  <c r="M1199" i="8"/>
  <c r="M1200" i="8"/>
  <c r="M1201" i="8"/>
  <c r="M1202" i="8"/>
  <c r="M1203" i="8"/>
  <c r="M1204" i="8"/>
  <c r="M1205" i="8"/>
  <c r="M1206" i="8"/>
  <c r="M1207" i="8"/>
  <c r="M1208" i="8"/>
  <c r="M1209" i="8"/>
  <c r="M1210" i="8"/>
  <c r="M1211" i="8"/>
  <c r="M1212" i="8"/>
  <c r="M1213" i="8"/>
  <c r="M1214" i="8"/>
  <c r="M1215" i="8"/>
  <c r="M1216" i="8"/>
  <c r="M1217" i="8"/>
  <c r="M1218" i="8"/>
  <c r="M1219" i="8"/>
  <c r="M1220" i="8"/>
  <c r="M1221" i="8"/>
  <c r="M1222" i="8"/>
  <c r="M1223" i="8"/>
  <c r="M1224" i="8"/>
  <c r="M1225" i="8"/>
  <c r="M1226" i="8"/>
  <c r="M1227" i="8"/>
  <c r="M1228" i="8"/>
  <c r="M1229" i="8"/>
  <c r="M1230" i="8"/>
  <c r="M1231" i="8"/>
  <c r="M1232" i="8"/>
  <c r="M1233" i="8"/>
  <c r="M1234" i="8"/>
  <c r="M1235" i="8"/>
  <c r="M1236" i="8"/>
  <c r="M1237" i="8"/>
  <c r="M1238" i="8"/>
  <c r="M1239" i="8"/>
  <c r="M1240" i="8"/>
  <c r="M1241" i="8"/>
  <c r="M1242" i="8"/>
  <c r="M1243" i="8"/>
  <c r="M1244" i="8"/>
  <c r="M1245" i="8"/>
  <c r="M1246" i="8"/>
  <c r="M1247" i="8"/>
  <c r="M1248" i="8"/>
  <c r="M1249" i="8"/>
  <c r="M1250" i="8"/>
  <c r="M1251" i="8"/>
  <c r="M1252" i="8"/>
  <c r="M1253" i="8"/>
  <c r="M1254" i="8"/>
  <c r="M1255" i="8"/>
  <c r="M1256" i="8"/>
  <c r="M1257" i="8"/>
  <c r="M1258" i="8"/>
  <c r="M1259" i="8"/>
  <c r="M1260" i="8"/>
  <c r="M1261" i="8"/>
  <c r="M1262" i="8"/>
  <c r="M1263" i="8"/>
  <c r="M1264" i="8"/>
  <c r="M1265" i="8"/>
  <c r="M1266" i="8"/>
  <c r="M1267" i="8"/>
  <c r="M1268" i="8"/>
  <c r="M1269" i="8"/>
  <c r="M1270" i="8"/>
  <c r="M1271" i="8"/>
  <c r="M1272" i="8"/>
  <c r="M1273" i="8"/>
  <c r="M1274" i="8"/>
  <c r="M1275" i="8"/>
  <c r="M1276" i="8"/>
  <c r="M1277" i="8"/>
  <c r="M1278" i="8"/>
  <c r="M1279" i="8"/>
  <c r="M1280" i="8"/>
  <c r="M1281" i="8"/>
  <c r="M1282" i="8"/>
  <c r="M1283" i="8"/>
  <c r="M1284" i="8"/>
  <c r="M1285" i="8"/>
  <c r="M1286" i="8"/>
  <c r="M1287" i="8"/>
  <c r="M1288" i="8"/>
  <c r="M1289" i="8"/>
  <c r="M1290" i="8"/>
  <c r="M1291" i="8"/>
  <c r="M1292" i="8"/>
  <c r="M1293" i="8"/>
  <c r="M1294" i="8"/>
  <c r="M1295" i="8"/>
  <c r="M1296" i="8"/>
  <c r="M1297" i="8"/>
  <c r="M1298" i="8"/>
  <c r="M1299" i="8"/>
  <c r="M1300" i="8"/>
  <c r="M1301" i="8"/>
  <c r="M1302" i="8"/>
  <c r="M1303" i="8"/>
  <c r="M1304" i="8"/>
  <c r="M1305" i="8"/>
  <c r="M1306" i="8"/>
  <c r="M1307" i="8"/>
  <c r="M1308" i="8"/>
  <c r="M1309" i="8"/>
  <c r="M1310" i="8"/>
  <c r="M1311" i="8"/>
  <c r="M1312" i="8"/>
  <c r="M1313" i="8"/>
  <c r="M1314" i="8"/>
  <c r="M1315" i="8"/>
  <c r="M1316" i="8"/>
  <c r="M1317" i="8"/>
  <c r="M1318" i="8"/>
  <c r="M1319" i="8"/>
  <c r="M1320" i="8"/>
  <c r="M1321" i="8"/>
  <c r="M1322" i="8"/>
  <c r="M1323" i="8"/>
  <c r="M1324" i="8"/>
  <c r="M1325" i="8"/>
  <c r="M1326" i="8"/>
  <c r="M1327" i="8"/>
  <c r="M1328" i="8"/>
  <c r="M1329" i="8"/>
  <c r="M1330" i="8"/>
  <c r="M1331" i="8"/>
  <c r="M1332" i="8"/>
  <c r="M1333" i="8"/>
  <c r="M1334" i="8"/>
  <c r="M1335" i="8"/>
  <c r="M1336" i="8"/>
  <c r="M1337" i="8"/>
  <c r="M1338" i="8"/>
  <c r="M1339" i="8"/>
  <c r="M1340" i="8"/>
  <c r="M1341" i="8"/>
  <c r="M1342" i="8"/>
  <c r="M1343" i="8"/>
  <c r="M1344" i="8"/>
  <c r="M1345" i="8"/>
  <c r="M1346" i="8"/>
  <c r="M1347" i="8"/>
  <c r="M1348" i="8"/>
  <c r="M1349" i="8"/>
  <c r="M1350" i="8"/>
  <c r="M1351" i="8"/>
  <c r="M1352" i="8"/>
  <c r="M1353" i="8"/>
  <c r="M1354" i="8"/>
  <c r="M1355" i="8"/>
  <c r="M1356" i="8"/>
  <c r="M1357" i="8"/>
  <c r="M1358" i="8"/>
  <c r="M1359" i="8"/>
  <c r="M1360" i="8"/>
  <c r="M1361" i="8"/>
  <c r="M1362" i="8"/>
  <c r="M1363" i="8"/>
  <c r="M1364" i="8"/>
  <c r="M1365" i="8"/>
  <c r="M1366" i="8"/>
  <c r="M1367" i="8"/>
  <c r="M1368" i="8"/>
  <c r="M1369" i="8"/>
  <c r="M1370" i="8"/>
  <c r="M1371" i="8"/>
  <c r="M1372" i="8"/>
  <c r="M1373" i="8"/>
  <c r="M1374" i="8"/>
  <c r="M1375" i="8"/>
  <c r="M1376" i="8"/>
  <c r="M1377" i="8"/>
  <c r="M1378" i="8"/>
  <c r="M1379" i="8"/>
  <c r="M1380" i="8"/>
  <c r="M1381" i="8"/>
  <c r="M1382" i="8"/>
  <c r="M1383" i="8"/>
  <c r="M1384" i="8"/>
  <c r="M1385" i="8"/>
  <c r="M1386" i="8"/>
  <c r="M1387" i="8"/>
  <c r="M1388" i="8"/>
  <c r="M1389" i="8"/>
  <c r="M1390" i="8"/>
  <c r="M1391" i="8"/>
  <c r="M1392" i="8"/>
  <c r="M1393" i="8"/>
  <c r="M1394" i="8"/>
  <c r="M1395" i="8"/>
  <c r="M1396" i="8"/>
  <c r="M1397" i="8"/>
  <c r="M1398" i="8"/>
  <c r="M1399" i="8"/>
  <c r="M1400" i="8"/>
  <c r="M1401" i="8"/>
  <c r="M1402" i="8"/>
  <c r="M1403" i="8"/>
  <c r="M1404" i="8"/>
  <c r="M1405" i="8"/>
  <c r="M1406" i="8"/>
  <c r="M1407" i="8"/>
  <c r="M1408" i="8"/>
  <c r="M1409" i="8"/>
  <c r="M1410" i="8"/>
  <c r="M1411" i="8"/>
  <c r="M1412" i="8"/>
  <c r="M1413" i="8"/>
  <c r="M1414" i="8"/>
  <c r="M1415" i="8"/>
  <c r="M1416" i="8"/>
  <c r="M1417" i="8"/>
  <c r="M1418" i="8"/>
  <c r="M1419" i="8"/>
  <c r="M1420" i="8"/>
  <c r="M1421" i="8"/>
  <c r="M1422" i="8"/>
  <c r="M1423" i="8"/>
  <c r="M1424" i="8"/>
  <c r="M1425" i="8"/>
  <c r="M1426" i="8"/>
  <c r="M1427" i="8"/>
  <c r="M1428" i="8"/>
  <c r="M1429" i="8"/>
  <c r="M1430" i="8"/>
  <c r="M1431" i="8"/>
  <c r="M1432" i="8"/>
  <c r="M1433" i="8"/>
  <c r="M1434" i="8"/>
  <c r="M1435" i="8"/>
  <c r="M1436" i="8"/>
  <c r="M1437" i="8"/>
  <c r="M1438" i="8"/>
  <c r="M1439" i="8"/>
  <c r="M1440" i="8"/>
  <c r="M1441" i="8"/>
  <c r="M1442" i="8"/>
  <c r="M1443" i="8"/>
  <c r="M1444" i="8"/>
  <c r="M1445" i="8"/>
  <c r="M1446" i="8"/>
  <c r="M1447" i="8"/>
  <c r="M1448" i="8"/>
  <c r="M1449" i="8"/>
  <c r="M1450" i="8"/>
  <c r="M1451" i="8"/>
  <c r="M1452" i="8"/>
  <c r="M1453" i="8"/>
  <c r="M1454" i="8"/>
  <c r="M1455" i="8"/>
  <c r="M1456" i="8"/>
  <c r="M1457" i="8"/>
  <c r="M1458" i="8"/>
  <c r="M1459" i="8"/>
  <c r="M1460" i="8"/>
  <c r="M1461" i="8"/>
  <c r="M1462" i="8"/>
  <c r="M1463" i="8"/>
  <c r="M1464" i="8"/>
  <c r="M1465" i="8"/>
  <c r="M1466" i="8"/>
  <c r="M1467" i="8"/>
  <c r="M1468" i="8"/>
  <c r="M1469" i="8"/>
  <c r="M1470" i="8"/>
  <c r="M1471" i="8"/>
  <c r="M1472" i="8"/>
  <c r="M1473" i="8"/>
  <c r="M1474" i="8"/>
  <c r="M1475" i="8"/>
  <c r="M1476" i="8"/>
  <c r="M1477" i="8"/>
  <c r="M1478" i="8"/>
  <c r="M1479" i="8"/>
  <c r="M1480" i="8"/>
  <c r="M1481" i="8"/>
  <c r="M1482" i="8"/>
  <c r="M1483" i="8"/>
  <c r="M1484" i="8"/>
  <c r="M1485" i="8"/>
  <c r="M1486" i="8"/>
  <c r="M1487" i="8"/>
  <c r="M1488" i="8"/>
  <c r="M1489" i="8"/>
  <c r="M1490" i="8"/>
  <c r="M1491" i="8"/>
  <c r="M1492" i="8"/>
  <c r="M1493" i="8"/>
  <c r="M1494" i="8"/>
  <c r="M1495" i="8"/>
  <c r="M1496" i="8"/>
  <c r="M1497" i="8"/>
  <c r="M1498" i="8"/>
  <c r="M1499" i="8"/>
  <c r="M1500" i="8"/>
  <c r="M1501" i="8"/>
  <c r="M1502" i="8"/>
  <c r="M1503" i="8"/>
  <c r="M1504" i="8"/>
  <c r="M1505" i="8"/>
  <c r="M1506" i="8"/>
  <c r="M1507" i="8"/>
  <c r="M1508" i="8"/>
  <c r="M1509" i="8"/>
  <c r="M1510" i="8"/>
  <c r="M1511" i="8"/>
  <c r="M1512" i="8"/>
  <c r="M1513" i="8"/>
  <c r="M1514" i="8"/>
  <c r="M1515" i="8"/>
  <c r="M1516" i="8"/>
  <c r="M1517" i="8"/>
  <c r="M1518" i="8"/>
  <c r="M1519" i="8"/>
  <c r="M1520" i="8"/>
  <c r="M1521" i="8"/>
  <c r="M1522" i="8"/>
  <c r="M1523" i="8"/>
  <c r="M1524" i="8"/>
  <c r="M1525" i="8"/>
  <c r="M1526" i="8"/>
  <c r="M1527" i="8"/>
  <c r="M1528" i="8"/>
  <c r="M1529" i="8"/>
  <c r="M1530" i="8"/>
  <c r="M1531" i="8"/>
  <c r="M1532" i="8"/>
  <c r="M1533" i="8"/>
  <c r="M1534" i="8"/>
  <c r="M1535" i="8"/>
  <c r="M1536" i="8"/>
  <c r="M1537" i="8"/>
  <c r="M1538" i="8"/>
  <c r="M1539" i="8"/>
  <c r="M1540" i="8"/>
  <c r="M1541" i="8"/>
  <c r="M1542" i="8"/>
  <c r="M1543" i="8"/>
  <c r="M1544" i="8"/>
  <c r="M1545" i="8"/>
  <c r="M1546" i="8"/>
  <c r="M1547" i="8"/>
  <c r="M1548" i="8"/>
  <c r="M1549" i="8"/>
  <c r="M1550" i="8"/>
  <c r="M1551" i="8"/>
  <c r="M1552" i="8"/>
  <c r="M1553" i="8"/>
  <c r="M1554" i="8"/>
  <c r="M1555" i="8"/>
  <c r="M1556" i="8"/>
  <c r="M1557" i="8"/>
  <c r="M1558" i="8"/>
  <c r="M1559" i="8"/>
  <c r="M1560" i="8"/>
  <c r="M1561" i="8"/>
  <c r="M1562" i="8"/>
  <c r="M1563" i="8"/>
  <c r="M1564" i="8"/>
  <c r="M1565" i="8"/>
  <c r="M1566" i="8"/>
  <c r="M1567" i="8"/>
  <c r="M1568" i="8"/>
  <c r="M1569" i="8"/>
  <c r="M1570" i="8"/>
  <c r="M1571" i="8"/>
  <c r="M1572" i="8"/>
  <c r="M1573" i="8"/>
  <c r="M1574" i="8"/>
  <c r="M1575" i="8"/>
  <c r="M1576" i="8"/>
  <c r="M1577" i="8"/>
  <c r="M1578" i="8"/>
  <c r="M1579" i="8"/>
  <c r="M1580" i="8"/>
  <c r="M1581" i="8"/>
  <c r="M1582" i="8"/>
  <c r="M1583" i="8"/>
  <c r="M1584" i="8"/>
  <c r="M1585" i="8"/>
  <c r="M1586" i="8"/>
  <c r="M1587" i="8"/>
  <c r="M1588" i="8"/>
  <c r="M1589" i="8"/>
  <c r="M1590" i="8"/>
  <c r="M1591" i="8"/>
  <c r="M1592" i="8"/>
  <c r="M1593" i="8"/>
  <c r="M1594" i="8"/>
  <c r="M1595" i="8"/>
  <c r="M1596" i="8"/>
  <c r="M1597" i="8"/>
  <c r="M1598" i="8"/>
  <c r="M1599" i="8"/>
  <c r="M1600" i="8"/>
  <c r="M1601" i="8"/>
  <c r="M1602" i="8"/>
  <c r="M1603" i="8"/>
  <c r="M1604" i="8"/>
  <c r="M1605" i="8"/>
  <c r="M1606" i="8"/>
  <c r="M1607" i="8"/>
  <c r="M1608" i="8"/>
  <c r="M1609" i="8"/>
  <c r="M1610" i="8"/>
  <c r="M1611" i="8"/>
  <c r="M1612" i="8"/>
  <c r="M1613" i="8"/>
  <c r="M1614" i="8"/>
  <c r="M1615" i="8"/>
  <c r="M1616" i="8"/>
  <c r="M1617" i="8"/>
  <c r="M1618" i="8"/>
  <c r="M1619" i="8"/>
  <c r="M1620" i="8"/>
  <c r="M1621" i="8"/>
  <c r="M1622" i="8"/>
  <c r="M1623" i="8"/>
  <c r="M1624" i="8"/>
  <c r="M1625" i="8"/>
  <c r="M1626" i="8"/>
  <c r="M1627" i="8"/>
  <c r="M1628" i="8"/>
  <c r="M1629" i="8"/>
  <c r="M1630" i="8"/>
  <c r="M1631" i="8"/>
  <c r="M1632" i="8"/>
  <c r="M1633" i="8"/>
  <c r="M1634" i="8"/>
  <c r="M1635" i="8"/>
  <c r="M1636" i="8"/>
  <c r="M1637" i="8"/>
  <c r="M1638" i="8"/>
  <c r="M1639" i="8"/>
  <c r="M1640" i="8"/>
  <c r="M1641" i="8"/>
  <c r="M1642" i="8"/>
  <c r="M1643" i="8"/>
  <c r="M1644" i="8"/>
  <c r="M1645" i="8"/>
  <c r="M1646" i="8"/>
  <c r="M1647" i="8"/>
  <c r="M1648" i="8"/>
  <c r="M1649" i="8"/>
  <c r="M1650" i="8"/>
  <c r="M1651" i="8"/>
  <c r="M1652" i="8"/>
  <c r="M1653" i="8"/>
  <c r="M1654" i="8"/>
  <c r="M1655" i="8"/>
  <c r="M1656" i="8"/>
  <c r="M1657" i="8"/>
  <c r="M1658" i="8"/>
  <c r="M1659" i="8"/>
  <c r="M1660" i="8"/>
  <c r="M1661" i="8"/>
  <c r="M1662" i="8"/>
  <c r="M1663" i="8"/>
  <c r="M1664" i="8"/>
  <c r="M1665" i="8"/>
  <c r="M1666" i="8"/>
  <c r="M1667" i="8"/>
  <c r="M1668" i="8"/>
  <c r="M1669" i="8"/>
  <c r="M1670" i="8"/>
  <c r="M1671" i="8"/>
  <c r="M1672" i="8"/>
  <c r="M1673" i="8"/>
  <c r="M1674" i="8"/>
  <c r="M1675" i="8"/>
  <c r="M1676" i="8"/>
  <c r="M1677" i="8"/>
  <c r="M1678" i="8"/>
  <c r="M1679" i="8"/>
  <c r="M1680" i="8"/>
  <c r="M1681" i="8"/>
  <c r="M1682" i="8"/>
  <c r="M1683" i="8"/>
  <c r="M1684" i="8"/>
  <c r="M1685" i="8"/>
  <c r="M1686" i="8"/>
  <c r="M1687" i="8"/>
  <c r="M1688" i="8"/>
  <c r="M1689" i="8"/>
  <c r="M1690" i="8"/>
  <c r="M1691" i="8"/>
  <c r="M1692" i="8"/>
  <c r="M1693" i="8"/>
  <c r="M1694" i="8"/>
  <c r="M1695" i="8"/>
  <c r="M1696" i="8"/>
  <c r="M1697" i="8"/>
  <c r="M1698" i="8"/>
  <c r="M1699" i="8"/>
  <c r="M1700" i="8"/>
  <c r="M1701" i="8"/>
  <c r="M1702" i="8"/>
  <c r="M1703" i="8"/>
  <c r="M1704" i="8"/>
  <c r="M1705" i="8"/>
  <c r="M1706" i="8"/>
  <c r="M1707" i="8"/>
  <c r="M1708" i="8"/>
  <c r="M1709" i="8"/>
  <c r="M1710" i="8"/>
  <c r="M1711" i="8"/>
  <c r="M1712" i="8"/>
  <c r="M1713" i="8"/>
  <c r="M1714" i="8"/>
  <c r="M1715" i="8"/>
  <c r="M1716" i="8"/>
  <c r="M1717" i="8"/>
  <c r="M1718" i="8"/>
  <c r="M1719" i="8"/>
  <c r="M1720" i="8"/>
  <c r="M1721" i="8"/>
  <c r="M1722" i="8"/>
  <c r="M1723" i="8"/>
  <c r="M1724" i="8"/>
  <c r="M1725" i="8"/>
  <c r="M1726" i="8"/>
  <c r="M1727" i="8"/>
  <c r="M1728" i="8"/>
  <c r="M1729" i="8"/>
  <c r="M1730" i="8"/>
  <c r="M1731" i="8"/>
  <c r="M1732" i="8"/>
  <c r="M1733" i="8"/>
  <c r="M1734" i="8"/>
  <c r="M1735" i="8"/>
  <c r="M1736" i="8"/>
  <c r="M1737" i="8"/>
  <c r="M1738" i="8"/>
  <c r="M1739" i="8"/>
  <c r="M1740" i="8"/>
  <c r="M1741" i="8"/>
  <c r="M1742" i="8"/>
  <c r="M1743" i="8"/>
  <c r="M1744" i="8"/>
  <c r="M1745" i="8"/>
  <c r="M1746" i="8"/>
  <c r="M1747" i="8"/>
  <c r="M1748" i="8"/>
  <c r="M1749" i="8"/>
  <c r="M1750" i="8"/>
  <c r="M1751" i="8"/>
  <c r="M1752" i="8"/>
  <c r="M1753" i="8"/>
  <c r="M1754" i="8"/>
  <c r="M1755" i="8"/>
  <c r="M1756" i="8"/>
  <c r="M1757" i="8"/>
  <c r="M1758" i="8"/>
  <c r="M1759" i="8"/>
  <c r="M1760" i="8"/>
  <c r="M1761" i="8"/>
  <c r="M1762" i="8"/>
  <c r="M1763" i="8"/>
  <c r="M1764" i="8"/>
  <c r="M1765" i="8"/>
  <c r="M1766" i="8"/>
  <c r="M1767" i="8"/>
  <c r="M1768" i="8"/>
  <c r="M1769" i="8"/>
  <c r="M1770" i="8"/>
  <c r="M1771" i="8"/>
  <c r="M1772" i="8"/>
  <c r="M1773" i="8"/>
  <c r="M1774" i="8"/>
  <c r="M1775" i="8"/>
  <c r="M1776" i="8"/>
  <c r="M1777" i="8"/>
  <c r="M1778" i="8"/>
  <c r="M1779" i="8"/>
  <c r="M1780" i="8"/>
  <c r="M1781" i="8"/>
  <c r="M1782" i="8"/>
  <c r="M1783" i="8"/>
  <c r="M1784" i="8"/>
  <c r="M1785" i="8"/>
  <c r="M1786" i="8"/>
  <c r="M1787" i="8"/>
  <c r="M1788" i="8"/>
  <c r="M1789" i="8"/>
  <c r="M1790" i="8"/>
  <c r="M1791" i="8"/>
  <c r="M1792" i="8"/>
  <c r="M1793" i="8"/>
  <c r="M1794" i="8"/>
  <c r="M1795" i="8"/>
  <c r="M1796" i="8"/>
  <c r="M1797" i="8"/>
  <c r="M1798" i="8"/>
  <c r="M1799" i="8"/>
  <c r="M1800" i="8"/>
  <c r="M1801" i="8"/>
  <c r="M1802" i="8"/>
  <c r="M1803" i="8"/>
  <c r="M1804" i="8"/>
  <c r="M1805" i="8"/>
  <c r="M1806" i="8"/>
  <c r="M1807" i="8"/>
  <c r="M1808" i="8"/>
  <c r="M1809" i="8"/>
  <c r="M1810" i="8"/>
  <c r="M1811" i="8"/>
  <c r="M1812" i="8"/>
  <c r="M1813" i="8"/>
  <c r="M1814" i="8"/>
  <c r="M1815" i="8"/>
  <c r="M1816" i="8"/>
  <c r="M1817" i="8"/>
  <c r="M1818" i="8"/>
  <c r="M1819" i="8"/>
  <c r="M1820" i="8"/>
  <c r="M1821" i="8"/>
  <c r="M1822" i="8"/>
  <c r="M1823" i="8"/>
  <c r="M1824" i="8"/>
  <c r="M1825" i="8"/>
  <c r="M1826" i="8"/>
  <c r="M1827" i="8"/>
  <c r="M1828" i="8"/>
  <c r="M1829" i="8"/>
  <c r="M1830" i="8"/>
  <c r="M1831" i="8"/>
  <c r="M1832" i="8"/>
  <c r="M1833" i="8"/>
  <c r="M1834" i="8"/>
  <c r="M1835" i="8"/>
  <c r="M1836" i="8"/>
  <c r="M1837" i="8"/>
  <c r="M1838" i="8"/>
  <c r="M1839" i="8"/>
  <c r="M1840" i="8"/>
  <c r="M1841" i="8"/>
  <c r="M1842" i="8"/>
  <c r="M1843" i="8"/>
  <c r="M1844" i="8"/>
  <c r="M1845" i="8"/>
  <c r="M1846" i="8"/>
  <c r="M1847" i="8"/>
  <c r="M1848" i="8"/>
  <c r="M1849" i="8"/>
  <c r="M1850" i="8"/>
  <c r="M1851" i="8"/>
  <c r="M1852" i="8"/>
  <c r="M1853" i="8"/>
  <c r="M1854" i="8"/>
  <c r="M1855" i="8"/>
  <c r="M1856" i="8"/>
  <c r="M1857" i="8"/>
  <c r="M1858" i="8"/>
  <c r="M1859" i="8"/>
  <c r="M1860" i="8"/>
  <c r="M1861" i="8"/>
  <c r="M1862" i="8"/>
  <c r="M1863" i="8"/>
  <c r="M1864" i="8"/>
  <c r="M1865" i="8"/>
  <c r="M1866" i="8"/>
  <c r="M1867" i="8"/>
  <c r="M1868" i="8"/>
  <c r="M1869" i="8"/>
  <c r="M1870" i="8"/>
  <c r="M1871" i="8"/>
  <c r="M1872" i="8"/>
  <c r="M1873" i="8"/>
  <c r="M1874" i="8"/>
  <c r="M1875" i="8"/>
  <c r="M1876" i="8"/>
  <c r="M1877" i="8"/>
  <c r="M1878" i="8"/>
  <c r="M1879" i="8"/>
  <c r="M1880" i="8"/>
  <c r="M1881" i="8"/>
  <c r="M1882" i="8"/>
  <c r="M1883" i="8"/>
  <c r="M1884" i="8"/>
  <c r="M1885" i="8"/>
  <c r="M1886" i="8"/>
  <c r="M1887" i="8"/>
  <c r="M1888" i="8"/>
  <c r="M1889" i="8"/>
  <c r="M1890" i="8"/>
  <c r="M1891" i="8"/>
  <c r="M1892" i="8"/>
  <c r="M1893" i="8"/>
  <c r="M1894" i="8"/>
  <c r="M1895" i="8"/>
  <c r="M1896" i="8"/>
  <c r="M1897" i="8"/>
  <c r="M1898" i="8"/>
  <c r="M1899" i="8"/>
  <c r="M1900" i="8"/>
  <c r="M1901" i="8"/>
  <c r="M1902" i="8"/>
  <c r="M1903" i="8"/>
  <c r="M1904" i="8"/>
  <c r="M1905" i="8"/>
  <c r="M1906" i="8"/>
  <c r="M1907" i="8"/>
  <c r="M1908" i="8"/>
  <c r="M1909" i="8"/>
  <c r="M1910" i="8"/>
  <c r="M1911" i="8"/>
  <c r="M1912" i="8"/>
  <c r="M1913" i="8"/>
  <c r="M1914" i="8"/>
  <c r="M1915" i="8"/>
  <c r="M1916" i="8"/>
  <c r="M1917" i="8"/>
  <c r="M1918" i="8"/>
  <c r="M1919" i="8"/>
  <c r="M1920" i="8"/>
  <c r="M1921" i="8"/>
  <c r="M1922" i="8"/>
  <c r="M1923" i="8"/>
  <c r="M1924" i="8"/>
  <c r="M1925" i="8"/>
  <c r="M1926" i="8"/>
  <c r="M1927" i="8"/>
  <c r="M1928" i="8"/>
  <c r="M1929" i="8"/>
  <c r="M1930" i="8"/>
  <c r="M1931" i="8"/>
  <c r="M1932" i="8"/>
  <c r="M1933" i="8"/>
  <c r="M1934" i="8"/>
  <c r="M1935" i="8"/>
  <c r="M1936" i="8"/>
  <c r="M1937" i="8"/>
  <c r="M1938" i="8"/>
  <c r="M1939" i="8"/>
  <c r="M1940" i="8"/>
  <c r="M1941" i="8"/>
  <c r="M1942" i="8"/>
  <c r="M1943" i="8"/>
  <c r="M1944" i="8"/>
  <c r="M1945" i="8"/>
  <c r="M1946" i="8"/>
  <c r="M1947" i="8"/>
  <c r="M1948" i="8"/>
  <c r="M1949" i="8"/>
  <c r="M1950" i="8"/>
  <c r="M1951" i="8"/>
  <c r="M1952" i="8"/>
  <c r="M1953" i="8"/>
  <c r="M1954" i="8"/>
  <c r="M1955" i="8"/>
  <c r="M1956" i="8"/>
  <c r="M1957" i="8"/>
  <c r="M1958" i="8"/>
  <c r="M1959" i="8"/>
  <c r="M1960" i="8"/>
  <c r="M1961" i="8"/>
  <c r="M1962" i="8"/>
  <c r="M1963" i="8"/>
  <c r="M1964" i="8"/>
  <c r="M1965" i="8"/>
  <c r="M1966" i="8"/>
  <c r="M1967" i="8"/>
  <c r="M1968" i="8"/>
  <c r="M1969" i="8"/>
  <c r="M1970" i="8"/>
  <c r="M1971" i="8"/>
  <c r="M1972" i="8"/>
  <c r="M1973" i="8"/>
  <c r="M1974" i="8"/>
  <c r="M1975" i="8"/>
  <c r="M1976" i="8"/>
  <c r="M1977" i="8"/>
  <c r="M1978" i="8"/>
  <c r="M1979" i="8"/>
  <c r="M1980" i="8"/>
  <c r="M1981" i="8"/>
  <c r="M1982" i="8"/>
  <c r="M1983" i="8"/>
  <c r="M1984" i="8"/>
  <c r="M1985" i="8"/>
  <c r="M1986" i="8"/>
  <c r="M1987" i="8"/>
  <c r="M1988" i="8"/>
  <c r="M1989" i="8"/>
  <c r="M1990" i="8"/>
  <c r="M1991" i="8"/>
  <c r="M1992" i="8"/>
  <c r="M1993" i="8"/>
  <c r="M1994" i="8"/>
  <c r="M1995" i="8"/>
  <c r="M1996" i="8"/>
  <c r="M1997" i="8"/>
  <c r="M1998" i="8"/>
  <c r="M1999" i="8"/>
  <c r="M2000" i="8"/>
  <c r="M2001" i="8"/>
  <c r="L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478" i="8"/>
  <c r="L479" i="8"/>
  <c r="L480" i="8"/>
  <c r="L481" i="8"/>
  <c r="L482" i="8"/>
  <c r="L483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L639" i="8"/>
  <c r="L640" i="8"/>
  <c r="L641" i="8"/>
  <c r="L642" i="8"/>
  <c r="L643" i="8"/>
  <c r="L644" i="8"/>
  <c r="L645" i="8"/>
  <c r="L646" i="8"/>
  <c r="L647" i="8"/>
  <c r="L648" i="8"/>
  <c r="L649" i="8"/>
  <c r="L650" i="8"/>
  <c r="L651" i="8"/>
  <c r="L652" i="8"/>
  <c r="L653" i="8"/>
  <c r="L654" i="8"/>
  <c r="L655" i="8"/>
  <c r="L656" i="8"/>
  <c r="L657" i="8"/>
  <c r="L658" i="8"/>
  <c r="L659" i="8"/>
  <c r="L660" i="8"/>
  <c r="L661" i="8"/>
  <c r="L662" i="8"/>
  <c r="L663" i="8"/>
  <c r="L664" i="8"/>
  <c r="L665" i="8"/>
  <c r="L666" i="8"/>
  <c r="L667" i="8"/>
  <c r="L668" i="8"/>
  <c r="L669" i="8"/>
  <c r="L670" i="8"/>
  <c r="L671" i="8"/>
  <c r="L672" i="8"/>
  <c r="L673" i="8"/>
  <c r="L674" i="8"/>
  <c r="L675" i="8"/>
  <c r="L676" i="8"/>
  <c r="L677" i="8"/>
  <c r="L678" i="8"/>
  <c r="L679" i="8"/>
  <c r="L680" i="8"/>
  <c r="L681" i="8"/>
  <c r="L682" i="8"/>
  <c r="L683" i="8"/>
  <c r="L684" i="8"/>
  <c r="L685" i="8"/>
  <c r="L686" i="8"/>
  <c r="L687" i="8"/>
  <c r="L688" i="8"/>
  <c r="L689" i="8"/>
  <c r="L690" i="8"/>
  <c r="L691" i="8"/>
  <c r="L692" i="8"/>
  <c r="L693" i="8"/>
  <c r="L694" i="8"/>
  <c r="L695" i="8"/>
  <c r="L696" i="8"/>
  <c r="L697" i="8"/>
  <c r="L698" i="8"/>
  <c r="L699" i="8"/>
  <c r="L700" i="8"/>
  <c r="L701" i="8"/>
  <c r="L702" i="8"/>
  <c r="L703" i="8"/>
  <c r="L704" i="8"/>
  <c r="L705" i="8"/>
  <c r="L706" i="8"/>
  <c r="L707" i="8"/>
  <c r="L708" i="8"/>
  <c r="L709" i="8"/>
  <c r="L710" i="8"/>
  <c r="L711" i="8"/>
  <c r="L712" i="8"/>
  <c r="L713" i="8"/>
  <c r="L714" i="8"/>
  <c r="L715" i="8"/>
  <c r="L716" i="8"/>
  <c r="L717" i="8"/>
  <c r="L718" i="8"/>
  <c r="L719" i="8"/>
  <c r="L720" i="8"/>
  <c r="L721" i="8"/>
  <c r="L722" i="8"/>
  <c r="L723" i="8"/>
  <c r="L724" i="8"/>
  <c r="L725" i="8"/>
  <c r="L726" i="8"/>
  <c r="L727" i="8"/>
  <c r="L728" i="8"/>
  <c r="L729" i="8"/>
  <c r="L730" i="8"/>
  <c r="L731" i="8"/>
  <c r="L732" i="8"/>
  <c r="L733" i="8"/>
  <c r="L734" i="8"/>
  <c r="L735" i="8"/>
  <c r="L736" i="8"/>
  <c r="L737" i="8"/>
  <c r="L738" i="8"/>
  <c r="L739" i="8"/>
  <c r="L740" i="8"/>
  <c r="L741" i="8"/>
  <c r="L742" i="8"/>
  <c r="L743" i="8"/>
  <c r="L744" i="8"/>
  <c r="L745" i="8"/>
  <c r="L746" i="8"/>
  <c r="L747" i="8"/>
  <c r="L748" i="8"/>
  <c r="L749" i="8"/>
  <c r="L750" i="8"/>
  <c r="L751" i="8"/>
  <c r="L752" i="8"/>
  <c r="L753" i="8"/>
  <c r="L754" i="8"/>
  <c r="L755" i="8"/>
  <c r="L756" i="8"/>
  <c r="L757" i="8"/>
  <c r="L758" i="8"/>
  <c r="L759" i="8"/>
  <c r="L760" i="8"/>
  <c r="L761" i="8"/>
  <c r="L762" i="8"/>
  <c r="L763" i="8"/>
  <c r="L764" i="8"/>
  <c r="L765" i="8"/>
  <c r="L766" i="8"/>
  <c r="L767" i="8"/>
  <c r="L768" i="8"/>
  <c r="L769" i="8"/>
  <c r="L770" i="8"/>
  <c r="L771" i="8"/>
  <c r="L772" i="8"/>
  <c r="L773" i="8"/>
  <c r="L774" i="8"/>
  <c r="L775" i="8"/>
  <c r="L776" i="8"/>
  <c r="L777" i="8"/>
  <c r="L778" i="8"/>
  <c r="L779" i="8"/>
  <c r="L780" i="8"/>
  <c r="L781" i="8"/>
  <c r="L782" i="8"/>
  <c r="L783" i="8"/>
  <c r="L784" i="8"/>
  <c r="L785" i="8"/>
  <c r="L786" i="8"/>
  <c r="L787" i="8"/>
  <c r="L788" i="8"/>
  <c r="L789" i="8"/>
  <c r="L790" i="8"/>
  <c r="L791" i="8"/>
  <c r="L792" i="8"/>
  <c r="L793" i="8"/>
  <c r="L794" i="8"/>
  <c r="L795" i="8"/>
  <c r="L796" i="8"/>
  <c r="L797" i="8"/>
  <c r="L798" i="8"/>
  <c r="L799" i="8"/>
  <c r="L800" i="8"/>
  <c r="L801" i="8"/>
  <c r="L802" i="8"/>
  <c r="L803" i="8"/>
  <c r="L804" i="8"/>
  <c r="L805" i="8"/>
  <c r="L806" i="8"/>
  <c r="L807" i="8"/>
  <c r="L808" i="8"/>
  <c r="L809" i="8"/>
  <c r="L810" i="8"/>
  <c r="L811" i="8"/>
  <c r="L812" i="8"/>
  <c r="L813" i="8"/>
  <c r="L814" i="8"/>
  <c r="L815" i="8"/>
  <c r="L816" i="8"/>
  <c r="L817" i="8"/>
  <c r="L818" i="8"/>
  <c r="L819" i="8"/>
  <c r="L820" i="8"/>
  <c r="L821" i="8"/>
  <c r="L822" i="8"/>
  <c r="L823" i="8"/>
  <c r="L824" i="8"/>
  <c r="L825" i="8"/>
  <c r="L826" i="8"/>
  <c r="L827" i="8"/>
  <c r="L828" i="8"/>
  <c r="L829" i="8"/>
  <c r="L830" i="8"/>
  <c r="L831" i="8"/>
  <c r="L832" i="8"/>
  <c r="L833" i="8"/>
  <c r="L834" i="8"/>
  <c r="L835" i="8"/>
  <c r="L836" i="8"/>
  <c r="L837" i="8"/>
  <c r="L838" i="8"/>
  <c r="L839" i="8"/>
  <c r="L840" i="8"/>
  <c r="L841" i="8"/>
  <c r="L842" i="8"/>
  <c r="L843" i="8"/>
  <c r="L844" i="8"/>
  <c r="L845" i="8"/>
  <c r="L846" i="8"/>
  <c r="L847" i="8"/>
  <c r="L848" i="8"/>
  <c r="L849" i="8"/>
  <c r="L850" i="8"/>
  <c r="L851" i="8"/>
  <c r="L852" i="8"/>
  <c r="L853" i="8"/>
  <c r="L854" i="8"/>
  <c r="L855" i="8"/>
  <c r="L856" i="8"/>
  <c r="L857" i="8"/>
  <c r="L858" i="8"/>
  <c r="L859" i="8"/>
  <c r="L860" i="8"/>
  <c r="L861" i="8"/>
  <c r="L862" i="8"/>
  <c r="L863" i="8"/>
  <c r="L864" i="8"/>
  <c r="L865" i="8"/>
  <c r="L866" i="8"/>
  <c r="L867" i="8"/>
  <c r="L868" i="8"/>
  <c r="L869" i="8"/>
  <c r="L870" i="8"/>
  <c r="L871" i="8"/>
  <c r="L872" i="8"/>
  <c r="L873" i="8"/>
  <c r="L874" i="8"/>
  <c r="L875" i="8"/>
  <c r="L876" i="8"/>
  <c r="L877" i="8"/>
  <c r="L878" i="8"/>
  <c r="L879" i="8"/>
  <c r="L880" i="8"/>
  <c r="L881" i="8"/>
  <c r="L882" i="8"/>
  <c r="L883" i="8"/>
  <c r="L884" i="8"/>
  <c r="L885" i="8"/>
  <c r="L886" i="8"/>
  <c r="L887" i="8"/>
  <c r="L888" i="8"/>
  <c r="L889" i="8"/>
  <c r="L890" i="8"/>
  <c r="L891" i="8"/>
  <c r="L892" i="8"/>
  <c r="L893" i="8"/>
  <c r="L894" i="8"/>
  <c r="L895" i="8"/>
  <c r="L896" i="8"/>
  <c r="L897" i="8"/>
  <c r="L898" i="8"/>
  <c r="L899" i="8"/>
  <c r="L900" i="8"/>
  <c r="L901" i="8"/>
  <c r="L902" i="8"/>
  <c r="L903" i="8"/>
  <c r="L904" i="8"/>
  <c r="L905" i="8"/>
  <c r="L906" i="8"/>
  <c r="L907" i="8"/>
  <c r="L908" i="8"/>
  <c r="L909" i="8"/>
  <c r="L910" i="8"/>
  <c r="L911" i="8"/>
  <c r="L912" i="8"/>
  <c r="L913" i="8"/>
  <c r="L914" i="8"/>
  <c r="L915" i="8"/>
  <c r="L916" i="8"/>
  <c r="L917" i="8"/>
  <c r="L918" i="8"/>
  <c r="L919" i="8"/>
  <c r="L920" i="8"/>
  <c r="L921" i="8"/>
  <c r="L922" i="8"/>
  <c r="L923" i="8"/>
  <c r="L924" i="8"/>
  <c r="L925" i="8"/>
  <c r="L926" i="8"/>
  <c r="L927" i="8"/>
  <c r="L928" i="8"/>
  <c r="L929" i="8"/>
  <c r="L930" i="8"/>
  <c r="L931" i="8"/>
  <c r="L932" i="8"/>
  <c r="L933" i="8"/>
  <c r="L934" i="8"/>
  <c r="L935" i="8"/>
  <c r="L936" i="8"/>
  <c r="L937" i="8"/>
  <c r="L938" i="8"/>
  <c r="L939" i="8"/>
  <c r="L940" i="8"/>
  <c r="L941" i="8"/>
  <c r="L942" i="8"/>
  <c r="L943" i="8"/>
  <c r="L944" i="8"/>
  <c r="L945" i="8"/>
  <c r="L946" i="8"/>
  <c r="L947" i="8"/>
  <c r="L948" i="8"/>
  <c r="L949" i="8"/>
  <c r="L950" i="8"/>
  <c r="L951" i="8"/>
  <c r="L952" i="8"/>
  <c r="L953" i="8"/>
  <c r="L954" i="8"/>
  <c r="L955" i="8"/>
  <c r="L956" i="8"/>
  <c r="L957" i="8"/>
  <c r="L958" i="8"/>
  <c r="L959" i="8"/>
  <c r="L960" i="8"/>
  <c r="L961" i="8"/>
  <c r="L962" i="8"/>
  <c r="L963" i="8"/>
  <c r="L964" i="8"/>
  <c r="L965" i="8"/>
  <c r="L966" i="8"/>
  <c r="L967" i="8"/>
  <c r="L968" i="8"/>
  <c r="L969" i="8"/>
  <c r="L970" i="8"/>
  <c r="L971" i="8"/>
  <c r="L972" i="8"/>
  <c r="L973" i="8"/>
  <c r="L974" i="8"/>
  <c r="L975" i="8"/>
  <c r="L976" i="8"/>
  <c r="L977" i="8"/>
  <c r="L978" i="8"/>
  <c r="L979" i="8"/>
  <c r="L980" i="8"/>
  <c r="L981" i="8"/>
  <c r="L982" i="8"/>
  <c r="L983" i="8"/>
  <c r="L984" i="8"/>
  <c r="L985" i="8"/>
  <c r="L986" i="8"/>
  <c r="L987" i="8"/>
  <c r="L988" i="8"/>
  <c r="L989" i="8"/>
  <c r="L990" i="8"/>
  <c r="L991" i="8"/>
  <c r="L992" i="8"/>
  <c r="L993" i="8"/>
  <c r="L994" i="8"/>
  <c r="L995" i="8"/>
  <c r="L996" i="8"/>
  <c r="L997" i="8"/>
  <c r="L998" i="8"/>
  <c r="L999" i="8"/>
  <c r="L1000" i="8"/>
  <c r="L1001" i="8"/>
  <c r="L1002" i="8"/>
  <c r="L1003" i="8"/>
  <c r="L1004" i="8"/>
  <c r="L1005" i="8"/>
  <c r="L1006" i="8"/>
  <c r="L1007" i="8"/>
  <c r="L1008" i="8"/>
  <c r="L1009" i="8"/>
  <c r="L1010" i="8"/>
  <c r="L1011" i="8"/>
  <c r="L1012" i="8"/>
  <c r="L1013" i="8"/>
  <c r="L1014" i="8"/>
  <c r="L1015" i="8"/>
  <c r="L1016" i="8"/>
  <c r="L1017" i="8"/>
  <c r="L1018" i="8"/>
  <c r="L1019" i="8"/>
  <c r="L1020" i="8"/>
  <c r="L1021" i="8"/>
  <c r="L1022" i="8"/>
  <c r="L1023" i="8"/>
  <c r="L1024" i="8"/>
  <c r="L1025" i="8"/>
  <c r="L1026" i="8"/>
  <c r="L1027" i="8"/>
  <c r="L1028" i="8"/>
  <c r="L1029" i="8"/>
  <c r="L1030" i="8"/>
  <c r="L1031" i="8"/>
  <c r="L1032" i="8"/>
  <c r="L1033" i="8"/>
  <c r="L1034" i="8"/>
  <c r="L1035" i="8"/>
  <c r="L1036" i="8"/>
  <c r="L1037" i="8"/>
  <c r="L1038" i="8"/>
  <c r="L1039" i="8"/>
  <c r="L1040" i="8"/>
  <c r="L1041" i="8"/>
  <c r="L1042" i="8"/>
  <c r="L1043" i="8"/>
  <c r="L1044" i="8"/>
  <c r="L1045" i="8"/>
  <c r="L1046" i="8"/>
  <c r="L1047" i="8"/>
  <c r="L1048" i="8"/>
  <c r="L1049" i="8"/>
  <c r="L1050" i="8"/>
  <c r="L1051" i="8"/>
  <c r="L1052" i="8"/>
  <c r="L1053" i="8"/>
  <c r="L1054" i="8"/>
  <c r="L1055" i="8"/>
  <c r="L1056" i="8"/>
  <c r="L1057" i="8"/>
  <c r="L1058" i="8"/>
  <c r="L1059" i="8"/>
  <c r="L1060" i="8"/>
  <c r="L1061" i="8"/>
  <c r="L1062" i="8"/>
  <c r="L1063" i="8"/>
  <c r="L1064" i="8"/>
  <c r="L1065" i="8"/>
  <c r="L1066" i="8"/>
  <c r="L1067" i="8"/>
  <c r="L1068" i="8"/>
  <c r="L1069" i="8"/>
  <c r="L1070" i="8"/>
  <c r="L1071" i="8"/>
  <c r="L1072" i="8"/>
  <c r="L1073" i="8"/>
  <c r="L1074" i="8"/>
  <c r="L1075" i="8"/>
  <c r="L1076" i="8"/>
  <c r="L1077" i="8"/>
  <c r="L1078" i="8"/>
  <c r="L1079" i="8"/>
  <c r="L1080" i="8"/>
  <c r="L1081" i="8"/>
  <c r="L1082" i="8"/>
  <c r="L1083" i="8"/>
  <c r="L1084" i="8"/>
  <c r="L1085" i="8"/>
  <c r="L1086" i="8"/>
  <c r="L1087" i="8"/>
  <c r="L1088" i="8"/>
  <c r="L1089" i="8"/>
  <c r="L1090" i="8"/>
  <c r="L1091" i="8"/>
  <c r="L1092" i="8"/>
  <c r="L1093" i="8"/>
  <c r="L1094" i="8"/>
  <c r="L1095" i="8"/>
  <c r="L1096" i="8"/>
  <c r="L1097" i="8"/>
  <c r="L1098" i="8"/>
  <c r="L1099" i="8"/>
  <c r="L1100" i="8"/>
  <c r="L1101" i="8"/>
  <c r="L1102" i="8"/>
  <c r="L1103" i="8"/>
  <c r="L1104" i="8"/>
  <c r="L1105" i="8"/>
  <c r="L1106" i="8"/>
  <c r="L1107" i="8"/>
  <c r="L1108" i="8"/>
  <c r="L1109" i="8"/>
  <c r="L1110" i="8"/>
  <c r="L1111" i="8"/>
  <c r="L1112" i="8"/>
  <c r="L1113" i="8"/>
  <c r="L1114" i="8"/>
  <c r="L1115" i="8"/>
  <c r="L1116" i="8"/>
  <c r="L1117" i="8"/>
  <c r="L1118" i="8"/>
  <c r="L1119" i="8"/>
  <c r="L1120" i="8"/>
  <c r="L1121" i="8"/>
  <c r="L1122" i="8"/>
  <c r="L1123" i="8"/>
  <c r="L1124" i="8"/>
  <c r="L1125" i="8"/>
  <c r="L1126" i="8"/>
  <c r="L1127" i="8"/>
  <c r="L1128" i="8"/>
  <c r="L1129" i="8"/>
  <c r="L1130" i="8"/>
  <c r="L1131" i="8"/>
  <c r="L1132" i="8"/>
  <c r="L1133" i="8"/>
  <c r="L1134" i="8"/>
  <c r="L1135" i="8"/>
  <c r="L1136" i="8"/>
  <c r="L1137" i="8"/>
  <c r="L1138" i="8"/>
  <c r="L1139" i="8"/>
  <c r="L1140" i="8"/>
  <c r="L1141" i="8"/>
  <c r="L1142" i="8"/>
  <c r="L1143" i="8"/>
  <c r="L1144" i="8"/>
  <c r="L1145" i="8"/>
  <c r="L1146" i="8"/>
  <c r="L1147" i="8"/>
  <c r="L1148" i="8"/>
  <c r="L1149" i="8"/>
  <c r="L1150" i="8"/>
  <c r="L1151" i="8"/>
  <c r="L1152" i="8"/>
  <c r="L1153" i="8"/>
  <c r="L1154" i="8"/>
  <c r="L1155" i="8"/>
  <c r="L1156" i="8"/>
  <c r="L1157" i="8"/>
  <c r="L1158" i="8"/>
  <c r="L1159" i="8"/>
  <c r="L1160" i="8"/>
  <c r="L1161" i="8"/>
  <c r="L1162" i="8"/>
  <c r="L1163" i="8"/>
  <c r="L1164" i="8"/>
  <c r="L1165" i="8"/>
  <c r="L1166" i="8"/>
  <c r="L1167" i="8"/>
  <c r="L1168" i="8"/>
  <c r="L1169" i="8"/>
  <c r="L1170" i="8"/>
  <c r="L1171" i="8"/>
  <c r="L1172" i="8"/>
  <c r="L1173" i="8"/>
  <c r="L1174" i="8"/>
  <c r="L1175" i="8"/>
  <c r="L1176" i="8"/>
  <c r="L1177" i="8"/>
  <c r="L1178" i="8"/>
  <c r="L1179" i="8"/>
  <c r="L1180" i="8"/>
  <c r="L1181" i="8"/>
  <c r="L1182" i="8"/>
  <c r="L1183" i="8"/>
  <c r="L1184" i="8"/>
  <c r="L1185" i="8"/>
  <c r="L1186" i="8"/>
  <c r="L1187" i="8"/>
  <c r="L1188" i="8"/>
  <c r="L1189" i="8"/>
  <c r="L1190" i="8"/>
  <c r="L1191" i="8"/>
  <c r="L1192" i="8"/>
  <c r="L1193" i="8"/>
  <c r="L1194" i="8"/>
  <c r="L1195" i="8"/>
  <c r="L1196" i="8"/>
  <c r="L1197" i="8"/>
  <c r="L1198" i="8"/>
  <c r="L1199" i="8"/>
  <c r="L1200" i="8"/>
  <c r="L1201" i="8"/>
  <c r="L1202" i="8"/>
  <c r="L1203" i="8"/>
  <c r="L1204" i="8"/>
  <c r="L1205" i="8"/>
  <c r="L1206" i="8"/>
  <c r="L1207" i="8"/>
  <c r="L1208" i="8"/>
  <c r="L1209" i="8"/>
  <c r="L1210" i="8"/>
  <c r="L1211" i="8"/>
  <c r="L1212" i="8"/>
  <c r="L1213" i="8"/>
  <c r="L1214" i="8"/>
  <c r="L1215" i="8"/>
  <c r="L1216" i="8"/>
  <c r="L1217" i="8"/>
  <c r="L1218" i="8"/>
  <c r="L1219" i="8"/>
  <c r="L1220" i="8"/>
  <c r="L1221" i="8"/>
  <c r="L1222" i="8"/>
  <c r="L1223" i="8"/>
  <c r="L1224" i="8"/>
  <c r="L1225" i="8"/>
  <c r="L1226" i="8"/>
  <c r="L1227" i="8"/>
  <c r="L1228" i="8"/>
  <c r="L1229" i="8"/>
  <c r="L1230" i="8"/>
  <c r="L1231" i="8"/>
  <c r="L1232" i="8"/>
  <c r="L1233" i="8"/>
  <c r="L1234" i="8"/>
  <c r="L1235" i="8"/>
  <c r="L1236" i="8"/>
  <c r="L1237" i="8"/>
  <c r="L1238" i="8"/>
  <c r="L1239" i="8"/>
  <c r="L1240" i="8"/>
  <c r="L1241" i="8"/>
  <c r="L1242" i="8"/>
  <c r="L1243" i="8"/>
  <c r="L1244" i="8"/>
  <c r="L1245" i="8"/>
  <c r="L1246" i="8"/>
  <c r="L1247" i="8"/>
  <c r="L1248" i="8"/>
  <c r="L1249" i="8"/>
  <c r="L1250" i="8"/>
  <c r="L1251" i="8"/>
  <c r="L1252" i="8"/>
  <c r="L1253" i="8"/>
  <c r="L1254" i="8"/>
  <c r="L1255" i="8"/>
  <c r="L1256" i="8"/>
  <c r="L1257" i="8"/>
  <c r="L1258" i="8"/>
  <c r="L1259" i="8"/>
  <c r="L1260" i="8"/>
  <c r="L1261" i="8"/>
  <c r="L1262" i="8"/>
  <c r="L1263" i="8"/>
  <c r="L1264" i="8"/>
  <c r="L1265" i="8"/>
  <c r="L1266" i="8"/>
  <c r="L1267" i="8"/>
  <c r="L1268" i="8"/>
  <c r="L1269" i="8"/>
  <c r="L1270" i="8"/>
  <c r="L1271" i="8"/>
  <c r="L1272" i="8"/>
  <c r="L1273" i="8"/>
  <c r="L1274" i="8"/>
  <c r="L1275" i="8"/>
  <c r="L1276" i="8"/>
  <c r="L1277" i="8"/>
  <c r="L1278" i="8"/>
  <c r="L1279" i="8"/>
  <c r="L1280" i="8"/>
  <c r="L1281" i="8"/>
  <c r="L1282" i="8"/>
  <c r="L1283" i="8"/>
  <c r="L1284" i="8"/>
  <c r="L1285" i="8"/>
  <c r="L1286" i="8"/>
  <c r="L1287" i="8"/>
  <c r="L1288" i="8"/>
  <c r="L1289" i="8"/>
  <c r="L1290" i="8"/>
  <c r="L1291" i="8"/>
  <c r="L1292" i="8"/>
  <c r="L1293" i="8"/>
  <c r="L1294" i="8"/>
  <c r="L1295" i="8"/>
  <c r="L1296" i="8"/>
  <c r="L1297" i="8"/>
  <c r="L1298" i="8"/>
  <c r="L1299" i="8"/>
  <c r="L1300" i="8"/>
  <c r="L1301" i="8"/>
  <c r="L1302" i="8"/>
  <c r="L1303" i="8"/>
  <c r="L1304" i="8"/>
  <c r="L1305" i="8"/>
  <c r="L1306" i="8"/>
  <c r="L1307" i="8"/>
  <c r="L1308" i="8"/>
  <c r="L1309" i="8"/>
  <c r="L1310" i="8"/>
  <c r="L1311" i="8"/>
  <c r="L1312" i="8"/>
  <c r="L1313" i="8"/>
  <c r="L1314" i="8"/>
  <c r="L1315" i="8"/>
  <c r="L1316" i="8"/>
  <c r="L1317" i="8"/>
  <c r="L1318" i="8"/>
  <c r="L1319" i="8"/>
  <c r="L1320" i="8"/>
  <c r="L1321" i="8"/>
  <c r="L1322" i="8"/>
  <c r="L1323" i="8"/>
  <c r="L1324" i="8"/>
  <c r="L1325" i="8"/>
  <c r="L1326" i="8"/>
  <c r="L1327" i="8"/>
  <c r="L1328" i="8"/>
  <c r="L1329" i="8"/>
  <c r="L1330" i="8"/>
  <c r="L1331" i="8"/>
  <c r="L1332" i="8"/>
  <c r="L1333" i="8"/>
  <c r="L1334" i="8"/>
  <c r="L1335" i="8"/>
  <c r="L1336" i="8"/>
  <c r="L1337" i="8"/>
  <c r="L1338" i="8"/>
  <c r="L1339" i="8"/>
  <c r="L1340" i="8"/>
  <c r="L1341" i="8"/>
  <c r="L1342" i="8"/>
  <c r="L1343" i="8"/>
  <c r="L1344" i="8"/>
  <c r="L1345" i="8"/>
  <c r="L1346" i="8"/>
  <c r="L1347" i="8"/>
  <c r="L1348" i="8"/>
  <c r="L1349" i="8"/>
  <c r="L1350" i="8"/>
  <c r="L1351" i="8"/>
  <c r="L1352" i="8"/>
  <c r="L1353" i="8"/>
  <c r="L1354" i="8"/>
  <c r="L1355" i="8"/>
  <c r="L1356" i="8"/>
  <c r="L1357" i="8"/>
  <c r="L1358" i="8"/>
  <c r="L1359" i="8"/>
  <c r="L1360" i="8"/>
  <c r="L1361" i="8"/>
  <c r="L1362" i="8"/>
  <c r="L1363" i="8"/>
  <c r="L1364" i="8"/>
  <c r="L1365" i="8"/>
  <c r="L1366" i="8"/>
  <c r="L1367" i="8"/>
  <c r="L1368" i="8"/>
  <c r="L1369" i="8"/>
  <c r="L1370" i="8"/>
  <c r="L1371" i="8"/>
  <c r="L1372" i="8"/>
  <c r="L1373" i="8"/>
  <c r="L1374" i="8"/>
  <c r="L1375" i="8"/>
  <c r="L1376" i="8"/>
  <c r="L1377" i="8"/>
  <c r="L1378" i="8"/>
  <c r="L1379" i="8"/>
  <c r="L1380" i="8"/>
  <c r="L1381" i="8"/>
  <c r="L1382" i="8"/>
  <c r="L1383" i="8"/>
  <c r="L1384" i="8"/>
  <c r="L1385" i="8"/>
  <c r="L1386" i="8"/>
  <c r="L1387" i="8"/>
  <c r="L1388" i="8"/>
  <c r="L1389" i="8"/>
  <c r="L1390" i="8"/>
  <c r="L1391" i="8"/>
  <c r="L1392" i="8"/>
  <c r="L1393" i="8"/>
  <c r="L1394" i="8"/>
  <c r="L1395" i="8"/>
  <c r="L1396" i="8"/>
  <c r="L1397" i="8"/>
  <c r="L1398" i="8"/>
  <c r="L1399" i="8"/>
  <c r="L1400" i="8"/>
  <c r="L1401" i="8"/>
  <c r="L1402" i="8"/>
  <c r="L1403" i="8"/>
  <c r="L1404" i="8"/>
  <c r="L1405" i="8"/>
  <c r="L1406" i="8"/>
  <c r="L1407" i="8"/>
  <c r="L1408" i="8"/>
  <c r="L1409" i="8"/>
  <c r="L1410" i="8"/>
  <c r="L1411" i="8"/>
  <c r="L1412" i="8"/>
  <c r="L1413" i="8"/>
  <c r="L1414" i="8"/>
  <c r="L1415" i="8"/>
  <c r="L1416" i="8"/>
  <c r="L1417" i="8"/>
  <c r="L1418" i="8"/>
  <c r="L1419" i="8"/>
  <c r="L1420" i="8"/>
  <c r="L1421" i="8"/>
  <c r="L1422" i="8"/>
  <c r="L1423" i="8"/>
  <c r="L1424" i="8"/>
  <c r="L1425" i="8"/>
  <c r="L1426" i="8"/>
  <c r="L1427" i="8"/>
  <c r="L1428" i="8"/>
  <c r="L1429" i="8"/>
  <c r="L1430" i="8"/>
  <c r="L1431" i="8"/>
  <c r="L1432" i="8"/>
  <c r="L1433" i="8"/>
  <c r="L1434" i="8"/>
  <c r="L1435" i="8"/>
  <c r="L1436" i="8"/>
  <c r="L1437" i="8"/>
  <c r="L1438" i="8"/>
  <c r="L1439" i="8"/>
  <c r="L1440" i="8"/>
  <c r="L1441" i="8"/>
  <c r="L1442" i="8"/>
  <c r="L1443" i="8"/>
  <c r="L1444" i="8"/>
  <c r="L1445" i="8"/>
  <c r="L1446" i="8"/>
  <c r="L1447" i="8"/>
  <c r="L1448" i="8"/>
  <c r="L1449" i="8"/>
  <c r="L1450" i="8"/>
  <c r="L1451" i="8"/>
  <c r="L1452" i="8"/>
  <c r="L1453" i="8"/>
  <c r="L1454" i="8"/>
  <c r="L1455" i="8"/>
  <c r="L1456" i="8"/>
  <c r="L1457" i="8"/>
  <c r="L1458" i="8"/>
  <c r="L1459" i="8"/>
  <c r="L1460" i="8"/>
  <c r="L1461" i="8"/>
  <c r="L1462" i="8"/>
  <c r="L1463" i="8"/>
  <c r="L1464" i="8"/>
  <c r="L1465" i="8"/>
  <c r="L1466" i="8"/>
  <c r="L1467" i="8"/>
  <c r="L1468" i="8"/>
  <c r="L1469" i="8"/>
  <c r="L1470" i="8"/>
  <c r="L1471" i="8"/>
  <c r="L1472" i="8"/>
  <c r="L1473" i="8"/>
  <c r="L1474" i="8"/>
  <c r="L1475" i="8"/>
  <c r="L1476" i="8"/>
  <c r="L1477" i="8"/>
  <c r="L1478" i="8"/>
  <c r="L1479" i="8"/>
  <c r="L1480" i="8"/>
  <c r="L1481" i="8"/>
  <c r="L1482" i="8"/>
  <c r="L1483" i="8"/>
  <c r="L1484" i="8"/>
  <c r="L1485" i="8"/>
  <c r="L1486" i="8"/>
  <c r="L1487" i="8"/>
  <c r="L1488" i="8"/>
  <c r="L1489" i="8"/>
  <c r="L1490" i="8"/>
  <c r="L1491" i="8"/>
  <c r="L1492" i="8"/>
  <c r="L1493" i="8"/>
  <c r="L1494" i="8"/>
  <c r="L1495" i="8"/>
  <c r="L1496" i="8"/>
  <c r="L1497" i="8"/>
  <c r="L1498" i="8"/>
  <c r="L1499" i="8"/>
  <c r="L1500" i="8"/>
  <c r="L1501" i="8"/>
  <c r="L1502" i="8"/>
  <c r="L1503" i="8"/>
  <c r="L1504" i="8"/>
  <c r="L1505" i="8"/>
  <c r="L1506" i="8"/>
  <c r="L1507" i="8"/>
  <c r="L1508" i="8"/>
  <c r="L1509" i="8"/>
  <c r="L1510" i="8"/>
  <c r="L1511" i="8"/>
  <c r="L1512" i="8"/>
  <c r="L1513" i="8"/>
  <c r="L1514" i="8"/>
  <c r="L1515" i="8"/>
  <c r="L1516" i="8"/>
  <c r="L1517" i="8"/>
  <c r="L1518" i="8"/>
  <c r="L1519" i="8"/>
  <c r="L1520" i="8"/>
  <c r="L1521" i="8"/>
  <c r="L1522" i="8"/>
  <c r="L1523" i="8"/>
  <c r="L1524" i="8"/>
  <c r="L1525" i="8"/>
  <c r="L1526" i="8"/>
  <c r="L1527" i="8"/>
  <c r="L1528" i="8"/>
  <c r="L1529" i="8"/>
  <c r="L1530" i="8"/>
  <c r="L1531" i="8"/>
  <c r="L1532" i="8"/>
  <c r="L1533" i="8"/>
  <c r="L1534" i="8"/>
  <c r="L1535" i="8"/>
  <c r="L1536" i="8"/>
  <c r="L1537" i="8"/>
  <c r="L1538" i="8"/>
  <c r="L1539" i="8"/>
  <c r="L1540" i="8"/>
  <c r="L1541" i="8"/>
  <c r="L1542" i="8"/>
  <c r="L1543" i="8"/>
  <c r="L1544" i="8"/>
  <c r="L1545" i="8"/>
  <c r="L1546" i="8"/>
  <c r="L1547" i="8"/>
  <c r="L1548" i="8"/>
  <c r="L1549" i="8"/>
  <c r="L1550" i="8"/>
  <c r="L1551" i="8"/>
  <c r="L1552" i="8"/>
  <c r="L1553" i="8"/>
  <c r="L1554" i="8"/>
  <c r="L1555" i="8"/>
  <c r="L1556" i="8"/>
  <c r="L1557" i="8"/>
  <c r="L1558" i="8"/>
  <c r="L1559" i="8"/>
  <c r="L1560" i="8"/>
  <c r="L1561" i="8"/>
  <c r="L1562" i="8"/>
  <c r="L1563" i="8"/>
  <c r="L1564" i="8"/>
  <c r="L1565" i="8"/>
  <c r="L1566" i="8"/>
  <c r="L1567" i="8"/>
  <c r="L1568" i="8"/>
  <c r="L1569" i="8"/>
  <c r="L1570" i="8"/>
  <c r="L1571" i="8"/>
  <c r="L1572" i="8"/>
  <c r="L1573" i="8"/>
  <c r="L1574" i="8"/>
  <c r="L1575" i="8"/>
  <c r="L1576" i="8"/>
  <c r="L1577" i="8"/>
  <c r="L1578" i="8"/>
  <c r="L1579" i="8"/>
  <c r="L1580" i="8"/>
  <c r="L1581" i="8"/>
  <c r="L1582" i="8"/>
  <c r="L1583" i="8"/>
  <c r="L1584" i="8"/>
  <c r="L1585" i="8"/>
  <c r="L1586" i="8"/>
  <c r="L1587" i="8"/>
  <c r="L1588" i="8"/>
  <c r="L1589" i="8"/>
  <c r="L1590" i="8"/>
  <c r="L1591" i="8"/>
  <c r="L1592" i="8"/>
  <c r="L1593" i="8"/>
  <c r="L1594" i="8"/>
  <c r="L1595" i="8"/>
  <c r="L1596" i="8"/>
  <c r="L1597" i="8"/>
  <c r="L1598" i="8"/>
  <c r="L1599" i="8"/>
  <c r="L1600" i="8"/>
  <c r="L1601" i="8"/>
  <c r="L1602" i="8"/>
  <c r="L1603" i="8"/>
  <c r="L1604" i="8"/>
  <c r="L1605" i="8"/>
  <c r="L1606" i="8"/>
  <c r="L1607" i="8"/>
  <c r="L1608" i="8"/>
  <c r="L1609" i="8"/>
  <c r="L1610" i="8"/>
  <c r="L1611" i="8"/>
  <c r="L1612" i="8"/>
  <c r="L1613" i="8"/>
  <c r="L1614" i="8"/>
  <c r="L1615" i="8"/>
  <c r="L1616" i="8"/>
  <c r="L1617" i="8"/>
  <c r="L1618" i="8"/>
  <c r="L1619" i="8"/>
  <c r="L1620" i="8"/>
  <c r="L1621" i="8"/>
  <c r="L1622" i="8"/>
  <c r="L1623" i="8"/>
  <c r="L1624" i="8"/>
  <c r="L1625" i="8"/>
  <c r="L1626" i="8"/>
  <c r="L1627" i="8"/>
  <c r="L1628" i="8"/>
  <c r="L1629" i="8"/>
  <c r="L1630" i="8"/>
  <c r="L1631" i="8"/>
  <c r="L1632" i="8"/>
  <c r="L1633" i="8"/>
  <c r="L1634" i="8"/>
  <c r="L1635" i="8"/>
  <c r="L1636" i="8"/>
  <c r="L1637" i="8"/>
  <c r="L1638" i="8"/>
  <c r="L1639" i="8"/>
  <c r="L1640" i="8"/>
  <c r="L1641" i="8"/>
  <c r="L1642" i="8"/>
  <c r="L1643" i="8"/>
  <c r="L1644" i="8"/>
  <c r="L1645" i="8"/>
  <c r="L1646" i="8"/>
  <c r="L1647" i="8"/>
  <c r="L1648" i="8"/>
  <c r="L1649" i="8"/>
  <c r="L1650" i="8"/>
  <c r="L1651" i="8"/>
  <c r="L1652" i="8"/>
  <c r="L1653" i="8"/>
  <c r="L1654" i="8"/>
  <c r="L1655" i="8"/>
  <c r="L1656" i="8"/>
  <c r="L1657" i="8"/>
  <c r="L1658" i="8"/>
  <c r="L1659" i="8"/>
  <c r="L1660" i="8"/>
  <c r="L1661" i="8"/>
  <c r="L1662" i="8"/>
  <c r="L1663" i="8"/>
  <c r="L1664" i="8"/>
  <c r="L1665" i="8"/>
  <c r="L1666" i="8"/>
  <c r="L1667" i="8"/>
  <c r="L1668" i="8"/>
  <c r="L1669" i="8"/>
  <c r="L1670" i="8"/>
  <c r="L1671" i="8"/>
  <c r="L1672" i="8"/>
  <c r="L1673" i="8"/>
  <c r="L1674" i="8"/>
  <c r="L1675" i="8"/>
  <c r="L1676" i="8"/>
  <c r="L1677" i="8"/>
  <c r="L1678" i="8"/>
  <c r="L1679" i="8"/>
  <c r="L1680" i="8"/>
  <c r="L1681" i="8"/>
  <c r="L1682" i="8"/>
  <c r="L1683" i="8"/>
  <c r="L1684" i="8"/>
  <c r="L1685" i="8"/>
  <c r="L1686" i="8"/>
  <c r="L1687" i="8"/>
  <c r="L1688" i="8"/>
  <c r="L1689" i="8"/>
  <c r="L1690" i="8"/>
  <c r="L1691" i="8"/>
  <c r="L1692" i="8"/>
  <c r="L1693" i="8"/>
  <c r="L1694" i="8"/>
  <c r="L1695" i="8"/>
  <c r="L1696" i="8"/>
  <c r="L1697" i="8"/>
  <c r="L1698" i="8"/>
  <c r="L1699" i="8"/>
  <c r="L1700" i="8"/>
  <c r="L1701" i="8"/>
  <c r="L1702" i="8"/>
  <c r="L1703" i="8"/>
  <c r="L1704" i="8"/>
  <c r="L1705" i="8"/>
  <c r="L1706" i="8"/>
  <c r="L1707" i="8"/>
  <c r="L1708" i="8"/>
  <c r="L1709" i="8"/>
  <c r="L1710" i="8"/>
  <c r="L1711" i="8"/>
  <c r="L1712" i="8"/>
  <c r="L1713" i="8"/>
  <c r="L1714" i="8"/>
  <c r="L1715" i="8"/>
  <c r="L1716" i="8"/>
  <c r="L1717" i="8"/>
  <c r="L1718" i="8"/>
  <c r="L1719" i="8"/>
  <c r="L1720" i="8"/>
  <c r="L1721" i="8"/>
  <c r="L1722" i="8"/>
  <c r="L1723" i="8"/>
  <c r="L1724" i="8"/>
  <c r="L1725" i="8"/>
  <c r="L1726" i="8"/>
  <c r="L1727" i="8"/>
  <c r="L1728" i="8"/>
  <c r="L1729" i="8"/>
  <c r="L1730" i="8"/>
  <c r="L1731" i="8"/>
  <c r="L1732" i="8"/>
  <c r="L1733" i="8"/>
  <c r="L1734" i="8"/>
  <c r="L1735" i="8"/>
  <c r="L1736" i="8"/>
  <c r="L1737" i="8"/>
  <c r="L1738" i="8"/>
  <c r="L1739" i="8"/>
  <c r="L1740" i="8"/>
  <c r="L1741" i="8"/>
  <c r="L1742" i="8"/>
  <c r="L1743" i="8"/>
  <c r="L1744" i="8"/>
  <c r="L1745" i="8"/>
  <c r="L1746" i="8"/>
  <c r="L1747" i="8"/>
  <c r="L1748" i="8"/>
  <c r="L1749" i="8"/>
  <c r="L1750" i="8"/>
  <c r="L1751" i="8"/>
  <c r="L1752" i="8"/>
  <c r="L1753" i="8"/>
  <c r="L1754" i="8"/>
  <c r="L1755" i="8"/>
  <c r="L1756" i="8"/>
  <c r="L1757" i="8"/>
  <c r="L1758" i="8"/>
  <c r="L1759" i="8"/>
  <c r="L1760" i="8"/>
  <c r="L1761" i="8"/>
  <c r="L1762" i="8"/>
  <c r="L1763" i="8"/>
  <c r="L1764" i="8"/>
  <c r="L1765" i="8"/>
  <c r="L1766" i="8"/>
  <c r="L1767" i="8"/>
  <c r="L1768" i="8"/>
  <c r="L1769" i="8"/>
  <c r="L1770" i="8"/>
  <c r="L1771" i="8"/>
  <c r="L1772" i="8"/>
  <c r="L1773" i="8"/>
  <c r="L1774" i="8"/>
  <c r="L1775" i="8"/>
  <c r="L1776" i="8"/>
  <c r="L1777" i="8"/>
  <c r="L1778" i="8"/>
  <c r="L1779" i="8"/>
  <c r="L1780" i="8"/>
  <c r="L1781" i="8"/>
  <c r="L1782" i="8"/>
  <c r="L1783" i="8"/>
  <c r="L1784" i="8"/>
  <c r="L1785" i="8"/>
  <c r="L1786" i="8"/>
  <c r="L1787" i="8"/>
  <c r="L1788" i="8"/>
  <c r="L1789" i="8"/>
  <c r="L1790" i="8"/>
  <c r="L1791" i="8"/>
  <c r="L1792" i="8"/>
  <c r="L1793" i="8"/>
  <c r="L1794" i="8"/>
  <c r="L1795" i="8"/>
  <c r="L1796" i="8"/>
  <c r="L1797" i="8"/>
  <c r="L1798" i="8"/>
  <c r="L1799" i="8"/>
  <c r="L1800" i="8"/>
  <c r="L1801" i="8"/>
  <c r="L1802" i="8"/>
  <c r="L1803" i="8"/>
  <c r="L1804" i="8"/>
  <c r="L1805" i="8"/>
  <c r="L1806" i="8"/>
  <c r="L1807" i="8"/>
  <c r="L1808" i="8"/>
  <c r="L1809" i="8"/>
  <c r="L1810" i="8"/>
  <c r="L1811" i="8"/>
  <c r="L1812" i="8"/>
  <c r="L1813" i="8"/>
  <c r="L1814" i="8"/>
  <c r="L1815" i="8"/>
  <c r="L1816" i="8"/>
  <c r="L1817" i="8"/>
  <c r="L1818" i="8"/>
  <c r="L1819" i="8"/>
  <c r="L1820" i="8"/>
  <c r="L1821" i="8"/>
  <c r="L1822" i="8"/>
  <c r="L1823" i="8"/>
  <c r="L1824" i="8"/>
  <c r="L1825" i="8"/>
  <c r="L1826" i="8"/>
  <c r="L1827" i="8"/>
  <c r="L1828" i="8"/>
  <c r="L1829" i="8"/>
  <c r="L1830" i="8"/>
  <c r="L1831" i="8"/>
  <c r="L1832" i="8"/>
  <c r="L1833" i="8"/>
  <c r="L1834" i="8"/>
  <c r="L1835" i="8"/>
  <c r="L1836" i="8"/>
  <c r="L1837" i="8"/>
  <c r="L1838" i="8"/>
  <c r="L1839" i="8"/>
  <c r="L1840" i="8"/>
  <c r="L1841" i="8"/>
  <c r="L1842" i="8"/>
  <c r="L1843" i="8"/>
  <c r="L1844" i="8"/>
  <c r="L1845" i="8"/>
  <c r="L1846" i="8"/>
  <c r="L1847" i="8"/>
  <c r="L1848" i="8"/>
  <c r="L1849" i="8"/>
  <c r="L1850" i="8"/>
  <c r="L1851" i="8"/>
  <c r="L1852" i="8"/>
  <c r="L1853" i="8"/>
  <c r="L1854" i="8"/>
  <c r="L1855" i="8"/>
  <c r="L1856" i="8"/>
  <c r="L1857" i="8"/>
  <c r="L1858" i="8"/>
  <c r="L1859" i="8"/>
  <c r="L1860" i="8"/>
  <c r="L1861" i="8"/>
  <c r="L1862" i="8"/>
  <c r="L1863" i="8"/>
  <c r="L1864" i="8"/>
  <c r="L1865" i="8"/>
  <c r="L1866" i="8"/>
  <c r="L1867" i="8"/>
  <c r="L1868" i="8"/>
  <c r="L1869" i="8"/>
  <c r="L1870" i="8"/>
  <c r="L1871" i="8"/>
  <c r="L1872" i="8"/>
  <c r="L1873" i="8"/>
  <c r="L1874" i="8"/>
  <c r="L1875" i="8"/>
  <c r="L1876" i="8"/>
  <c r="L1877" i="8"/>
  <c r="L1878" i="8"/>
  <c r="L1879" i="8"/>
  <c r="L1880" i="8"/>
  <c r="L1881" i="8"/>
  <c r="L1882" i="8"/>
  <c r="L1883" i="8"/>
  <c r="L1884" i="8"/>
  <c r="L1885" i="8"/>
  <c r="L1886" i="8"/>
  <c r="L1887" i="8"/>
  <c r="L1888" i="8"/>
  <c r="L1889" i="8"/>
  <c r="L1890" i="8"/>
  <c r="L1891" i="8"/>
  <c r="L1892" i="8"/>
  <c r="L1893" i="8"/>
  <c r="L1894" i="8"/>
  <c r="L1895" i="8"/>
  <c r="L1896" i="8"/>
  <c r="L1897" i="8"/>
  <c r="L1898" i="8"/>
  <c r="L1899" i="8"/>
  <c r="L1900" i="8"/>
  <c r="L1901" i="8"/>
  <c r="L1902" i="8"/>
  <c r="L1903" i="8"/>
  <c r="L1904" i="8"/>
  <c r="L1905" i="8"/>
  <c r="L1906" i="8"/>
  <c r="L1907" i="8"/>
  <c r="L1908" i="8"/>
  <c r="L1909" i="8"/>
  <c r="L1910" i="8"/>
  <c r="L1911" i="8"/>
  <c r="L1912" i="8"/>
  <c r="L1913" i="8"/>
  <c r="L1914" i="8"/>
  <c r="L1915" i="8"/>
  <c r="L1916" i="8"/>
  <c r="L1917" i="8"/>
  <c r="L1918" i="8"/>
  <c r="L1919" i="8"/>
  <c r="L1920" i="8"/>
  <c r="L1921" i="8"/>
  <c r="L1922" i="8"/>
  <c r="L1923" i="8"/>
  <c r="L1924" i="8"/>
  <c r="L1925" i="8"/>
  <c r="L1926" i="8"/>
  <c r="L1927" i="8"/>
  <c r="L1928" i="8"/>
  <c r="L1929" i="8"/>
  <c r="L1930" i="8"/>
  <c r="L1931" i="8"/>
  <c r="L1932" i="8"/>
  <c r="L1933" i="8"/>
  <c r="L1934" i="8"/>
  <c r="L1935" i="8"/>
  <c r="L1936" i="8"/>
  <c r="L1937" i="8"/>
  <c r="L1938" i="8"/>
  <c r="L1939" i="8"/>
  <c r="L1940" i="8"/>
  <c r="L1941" i="8"/>
  <c r="L1942" i="8"/>
  <c r="L1943" i="8"/>
  <c r="L1944" i="8"/>
  <c r="L1945" i="8"/>
  <c r="L1946" i="8"/>
  <c r="L1947" i="8"/>
  <c r="L1948" i="8"/>
  <c r="L1949" i="8"/>
  <c r="L1950" i="8"/>
  <c r="L1951" i="8"/>
  <c r="L1952" i="8"/>
  <c r="L1953" i="8"/>
  <c r="L1954" i="8"/>
  <c r="L1955" i="8"/>
  <c r="L1956" i="8"/>
  <c r="L1957" i="8"/>
  <c r="L1958" i="8"/>
  <c r="L1959" i="8"/>
  <c r="L1960" i="8"/>
  <c r="L1961" i="8"/>
  <c r="L1962" i="8"/>
  <c r="L1963" i="8"/>
  <c r="L1964" i="8"/>
  <c r="L1965" i="8"/>
  <c r="L1966" i="8"/>
  <c r="L1967" i="8"/>
  <c r="L1968" i="8"/>
  <c r="L1969" i="8"/>
  <c r="L1970" i="8"/>
  <c r="L1971" i="8"/>
  <c r="L1972" i="8"/>
  <c r="L1973" i="8"/>
  <c r="L1974" i="8"/>
  <c r="L1975" i="8"/>
  <c r="L1976" i="8"/>
  <c r="L1977" i="8"/>
  <c r="L1978" i="8"/>
  <c r="L1979" i="8"/>
  <c r="L1980" i="8"/>
  <c r="L1981" i="8"/>
  <c r="L1982" i="8"/>
  <c r="L1983" i="8"/>
  <c r="L1984" i="8"/>
  <c r="L1985" i="8"/>
  <c r="L1986" i="8"/>
  <c r="L1987" i="8"/>
  <c r="L1988" i="8"/>
  <c r="L1989" i="8"/>
  <c r="L1990" i="8"/>
  <c r="L1991" i="8"/>
  <c r="L1992" i="8"/>
  <c r="L1993" i="8"/>
  <c r="L1994" i="8"/>
  <c r="L1995" i="8"/>
  <c r="L1996" i="8"/>
  <c r="L1997" i="8"/>
  <c r="L1998" i="8"/>
  <c r="L1999" i="8"/>
  <c r="L2000" i="8"/>
  <c r="L2001" i="8"/>
  <c r="K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38" i="8"/>
  <c r="K839" i="8"/>
  <c r="K840" i="8"/>
  <c r="K841" i="8"/>
  <c r="K842" i="8"/>
  <c r="K843" i="8"/>
  <c r="K844" i="8"/>
  <c r="K845" i="8"/>
  <c r="K846" i="8"/>
  <c r="K847" i="8"/>
  <c r="K848" i="8"/>
  <c r="K849" i="8"/>
  <c r="K850" i="8"/>
  <c r="K851" i="8"/>
  <c r="K852" i="8"/>
  <c r="K853" i="8"/>
  <c r="K854" i="8"/>
  <c r="K855" i="8"/>
  <c r="K856" i="8"/>
  <c r="K857" i="8"/>
  <c r="K858" i="8"/>
  <c r="K859" i="8"/>
  <c r="K860" i="8"/>
  <c r="K861" i="8"/>
  <c r="K862" i="8"/>
  <c r="K863" i="8"/>
  <c r="K864" i="8"/>
  <c r="K865" i="8"/>
  <c r="K866" i="8"/>
  <c r="K867" i="8"/>
  <c r="K868" i="8"/>
  <c r="K869" i="8"/>
  <c r="K870" i="8"/>
  <c r="K871" i="8"/>
  <c r="K872" i="8"/>
  <c r="K873" i="8"/>
  <c r="K874" i="8"/>
  <c r="K875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888" i="8"/>
  <c r="K889" i="8"/>
  <c r="K890" i="8"/>
  <c r="K891" i="8"/>
  <c r="K892" i="8"/>
  <c r="K893" i="8"/>
  <c r="K894" i="8"/>
  <c r="K895" i="8"/>
  <c r="K896" i="8"/>
  <c r="K897" i="8"/>
  <c r="K898" i="8"/>
  <c r="K899" i="8"/>
  <c r="K900" i="8"/>
  <c r="K901" i="8"/>
  <c r="K902" i="8"/>
  <c r="K903" i="8"/>
  <c r="K904" i="8"/>
  <c r="K905" i="8"/>
  <c r="K906" i="8"/>
  <c r="K907" i="8"/>
  <c r="K908" i="8"/>
  <c r="K909" i="8"/>
  <c r="K910" i="8"/>
  <c r="K911" i="8"/>
  <c r="K912" i="8"/>
  <c r="K913" i="8"/>
  <c r="K914" i="8"/>
  <c r="K915" i="8"/>
  <c r="K916" i="8"/>
  <c r="K917" i="8"/>
  <c r="K918" i="8"/>
  <c r="K919" i="8"/>
  <c r="K920" i="8"/>
  <c r="K921" i="8"/>
  <c r="K922" i="8"/>
  <c r="K923" i="8"/>
  <c r="K924" i="8"/>
  <c r="K925" i="8"/>
  <c r="K926" i="8"/>
  <c r="K927" i="8"/>
  <c r="K928" i="8"/>
  <c r="K929" i="8"/>
  <c r="K930" i="8"/>
  <c r="K931" i="8"/>
  <c r="K932" i="8"/>
  <c r="K933" i="8"/>
  <c r="K934" i="8"/>
  <c r="K935" i="8"/>
  <c r="K936" i="8"/>
  <c r="K937" i="8"/>
  <c r="K938" i="8"/>
  <c r="K939" i="8"/>
  <c r="K940" i="8"/>
  <c r="K941" i="8"/>
  <c r="K942" i="8"/>
  <c r="K943" i="8"/>
  <c r="K944" i="8"/>
  <c r="K945" i="8"/>
  <c r="K946" i="8"/>
  <c r="K947" i="8"/>
  <c r="K948" i="8"/>
  <c r="K949" i="8"/>
  <c r="K950" i="8"/>
  <c r="K951" i="8"/>
  <c r="K952" i="8"/>
  <c r="K953" i="8"/>
  <c r="K954" i="8"/>
  <c r="K955" i="8"/>
  <c r="K956" i="8"/>
  <c r="K957" i="8"/>
  <c r="K958" i="8"/>
  <c r="K959" i="8"/>
  <c r="K960" i="8"/>
  <c r="K961" i="8"/>
  <c r="K962" i="8"/>
  <c r="K963" i="8"/>
  <c r="K964" i="8"/>
  <c r="K965" i="8"/>
  <c r="K966" i="8"/>
  <c r="K967" i="8"/>
  <c r="K968" i="8"/>
  <c r="K969" i="8"/>
  <c r="K970" i="8"/>
  <c r="K971" i="8"/>
  <c r="K972" i="8"/>
  <c r="K973" i="8"/>
  <c r="K974" i="8"/>
  <c r="K975" i="8"/>
  <c r="K976" i="8"/>
  <c r="K977" i="8"/>
  <c r="K978" i="8"/>
  <c r="K979" i="8"/>
  <c r="K980" i="8"/>
  <c r="K981" i="8"/>
  <c r="K982" i="8"/>
  <c r="K983" i="8"/>
  <c r="K984" i="8"/>
  <c r="K985" i="8"/>
  <c r="K986" i="8"/>
  <c r="K987" i="8"/>
  <c r="K988" i="8"/>
  <c r="K989" i="8"/>
  <c r="K990" i="8"/>
  <c r="K991" i="8"/>
  <c r="K992" i="8"/>
  <c r="K993" i="8"/>
  <c r="K994" i="8"/>
  <c r="K995" i="8"/>
  <c r="K996" i="8"/>
  <c r="K997" i="8"/>
  <c r="K998" i="8"/>
  <c r="K999" i="8"/>
  <c r="K1000" i="8"/>
  <c r="K1001" i="8"/>
  <c r="K1002" i="8"/>
  <c r="K1003" i="8"/>
  <c r="K1004" i="8"/>
  <c r="K1005" i="8"/>
  <c r="K1006" i="8"/>
  <c r="K1007" i="8"/>
  <c r="K1008" i="8"/>
  <c r="K1009" i="8"/>
  <c r="K1010" i="8"/>
  <c r="K1011" i="8"/>
  <c r="K1012" i="8"/>
  <c r="K1013" i="8"/>
  <c r="K1014" i="8"/>
  <c r="K1015" i="8"/>
  <c r="K1016" i="8"/>
  <c r="K1017" i="8"/>
  <c r="K1018" i="8"/>
  <c r="K1019" i="8"/>
  <c r="K1020" i="8"/>
  <c r="K1021" i="8"/>
  <c r="K1022" i="8"/>
  <c r="K1023" i="8"/>
  <c r="K1024" i="8"/>
  <c r="K1025" i="8"/>
  <c r="K1026" i="8"/>
  <c r="K1027" i="8"/>
  <c r="K1028" i="8"/>
  <c r="K1029" i="8"/>
  <c r="K1030" i="8"/>
  <c r="K1031" i="8"/>
  <c r="K1032" i="8"/>
  <c r="K1033" i="8"/>
  <c r="K1034" i="8"/>
  <c r="K1035" i="8"/>
  <c r="K1036" i="8"/>
  <c r="K1037" i="8"/>
  <c r="K1038" i="8"/>
  <c r="K1039" i="8"/>
  <c r="K1040" i="8"/>
  <c r="K1041" i="8"/>
  <c r="K1042" i="8"/>
  <c r="K1043" i="8"/>
  <c r="K1044" i="8"/>
  <c r="K1045" i="8"/>
  <c r="K1046" i="8"/>
  <c r="K1047" i="8"/>
  <c r="K1048" i="8"/>
  <c r="K1049" i="8"/>
  <c r="K1050" i="8"/>
  <c r="K1051" i="8"/>
  <c r="K1052" i="8"/>
  <c r="K1053" i="8"/>
  <c r="K1054" i="8"/>
  <c r="K1055" i="8"/>
  <c r="K1056" i="8"/>
  <c r="K1057" i="8"/>
  <c r="K1058" i="8"/>
  <c r="K1059" i="8"/>
  <c r="K1060" i="8"/>
  <c r="K1061" i="8"/>
  <c r="K1062" i="8"/>
  <c r="K1063" i="8"/>
  <c r="K1064" i="8"/>
  <c r="K1065" i="8"/>
  <c r="K1066" i="8"/>
  <c r="K1067" i="8"/>
  <c r="K1068" i="8"/>
  <c r="K1069" i="8"/>
  <c r="K1070" i="8"/>
  <c r="K1071" i="8"/>
  <c r="K1072" i="8"/>
  <c r="K1073" i="8"/>
  <c r="K1074" i="8"/>
  <c r="K1075" i="8"/>
  <c r="K1076" i="8"/>
  <c r="K1077" i="8"/>
  <c r="K1078" i="8"/>
  <c r="K1079" i="8"/>
  <c r="K1080" i="8"/>
  <c r="K1081" i="8"/>
  <c r="K1082" i="8"/>
  <c r="K1083" i="8"/>
  <c r="K1084" i="8"/>
  <c r="K1085" i="8"/>
  <c r="K1086" i="8"/>
  <c r="K1087" i="8"/>
  <c r="K1088" i="8"/>
  <c r="K1089" i="8"/>
  <c r="K1090" i="8"/>
  <c r="K1091" i="8"/>
  <c r="K1092" i="8"/>
  <c r="K1093" i="8"/>
  <c r="K1094" i="8"/>
  <c r="K1095" i="8"/>
  <c r="K1096" i="8"/>
  <c r="K1097" i="8"/>
  <c r="K1098" i="8"/>
  <c r="K1099" i="8"/>
  <c r="K1100" i="8"/>
  <c r="K1101" i="8"/>
  <c r="K1102" i="8"/>
  <c r="K1103" i="8"/>
  <c r="K1104" i="8"/>
  <c r="K1105" i="8"/>
  <c r="K1106" i="8"/>
  <c r="K1107" i="8"/>
  <c r="K1108" i="8"/>
  <c r="K1109" i="8"/>
  <c r="K1110" i="8"/>
  <c r="K1111" i="8"/>
  <c r="K1112" i="8"/>
  <c r="K1113" i="8"/>
  <c r="K1114" i="8"/>
  <c r="K1115" i="8"/>
  <c r="K1116" i="8"/>
  <c r="K1117" i="8"/>
  <c r="K1118" i="8"/>
  <c r="K1119" i="8"/>
  <c r="K1120" i="8"/>
  <c r="K1121" i="8"/>
  <c r="K1122" i="8"/>
  <c r="K1123" i="8"/>
  <c r="K1124" i="8"/>
  <c r="K1125" i="8"/>
  <c r="K1126" i="8"/>
  <c r="K1127" i="8"/>
  <c r="K1128" i="8"/>
  <c r="K1129" i="8"/>
  <c r="K1130" i="8"/>
  <c r="K1131" i="8"/>
  <c r="K1132" i="8"/>
  <c r="K1133" i="8"/>
  <c r="K1134" i="8"/>
  <c r="K1135" i="8"/>
  <c r="K1136" i="8"/>
  <c r="K1137" i="8"/>
  <c r="K1138" i="8"/>
  <c r="K1139" i="8"/>
  <c r="K1140" i="8"/>
  <c r="K1141" i="8"/>
  <c r="K1142" i="8"/>
  <c r="K1143" i="8"/>
  <c r="K1144" i="8"/>
  <c r="K1145" i="8"/>
  <c r="K1146" i="8"/>
  <c r="K1147" i="8"/>
  <c r="K1148" i="8"/>
  <c r="K1149" i="8"/>
  <c r="K1150" i="8"/>
  <c r="K1151" i="8"/>
  <c r="K1152" i="8"/>
  <c r="K1153" i="8"/>
  <c r="K1154" i="8"/>
  <c r="K1155" i="8"/>
  <c r="K1156" i="8"/>
  <c r="K1157" i="8"/>
  <c r="K1158" i="8"/>
  <c r="K1159" i="8"/>
  <c r="K1160" i="8"/>
  <c r="K1161" i="8"/>
  <c r="K1162" i="8"/>
  <c r="K1163" i="8"/>
  <c r="K1164" i="8"/>
  <c r="K1165" i="8"/>
  <c r="K1166" i="8"/>
  <c r="K1167" i="8"/>
  <c r="K1168" i="8"/>
  <c r="K1169" i="8"/>
  <c r="K1170" i="8"/>
  <c r="K1171" i="8"/>
  <c r="K1172" i="8"/>
  <c r="K1173" i="8"/>
  <c r="K1174" i="8"/>
  <c r="K1175" i="8"/>
  <c r="K1176" i="8"/>
  <c r="K1177" i="8"/>
  <c r="K1178" i="8"/>
  <c r="K1179" i="8"/>
  <c r="K1180" i="8"/>
  <c r="K1181" i="8"/>
  <c r="K1182" i="8"/>
  <c r="K1183" i="8"/>
  <c r="K1184" i="8"/>
  <c r="K1185" i="8"/>
  <c r="K1186" i="8"/>
  <c r="K1187" i="8"/>
  <c r="K1188" i="8"/>
  <c r="K1189" i="8"/>
  <c r="K1190" i="8"/>
  <c r="K1191" i="8"/>
  <c r="K1192" i="8"/>
  <c r="K1193" i="8"/>
  <c r="K1194" i="8"/>
  <c r="K1195" i="8"/>
  <c r="K1196" i="8"/>
  <c r="K1197" i="8"/>
  <c r="K1198" i="8"/>
  <c r="K1199" i="8"/>
  <c r="K1200" i="8"/>
  <c r="K1201" i="8"/>
  <c r="K1202" i="8"/>
  <c r="K1203" i="8"/>
  <c r="K1204" i="8"/>
  <c r="K1205" i="8"/>
  <c r="K1206" i="8"/>
  <c r="K1207" i="8"/>
  <c r="K1208" i="8"/>
  <c r="K1209" i="8"/>
  <c r="K1210" i="8"/>
  <c r="K1211" i="8"/>
  <c r="K1212" i="8"/>
  <c r="K1213" i="8"/>
  <c r="K1214" i="8"/>
  <c r="K1215" i="8"/>
  <c r="K1216" i="8"/>
  <c r="K1217" i="8"/>
  <c r="K1218" i="8"/>
  <c r="K1219" i="8"/>
  <c r="K1220" i="8"/>
  <c r="K1221" i="8"/>
  <c r="K1222" i="8"/>
  <c r="K1223" i="8"/>
  <c r="K1224" i="8"/>
  <c r="K1225" i="8"/>
  <c r="K1226" i="8"/>
  <c r="K1227" i="8"/>
  <c r="K1228" i="8"/>
  <c r="K1229" i="8"/>
  <c r="K1230" i="8"/>
  <c r="K1231" i="8"/>
  <c r="K1232" i="8"/>
  <c r="K1233" i="8"/>
  <c r="K1234" i="8"/>
  <c r="K1235" i="8"/>
  <c r="K1236" i="8"/>
  <c r="K1237" i="8"/>
  <c r="K1238" i="8"/>
  <c r="K1239" i="8"/>
  <c r="K1240" i="8"/>
  <c r="K1241" i="8"/>
  <c r="K1242" i="8"/>
  <c r="K1243" i="8"/>
  <c r="K1244" i="8"/>
  <c r="K1245" i="8"/>
  <c r="K1246" i="8"/>
  <c r="K1247" i="8"/>
  <c r="K1248" i="8"/>
  <c r="K1249" i="8"/>
  <c r="K1250" i="8"/>
  <c r="K1251" i="8"/>
  <c r="K1252" i="8"/>
  <c r="K1253" i="8"/>
  <c r="K1254" i="8"/>
  <c r="K1255" i="8"/>
  <c r="K1256" i="8"/>
  <c r="K1257" i="8"/>
  <c r="K1258" i="8"/>
  <c r="K1259" i="8"/>
  <c r="K1260" i="8"/>
  <c r="K1261" i="8"/>
  <c r="K1262" i="8"/>
  <c r="K1263" i="8"/>
  <c r="K1264" i="8"/>
  <c r="K1265" i="8"/>
  <c r="K1266" i="8"/>
  <c r="K1267" i="8"/>
  <c r="K1268" i="8"/>
  <c r="K1269" i="8"/>
  <c r="K1270" i="8"/>
  <c r="K1271" i="8"/>
  <c r="K1272" i="8"/>
  <c r="K1273" i="8"/>
  <c r="K1274" i="8"/>
  <c r="K1275" i="8"/>
  <c r="K1276" i="8"/>
  <c r="K1277" i="8"/>
  <c r="K1278" i="8"/>
  <c r="K1279" i="8"/>
  <c r="K1280" i="8"/>
  <c r="K1281" i="8"/>
  <c r="K1282" i="8"/>
  <c r="K1283" i="8"/>
  <c r="K1284" i="8"/>
  <c r="K1285" i="8"/>
  <c r="K1286" i="8"/>
  <c r="K1287" i="8"/>
  <c r="K1288" i="8"/>
  <c r="K1289" i="8"/>
  <c r="K1290" i="8"/>
  <c r="K1291" i="8"/>
  <c r="K1292" i="8"/>
  <c r="K1293" i="8"/>
  <c r="K1294" i="8"/>
  <c r="K1295" i="8"/>
  <c r="K1296" i="8"/>
  <c r="K1297" i="8"/>
  <c r="K1298" i="8"/>
  <c r="K1299" i="8"/>
  <c r="K1300" i="8"/>
  <c r="K1301" i="8"/>
  <c r="K1302" i="8"/>
  <c r="K1303" i="8"/>
  <c r="K1304" i="8"/>
  <c r="K1305" i="8"/>
  <c r="K1306" i="8"/>
  <c r="K1307" i="8"/>
  <c r="K1308" i="8"/>
  <c r="K1309" i="8"/>
  <c r="K1310" i="8"/>
  <c r="K1311" i="8"/>
  <c r="K1312" i="8"/>
  <c r="K1313" i="8"/>
  <c r="K1314" i="8"/>
  <c r="K1315" i="8"/>
  <c r="K1316" i="8"/>
  <c r="K1317" i="8"/>
  <c r="K1318" i="8"/>
  <c r="K1319" i="8"/>
  <c r="K1320" i="8"/>
  <c r="K1321" i="8"/>
  <c r="K1322" i="8"/>
  <c r="K1323" i="8"/>
  <c r="K1324" i="8"/>
  <c r="K1325" i="8"/>
  <c r="K1326" i="8"/>
  <c r="K1327" i="8"/>
  <c r="K1328" i="8"/>
  <c r="K1329" i="8"/>
  <c r="K1330" i="8"/>
  <c r="K1331" i="8"/>
  <c r="K1332" i="8"/>
  <c r="K1333" i="8"/>
  <c r="K1334" i="8"/>
  <c r="K1335" i="8"/>
  <c r="K1336" i="8"/>
  <c r="K1337" i="8"/>
  <c r="K1338" i="8"/>
  <c r="K1339" i="8"/>
  <c r="K1340" i="8"/>
  <c r="K1341" i="8"/>
  <c r="K1342" i="8"/>
  <c r="K1343" i="8"/>
  <c r="K1344" i="8"/>
  <c r="K1345" i="8"/>
  <c r="K1346" i="8"/>
  <c r="K1347" i="8"/>
  <c r="K1348" i="8"/>
  <c r="K1349" i="8"/>
  <c r="K1350" i="8"/>
  <c r="K1351" i="8"/>
  <c r="K1352" i="8"/>
  <c r="K1353" i="8"/>
  <c r="K1354" i="8"/>
  <c r="K1355" i="8"/>
  <c r="K1356" i="8"/>
  <c r="K1357" i="8"/>
  <c r="K1358" i="8"/>
  <c r="K1359" i="8"/>
  <c r="K1360" i="8"/>
  <c r="K1361" i="8"/>
  <c r="K1362" i="8"/>
  <c r="K1363" i="8"/>
  <c r="K1364" i="8"/>
  <c r="K1365" i="8"/>
  <c r="K1366" i="8"/>
  <c r="K1367" i="8"/>
  <c r="K1368" i="8"/>
  <c r="K1369" i="8"/>
  <c r="K1370" i="8"/>
  <c r="K1371" i="8"/>
  <c r="K1372" i="8"/>
  <c r="K1373" i="8"/>
  <c r="K1374" i="8"/>
  <c r="K1375" i="8"/>
  <c r="K1376" i="8"/>
  <c r="K1377" i="8"/>
  <c r="K1378" i="8"/>
  <c r="K1379" i="8"/>
  <c r="K1380" i="8"/>
  <c r="K1381" i="8"/>
  <c r="K1382" i="8"/>
  <c r="K1383" i="8"/>
  <c r="K1384" i="8"/>
  <c r="K1385" i="8"/>
  <c r="K1386" i="8"/>
  <c r="K1387" i="8"/>
  <c r="K1388" i="8"/>
  <c r="K1389" i="8"/>
  <c r="K1390" i="8"/>
  <c r="K1391" i="8"/>
  <c r="K1392" i="8"/>
  <c r="K1393" i="8"/>
  <c r="K1394" i="8"/>
  <c r="K1395" i="8"/>
  <c r="K1396" i="8"/>
  <c r="K1397" i="8"/>
  <c r="K1398" i="8"/>
  <c r="K1399" i="8"/>
  <c r="K1400" i="8"/>
  <c r="K1401" i="8"/>
  <c r="K1402" i="8"/>
  <c r="K1403" i="8"/>
  <c r="K1404" i="8"/>
  <c r="K1405" i="8"/>
  <c r="K1406" i="8"/>
  <c r="K1407" i="8"/>
  <c r="K1408" i="8"/>
  <c r="K1409" i="8"/>
  <c r="K1410" i="8"/>
  <c r="K1411" i="8"/>
  <c r="K1412" i="8"/>
  <c r="K1413" i="8"/>
  <c r="K1414" i="8"/>
  <c r="K1415" i="8"/>
  <c r="K1416" i="8"/>
  <c r="K1417" i="8"/>
  <c r="K1418" i="8"/>
  <c r="K1419" i="8"/>
  <c r="K1420" i="8"/>
  <c r="K1421" i="8"/>
  <c r="K1422" i="8"/>
  <c r="K1423" i="8"/>
  <c r="K1424" i="8"/>
  <c r="K1425" i="8"/>
  <c r="K1426" i="8"/>
  <c r="K1427" i="8"/>
  <c r="K1428" i="8"/>
  <c r="K1429" i="8"/>
  <c r="K1430" i="8"/>
  <c r="K1431" i="8"/>
  <c r="K1432" i="8"/>
  <c r="K1433" i="8"/>
  <c r="K1434" i="8"/>
  <c r="K1435" i="8"/>
  <c r="K1436" i="8"/>
  <c r="K1437" i="8"/>
  <c r="K1438" i="8"/>
  <c r="K1439" i="8"/>
  <c r="K1440" i="8"/>
  <c r="K1441" i="8"/>
  <c r="K1442" i="8"/>
  <c r="K1443" i="8"/>
  <c r="K1444" i="8"/>
  <c r="K1445" i="8"/>
  <c r="K1446" i="8"/>
  <c r="K1447" i="8"/>
  <c r="K1448" i="8"/>
  <c r="K1449" i="8"/>
  <c r="K1450" i="8"/>
  <c r="K1451" i="8"/>
  <c r="K1452" i="8"/>
  <c r="K1453" i="8"/>
  <c r="K1454" i="8"/>
  <c r="K1455" i="8"/>
  <c r="K1456" i="8"/>
  <c r="K1457" i="8"/>
  <c r="K1458" i="8"/>
  <c r="K1459" i="8"/>
  <c r="K1460" i="8"/>
  <c r="K1461" i="8"/>
  <c r="K1462" i="8"/>
  <c r="K1463" i="8"/>
  <c r="K1464" i="8"/>
  <c r="K1465" i="8"/>
  <c r="K1466" i="8"/>
  <c r="K1467" i="8"/>
  <c r="K1468" i="8"/>
  <c r="K1469" i="8"/>
  <c r="K1470" i="8"/>
  <c r="K1471" i="8"/>
  <c r="K1472" i="8"/>
  <c r="K1473" i="8"/>
  <c r="K1474" i="8"/>
  <c r="K1475" i="8"/>
  <c r="K1476" i="8"/>
  <c r="K1477" i="8"/>
  <c r="K1478" i="8"/>
  <c r="K1479" i="8"/>
  <c r="K1480" i="8"/>
  <c r="K1481" i="8"/>
  <c r="K1482" i="8"/>
  <c r="K1483" i="8"/>
  <c r="K1484" i="8"/>
  <c r="K1485" i="8"/>
  <c r="K1486" i="8"/>
  <c r="K1487" i="8"/>
  <c r="K1488" i="8"/>
  <c r="K1489" i="8"/>
  <c r="K1490" i="8"/>
  <c r="K1491" i="8"/>
  <c r="K1492" i="8"/>
  <c r="K1493" i="8"/>
  <c r="K1494" i="8"/>
  <c r="K1495" i="8"/>
  <c r="K1496" i="8"/>
  <c r="K1497" i="8"/>
  <c r="K1498" i="8"/>
  <c r="K1499" i="8"/>
  <c r="K1500" i="8"/>
  <c r="K1501" i="8"/>
  <c r="K1502" i="8"/>
  <c r="K1503" i="8"/>
  <c r="K1504" i="8"/>
  <c r="K1505" i="8"/>
  <c r="K1506" i="8"/>
  <c r="K1507" i="8"/>
  <c r="K1508" i="8"/>
  <c r="K1509" i="8"/>
  <c r="K1510" i="8"/>
  <c r="K1511" i="8"/>
  <c r="K1512" i="8"/>
  <c r="K1513" i="8"/>
  <c r="K1514" i="8"/>
  <c r="K1515" i="8"/>
  <c r="K1516" i="8"/>
  <c r="K1517" i="8"/>
  <c r="K1518" i="8"/>
  <c r="K1519" i="8"/>
  <c r="K1520" i="8"/>
  <c r="K1521" i="8"/>
  <c r="K1522" i="8"/>
  <c r="K1523" i="8"/>
  <c r="K1524" i="8"/>
  <c r="K1525" i="8"/>
  <c r="K1526" i="8"/>
  <c r="K1527" i="8"/>
  <c r="K1528" i="8"/>
  <c r="K1529" i="8"/>
  <c r="K1530" i="8"/>
  <c r="K1531" i="8"/>
  <c r="K1532" i="8"/>
  <c r="K1533" i="8"/>
  <c r="K1534" i="8"/>
  <c r="K1535" i="8"/>
  <c r="K1536" i="8"/>
  <c r="K1537" i="8"/>
  <c r="K1538" i="8"/>
  <c r="K1539" i="8"/>
  <c r="K1540" i="8"/>
  <c r="K1541" i="8"/>
  <c r="K1542" i="8"/>
  <c r="K1543" i="8"/>
  <c r="K1544" i="8"/>
  <c r="K1545" i="8"/>
  <c r="K1546" i="8"/>
  <c r="K1547" i="8"/>
  <c r="K1548" i="8"/>
  <c r="K1549" i="8"/>
  <c r="K1550" i="8"/>
  <c r="K1551" i="8"/>
  <c r="K1552" i="8"/>
  <c r="K1553" i="8"/>
  <c r="K1554" i="8"/>
  <c r="K1555" i="8"/>
  <c r="K1556" i="8"/>
  <c r="K1557" i="8"/>
  <c r="K1558" i="8"/>
  <c r="K1559" i="8"/>
  <c r="K1560" i="8"/>
  <c r="K1561" i="8"/>
  <c r="K1562" i="8"/>
  <c r="K1563" i="8"/>
  <c r="K1564" i="8"/>
  <c r="K1565" i="8"/>
  <c r="K1566" i="8"/>
  <c r="K1567" i="8"/>
  <c r="K1568" i="8"/>
  <c r="K1569" i="8"/>
  <c r="K1570" i="8"/>
  <c r="K1571" i="8"/>
  <c r="K1572" i="8"/>
  <c r="K1573" i="8"/>
  <c r="K1574" i="8"/>
  <c r="K1575" i="8"/>
  <c r="K1576" i="8"/>
  <c r="K1577" i="8"/>
  <c r="K1578" i="8"/>
  <c r="K1579" i="8"/>
  <c r="K1580" i="8"/>
  <c r="K1581" i="8"/>
  <c r="K1582" i="8"/>
  <c r="K1583" i="8"/>
  <c r="K1584" i="8"/>
  <c r="K1585" i="8"/>
  <c r="K1586" i="8"/>
  <c r="K1587" i="8"/>
  <c r="K1588" i="8"/>
  <c r="K1589" i="8"/>
  <c r="K1590" i="8"/>
  <c r="K1591" i="8"/>
  <c r="K1592" i="8"/>
  <c r="K1593" i="8"/>
  <c r="K1594" i="8"/>
  <c r="K1595" i="8"/>
  <c r="K1596" i="8"/>
  <c r="K1597" i="8"/>
  <c r="K1598" i="8"/>
  <c r="K1599" i="8"/>
  <c r="K1600" i="8"/>
  <c r="K1601" i="8"/>
  <c r="K1602" i="8"/>
  <c r="K1603" i="8"/>
  <c r="K1604" i="8"/>
  <c r="K1605" i="8"/>
  <c r="K1606" i="8"/>
  <c r="K1607" i="8"/>
  <c r="K1608" i="8"/>
  <c r="K1609" i="8"/>
  <c r="K1610" i="8"/>
  <c r="K1611" i="8"/>
  <c r="K1612" i="8"/>
  <c r="K1613" i="8"/>
  <c r="K1614" i="8"/>
  <c r="K1615" i="8"/>
  <c r="K1616" i="8"/>
  <c r="K1617" i="8"/>
  <c r="K1618" i="8"/>
  <c r="K1619" i="8"/>
  <c r="K1620" i="8"/>
  <c r="K1621" i="8"/>
  <c r="K1622" i="8"/>
  <c r="K1623" i="8"/>
  <c r="K1624" i="8"/>
  <c r="K1625" i="8"/>
  <c r="K1626" i="8"/>
  <c r="K1627" i="8"/>
  <c r="K1628" i="8"/>
  <c r="K1629" i="8"/>
  <c r="K1630" i="8"/>
  <c r="K1631" i="8"/>
  <c r="K1632" i="8"/>
  <c r="K1633" i="8"/>
  <c r="K1634" i="8"/>
  <c r="K1635" i="8"/>
  <c r="K1636" i="8"/>
  <c r="K1637" i="8"/>
  <c r="K1638" i="8"/>
  <c r="K1639" i="8"/>
  <c r="K1640" i="8"/>
  <c r="K1641" i="8"/>
  <c r="K1642" i="8"/>
  <c r="K1643" i="8"/>
  <c r="K1644" i="8"/>
  <c r="K1645" i="8"/>
  <c r="K1646" i="8"/>
  <c r="K1647" i="8"/>
  <c r="K1648" i="8"/>
  <c r="K1649" i="8"/>
  <c r="K1650" i="8"/>
  <c r="K1651" i="8"/>
  <c r="K1652" i="8"/>
  <c r="K1653" i="8"/>
  <c r="K1654" i="8"/>
  <c r="K1655" i="8"/>
  <c r="K1656" i="8"/>
  <c r="K1657" i="8"/>
  <c r="K1658" i="8"/>
  <c r="K1659" i="8"/>
  <c r="K1660" i="8"/>
  <c r="K1661" i="8"/>
  <c r="K1662" i="8"/>
  <c r="K1663" i="8"/>
  <c r="K1664" i="8"/>
  <c r="K1665" i="8"/>
  <c r="K1666" i="8"/>
  <c r="K1667" i="8"/>
  <c r="K1668" i="8"/>
  <c r="K1669" i="8"/>
  <c r="K1670" i="8"/>
  <c r="K1671" i="8"/>
  <c r="K1672" i="8"/>
  <c r="K1673" i="8"/>
  <c r="K1674" i="8"/>
  <c r="K1675" i="8"/>
  <c r="K1676" i="8"/>
  <c r="K1677" i="8"/>
  <c r="K1678" i="8"/>
  <c r="K1679" i="8"/>
  <c r="K1680" i="8"/>
  <c r="K1681" i="8"/>
  <c r="K1682" i="8"/>
  <c r="K1683" i="8"/>
  <c r="K1684" i="8"/>
  <c r="K1685" i="8"/>
  <c r="K1686" i="8"/>
  <c r="K1687" i="8"/>
  <c r="K1688" i="8"/>
  <c r="K1689" i="8"/>
  <c r="K1690" i="8"/>
  <c r="K1691" i="8"/>
  <c r="K1692" i="8"/>
  <c r="K1693" i="8"/>
  <c r="K1694" i="8"/>
  <c r="K1695" i="8"/>
  <c r="K1696" i="8"/>
  <c r="K1697" i="8"/>
  <c r="K1698" i="8"/>
  <c r="K1699" i="8"/>
  <c r="K1700" i="8"/>
  <c r="K1701" i="8"/>
  <c r="K1702" i="8"/>
  <c r="K1703" i="8"/>
  <c r="K1704" i="8"/>
  <c r="K1705" i="8"/>
  <c r="K1706" i="8"/>
  <c r="K1707" i="8"/>
  <c r="K1708" i="8"/>
  <c r="K1709" i="8"/>
  <c r="K1710" i="8"/>
  <c r="K1711" i="8"/>
  <c r="K1712" i="8"/>
  <c r="K1713" i="8"/>
  <c r="K1714" i="8"/>
  <c r="K1715" i="8"/>
  <c r="K1716" i="8"/>
  <c r="K1717" i="8"/>
  <c r="K1718" i="8"/>
  <c r="K1719" i="8"/>
  <c r="K1720" i="8"/>
  <c r="K1721" i="8"/>
  <c r="K1722" i="8"/>
  <c r="K1723" i="8"/>
  <c r="K1724" i="8"/>
  <c r="K1725" i="8"/>
  <c r="K1726" i="8"/>
  <c r="K1727" i="8"/>
  <c r="K1728" i="8"/>
  <c r="K1729" i="8"/>
  <c r="K1730" i="8"/>
  <c r="K1731" i="8"/>
  <c r="K1732" i="8"/>
  <c r="K1733" i="8"/>
  <c r="K1734" i="8"/>
  <c r="K1735" i="8"/>
  <c r="K1736" i="8"/>
  <c r="K1737" i="8"/>
  <c r="K1738" i="8"/>
  <c r="K1739" i="8"/>
  <c r="K1740" i="8"/>
  <c r="K1741" i="8"/>
  <c r="K1742" i="8"/>
  <c r="K1743" i="8"/>
  <c r="K1744" i="8"/>
  <c r="K1745" i="8"/>
  <c r="K1746" i="8"/>
  <c r="K1747" i="8"/>
  <c r="K1748" i="8"/>
  <c r="K1749" i="8"/>
  <c r="K1750" i="8"/>
  <c r="K1751" i="8"/>
  <c r="K1752" i="8"/>
  <c r="K1753" i="8"/>
  <c r="K1754" i="8"/>
  <c r="K1755" i="8"/>
  <c r="K1756" i="8"/>
  <c r="K1757" i="8"/>
  <c r="K1758" i="8"/>
  <c r="K1759" i="8"/>
  <c r="K1760" i="8"/>
  <c r="K1761" i="8"/>
  <c r="K1762" i="8"/>
  <c r="K1763" i="8"/>
  <c r="K1764" i="8"/>
  <c r="K1765" i="8"/>
  <c r="K1766" i="8"/>
  <c r="K1767" i="8"/>
  <c r="K1768" i="8"/>
  <c r="K1769" i="8"/>
  <c r="K1770" i="8"/>
  <c r="K1771" i="8"/>
  <c r="K1772" i="8"/>
  <c r="K1773" i="8"/>
  <c r="K1774" i="8"/>
  <c r="K1775" i="8"/>
  <c r="K1776" i="8"/>
  <c r="K1777" i="8"/>
  <c r="K1778" i="8"/>
  <c r="K1779" i="8"/>
  <c r="K1780" i="8"/>
  <c r="K1781" i="8"/>
  <c r="K1782" i="8"/>
  <c r="K1783" i="8"/>
  <c r="K1784" i="8"/>
  <c r="K1785" i="8"/>
  <c r="K1786" i="8"/>
  <c r="K1787" i="8"/>
  <c r="K1788" i="8"/>
  <c r="K1789" i="8"/>
  <c r="K1790" i="8"/>
  <c r="K1791" i="8"/>
  <c r="K1792" i="8"/>
  <c r="K1793" i="8"/>
  <c r="K1794" i="8"/>
  <c r="K1795" i="8"/>
  <c r="K1796" i="8"/>
  <c r="K1797" i="8"/>
  <c r="K1798" i="8"/>
  <c r="K1799" i="8"/>
  <c r="K1800" i="8"/>
  <c r="K1801" i="8"/>
  <c r="K1802" i="8"/>
  <c r="K1803" i="8"/>
  <c r="K1804" i="8"/>
  <c r="K1805" i="8"/>
  <c r="K1806" i="8"/>
  <c r="K1807" i="8"/>
  <c r="K1808" i="8"/>
  <c r="K1809" i="8"/>
  <c r="K1810" i="8"/>
  <c r="K1811" i="8"/>
  <c r="K1812" i="8"/>
  <c r="K1813" i="8"/>
  <c r="K1814" i="8"/>
  <c r="K1815" i="8"/>
  <c r="K1816" i="8"/>
  <c r="K1817" i="8"/>
  <c r="K1818" i="8"/>
  <c r="K1819" i="8"/>
  <c r="K1820" i="8"/>
  <c r="K1821" i="8"/>
  <c r="K1822" i="8"/>
  <c r="K1823" i="8"/>
  <c r="K1824" i="8"/>
  <c r="K1825" i="8"/>
  <c r="K1826" i="8"/>
  <c r="K1827" i="8"/>
  <c r="K1828" i="8"/>
  <c r="K1829" i="8"/>
  <c r="K1830" i="8"/>
  <c r="K1831" i="8"/>
  <c r="K1832" i="8"/>
  <c r="K1833" i="8"/>
  <c r="K1834" i="8"/>
  <c r="K1835" i="8"/>
  <c r="K1836" i="8"/>
  <c r="K1837" i="8"/>
  <c r="K1838" i="8"/>
  <c r="K1839" i="8"/>
  <c r="K1840" i="8"/>
  <c r="K1841" i="8"/>
  <c r="K1842" i="8"/>
  <c r="K1843" i="8"/>
  <c r="K1844" i="8"/>
  <c r="K1845" i="8"/>
  <c r="K1846" i="8"/>
  <c r="K1847" i="8"/>
  <c r="K1848" i="8"/>
  <c r="K1849" i="8"/>
  <c r="K1850" i="8"/>
  <c r="K1851" i="8"/>
  <c r="K1852" i="8"/>
  <c r="K1853" i="8"/>
  <c r="K1854" i="8"/>
  <c r="K1855" i="8"/>
  <c r="K1856" i="8"/>
  <c r="K1857" i="8"/>
  <c r="K1858" i="8"/>
  <c r="K1859" i="8"/>
  <c r="K1860" i="8"/>
  <c r="K1861" i="8"/>
  <c r="K1862" i="8"/>
  <c r="K1863" i="8"/>
  <c r="K1864" i="8"/>
  <c r="K1865" i="8"/>
  <c r="K1866" i="8"/>
  <c r="K1867" i="8"/>
  <c r="K1868" i="8"/>
  <c r="K1869" i="8"/>
  <c r="K1870" i="8"/>
  <c r="K1871" i="8"/>
  <c r="K1872" i="8"/>
  <c r="K1873" i="8"/>
  <c r="K1874" i="8"/>
  <c r="K1875" i="8"/>
  <c r="K1876" i="8"/>
  <c r="K1877" i="8"/>
  <c r="K1878" i="8"/>
  <c r="K1879" i="8"/>
  <c r="K1880" i="8"/>
  <c r="K1881" i="8"/>
  <c r="K1882" i="8"/>
  <c r="K1883" i="8"/>
  <c r="K1884" i="8"/>
  <c r="K1885" i="8"/>
  <c r="K1886" i="8"/>
  <c r="K1887" i="8"/>
  <c r="K1888" i="8"/>
  <c r="K1889" i="8"/>
  <c r="K1890" i="8"/>
  <c r="K1891" i="8"/>
  <c r="K1892" i="8"/>
  <c r="K1893" i="8"/>
  <c r="K1894" i="8"/>
  <c r="K1895" i="8"/>
  <c r="K1896" i="8"/>
  <c r="K1897" i="8"/>
  <c r="K1898" i="8"/>
  <c r="K1899" i="8"/>
  <c r="K1900" i="8"/>
  <c r="K1901" i="8"/>
  <c r="K1902" i="8"/>
  <c r="K1903" i="8"/>
  <c r="K1904" i="8"/>
  <c r="K1905" i="8"/>
  <c r="K1906" i="8"/>
  <c r="K1907" i="8"/>
  <c r="K1908" i="8"/>
  <c r="K1909" i="8"/>
  <c r="K1910" i="8"/>
  <c r="K1911" i="8"/>
  <c r="K1912" i="8"/>
  <c r="K1913" i="8"/>
  <c r="K1914" i="8"/>
  <c r="K1915" i="8"/>
  <c r="K1916" i="8"/>
  <c r="K1917" i="8"/>
  <c r="K1918" i="8"/>
  <c r="K1919" i="8"/>
  <c r="K1920" i="8"/>
  <c r="K1921" i="8"/>
  <c r="K1922" i="8"/>
  <c r="K1923" i="8"/>
  <c r="K1924" i="8"/>
  <c r="K1925" i="8"/>
  <c r="K1926" i="8"/>
  <c r="K1927" i="8"/>
  <c r="K1928" i="8"/>
  <c r="K1929" i="8"/>
  <c r="K1930" i="8"/>
  <c r="K1931" i="8"/>
  <c r="K1932" i="8"/>
  <c r="K1933" i="8"/>
  <c r="K1934" i="8"/>
  <c r="K1935" i="8"/>
  <c r="K1936" i="8"/>
  <c r="K1937" i="8"/>
  <c r="K1938" i="8"/>
  <c r="K1939" i="8"/>
  <c r="K1940" i="8"/>
  <c r="K1941" i="8"/>
  <c r="K1942" i="8"/>
  <c r="K1943" i="8"/>
  <c r="K1944" i="8"/>
  <c r="K1945" i="8"/>
  <c r="K1946" i="8"/>
  <c r="K1947" i="8"/>
  <c r="K1948" i="8"/>
  <c r="K1949" i="8"/>
  <c r="K1950" i="8"/>
  <c r="K1951" i="8"/>
  <c r="K1952" i="8"/>
  <c r="K1953" i="8"/>
  <c r="K1954" i="8"/>
  <c r="K1955" i="8"/>
  <c r="K1956" i="8"/>
  <c r="K1957" i="8"/>
  <c r="K1958" i="8"/>
  <c r="K1959" i="8"/>
  <c r="K1960" i="8"/>
  <c r="K1961" i="8"/>
  <c r="K1962" i="8"/>
  <c r="K1963" i="8"/>
  <c r="K1964" i="8"/>
  <c r="K1965" i="8"/>
  <c r="K1966" i="8"/>
  <c r="K1967" i="8"/>
  <c r="K1968" i="8"/>
  <c r="K1969" i="8"/>
  <c r="K1970" i="8"/>
  <c r="K1971" i="8"/>
  <c r="K1972" i="8"/>
  <c r="K1973" i="8"/>
  <c r="K1974" i="8"/>
  <c r="K1975" i="8"/>
  <c r="K1976" i="8"/>
  <c r="K1977" i="8"/>
  <c r="K1978" i="8"/>
  <c r="K1979" i="8"/>
  <c r="K1980" i="8"/>
  <c r="K1981" i="8"/>
  <c r="K1982" i="8"/>
  <c r="K1983" i="8"/>
  <c r="K1984" i="8"/>
  <c r="K1985" i="8"/>
  <c r="K1986" i="8"/>
  <c r="K1987" i="8"/>
  <c r="K1988" i="8"/>
  <c r="K1989" i="8"/>
  <c r="K1990" i="8"/>
  <c r="K1991" i="8"/>
  <c r="K1992" i="8"/>
  <c r="K1993" i="8"/>
  <c r="K1994" i="8"/>
  <c r="K1995" i="8"/>
  <c r="K1996" i="8"/>
  <c r="K1997" i="8"/>
  <c r="K1998" i="8"/>
  <c r="K1999" i="8"/>
  <c r="K2000" i="8"/>
  <c r="K2001" i="8"/>
  <c r="J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J639" i="8"/>
  <c r="J640" i="8"/>
  <c r="J641" i="8"/>
  <c r="J642" i="8"/>
  <c r="J643" i="8"/>
  <c r="J644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662" i="8"/>
  <c r="J663" i="8"/>
  <c r="J664" i="8"/>
  <c r="J665" i="8"/>
  <c r="J666" i="8"/>
  <c r="J667" i="8"/>
  <c r="J668" i="8"/>
  <c r="J669" i="8"/>
  <c r="J670" i="8"/>
  <c r="J671" i="8"/>
  <c r="J672" i="8"/>
  <c r="J673" i="8"/>
  <c r="J674" i="8"/>
  <c r="J675" i="8"/>
  <c r="J676" i="8"/>
  <c r="J677" i="8"/>
  <c r="J678" i="8"/>
  <c r="J679" i="8"/>
  <c r="J680" i="8"/>
  <c r="J681" i="8"/>
  <c r="J682" i="8"/>
  <c r="J683" i="8"/>
  <c r="J684" i="8"/>
  <c r="J685" i="8"/>
  <c r="J686" i="8"/>
  <c r="J687" i="8"/>
  <c r="J688" i="8"/>
  <c r="J689" i="8"/>
  <c r="J690" i="8"/>
  <c r="J691" i="8"/>
  <c r="J692" i="8"/>
  <c r="J693" i="8"/>
  <c r="J694" i="8"/>
  <c r="J695" i="8"/>
  <c r="J696" i="8"/>
  <c r="J697" i="8"/>
  <c r="J698" i="8"/>
  <c r="J699" i="8"/>
  <c r="J700" i="8"/>
  <c r="J701" i="8"/>
  <c r="J702" i="8"/>
  <c r="J703" i="8"/>
  <c r="J704" i="8"/>
  <c r="J705" i="8"/>
  <c r="J706" i="8"/>
  <c r="J707" i="8"/>
  <c r="J708" i="8"/>
  <c r="J709" i="8"/>
  <c r="J710" i="8"/>
  <c r="J711" i="8"/>
  <c r="J712" i="8"/>
  <c r="J713" i="8"/>
  <c r="J714" i="8"/>
  <c r="J715" i="8"/>
  <c r="J716" i="8"/>
  <c r="J717" i="8"/>
  <c r="J718" i="8"/>
  <c r="J719" i="8"/>
  <c r="J720" i="8"/>
  <c r="J721" i="8"/>
  <c r="J722" i="8"/>
  <c r="J723" i="8"/>
  <c r="J724" i="8"/>
  <c r="J725" i="8"/>
  <c r="J726" i="8"/>
  <c r="J727" i="8"/>
  <c r="J728" i="8"/>
  <c r="J729" i="8"/>
  <c r="J730" i="8"/>
  <c r="J731" i="8"/>
  <c r="J732" i="8"/>
  <c r="J733" i="8"/>
  <c r="J734" i="8"/>
  <c r="J735" i="8"/>
  <c r="J736" i="8"/>
  <c r="J737" i="8"/>
  <c r="J738" i="8"/>
  <c r="J739" i="8"/>
  <c r="J740" i="8"/>
  <c r="J741" i="8"/>
  <c r="J742" i="8"/>
  <c r="J743" i="8"/>
  <c r="J744" i="8"/>
  <c r="J745" i="8"/>
  <c r="J746" i="8"/>
  <c r="J747" i="8"/>
  <c r="J748" i="8"/>
  <c r="J749" i="8"/>
  <c r="J750" i="8"/>
  <c r="J751" i="8"/>
  <c r="J752" i="8"/>
  <c r="J753" i="8"/>
  <c r="J754" i="8"/>
  <c r="J755" i="8"/>
  <c r="J756" i="8"/>
  <c r="J757" i="8"/>
  <c r="J758" i="8"/>
  <c r="J759" i="8"/>
  <c r="J760" i="8"/>
  <c r="J761" i="8"/>
  <c r="J762" i="8"/>
  <c r="J763" i="8"/>
  <c r="J764" i="8"/>
  <c r="J765" i="8"/>
  <c r="J766" i="8"/>
  <c r="J767" i="8"/>
  <c r="J768" i="8"/>
  <c r="J769" i="8"/>
  <c r="J770" i="8"/>
  <c r="J771" i="8"/>
  <c r="J772" i="8"/>
  <c r="J773" i="8"/>
  <c r="J774" i="8"/>
  <c r="J775" i="8"/>
  <c r="J776" i="8"/>
  <c r="J777" i="8"/>
  <c r="J778" i="8"/>
  <c r="J779" i="8"/>
  <c r="J780" i="8"/>
  <c r="J781" i="8"/>
  <c r="J782" i="8"/>
  <c r="J783" i="8"/>
  <c r="J784" i="8"/>
  <c r="J785" i="8"/>
  <c r="J786" i="8"/>
  <c r="J787" i="8"/>
  <c r="J788" i="8"/>
  <c r="J789" i="8"/>
  <c r="J790" i="8"/>
  <c r="J791" i="8"/>
  <c r="J792" i="8"/>
  <c r="J793" i="8"/>
  <c r="J794" i="8"/>
  <c r="J795" i="8"/>
  <c r="J796" i="8"/>
  <c r="J797" i="8"/>
  <c r="J798" i="8"/>
  <c r="J799" i="8"/>
  <c r="J800" i="8"/>
  <c r="J801" i="8"/>
  <c r="J802" i="8"/>
  <c r="J803" i="8"/>
  <c r="J804" i="8"/>
  <c r="J805" i="8"/>
  <c r="J806" i="8"/>
  <c r="J807" i="8"/>
  <c r="J808" i="8"/>
  <c r="J809" i="8"/>
  <c r="J810" i="8"/>
  <c r="J811" i="8"/>
  <c r="J812" i="8"/>
  <c r="J813" i="8"/>
  <c r="J814" i="8"/>
  <c r="J815" i="8"/>
  <c r="J816" i="8"/>
  <c r="J817" i="8"/>
  <c r="J818" i="8"/>
  <c r="J819" i="8"/>
  <c r="J820" i="8"/>
  <c r="J821" i="8"/>
  <c r="J822" i="8"/>
  <c r="J823" i="8"/>
  <c r="J824" i="8"/>
  <c r="J825" i="8"/>
  <c r="J826" i="8"/>
  <c r="J827" i="8"/>
  <c r="J828" i="8"/>
  <c r="J829" i="8"/>
  <c r="J830" i="8"/>
  <c r="J831" i="8"/>
  <c r="J832" i="8"/>
  <c r="J833" i="8"/>
  <c r="J834" i="8"/>
  <c r="J835" i="8"/>
  <c r="J836" i="8"/>
  <c r="J837" i="8"/>
  <c r="J838" i="8"/>
  <c r="J839" i="8"/>
  <c r="J840" i="8"/>
  <c r="J841" i="8"/>
  <c r="J842" i="8"/>
  <c r="J843" i="8"/>
  <c r="J844" i="8"/>
  <c r="J845" i="8"/>
  <c r="J846" i="8"/>
  <c r="J847" i="8"/>
  <c r="J848" i="8"/>
  <c r="J849" i="8"/>
  <c r="J850" i="8"/>
  <c r="J851" i="8"/>
  <c r="J852" i="8"/>
  <c r="J853" i="8"/>
  <c r="J854" i="8"/>
  <c r="J855" i="8"/>
  <c r="J856" i="8"/>
  <c r="J857" i="8"/>
  <c r="J858" i="8"/>
  <c r="J859" i="8"/>
  <c r="J860" i="8"/>
  <c r="J861" i="8"/>
  <c r="J862" i="8"/>
  <c r="J863" i="8"/>
  <c r="J864" i="8"/>
  <c r="J865" i="8"/>
  <c r="J866" i="8"/>
  <c r="J867" i="8"/>
  <c r="J868" i="8"/>
  <c r="J869" i="8"/>
  <c r="J870" i="8"/>
  <c r="J871" i="8"/>
  <c r="J872" i="8"/>
  <c r="J873" i="8"/>
  <c r="J874" i="8"/>
  <c r="J875" i="8"/>
  <c r="J876" i="8"/>
  <c r="J877" i="8"/>
  <c r="J878" i="8"/>
  <c r="J879" i="8"/>
  <c r="J880" i="8"/>
  <c r="J881" i="8"/>
  <c r="J882" i="8"/>
  <c r="J883" i="8"/>
  <c r="J884" i="8"/>
  <c r="J885" i="8"/>
  <c r="J886" i="8"/>
  <c r="J887" i="8"/>
  <c r="J888" i="8"/>
  <c r="J889" i="8"/>
  <c r="J890" i="8"/>
  <c r="J891" i="8"/>
  <c r="J892" i="8"/>
  <c r="J893" i="8"/>
  <c r="J894" i="8"/>
  <c r="J895" i="8"/>
  <c r="J896" i="8"/>
  <c r="J897" i="8"/>
  <c r="J898" i="8"/>
  <c r="J899" i="8"/>
  <c r="J900" i="8"/>
  <c r="J901" i="8"/>
  <c r="J902" i="8"/>
  <c r="J903" i="8"/>
  <c r="J904" i="8"/>
  <c r="J905" i="8"/>
  <c r="J906" i="8"/>
  <c r="J907" i="8"/>
  <c r="J908" i="8"/>
  <c r="J909" i="8"/>
  <c r="J910" i="8"/>
  <c r="J911" i="8"/>
  <c r="J912" i="8"/>
  <c r="J913" i="8"/>
  <c r="J914" i="8"/>
  <c r="J915" i="8"/>
  <c r="J916" i="8"/>
  <c r="J917" i="8"/>
  <c r="J918" i="8"/>
  <c r="J919" i="8"/>
  <c r="J920" i="8"/>
  <c r="J921" i="8"/>
  <c r="J922" i="8"/>
  <c r="J923" i="8"/>
  <c r="J924" i="8"/>
  <c r="J925" i="8"/>
  <c r="J926" i="8"/>
  <c r="J927" i="8"/>
  <c r="J928" i="8"/>
  <c r="J929" i="8"/>
  <c r="J930" i="8"/>
  <c r="J931" i="8"/>
  <c r="J932" i="8"/>
  <c r="J933" i="8"/>
  <c r="J934" i="8"/>
  <c r="J935" i="8"/>
  <c r="J936" i="8"/>
  <c r="J937" i="8"/>
  <c r="J938" i="8"/>
  <c r="J939" i="8"/>
  <c r="J940" i="8"/>
  <c r="J941" i="8"/>
  <c r="J942" i="8"/>
  <c r="J943" i="8"/>
  <c r="J944" i="8"/>
  <c r="J945" i="8"/>
  <c r="J946" i="8"/>
  <c r="J947" i="8"/>
  <c r="J948" i="8"/>
  <c r="J949" i="8"/>
  <c r="J950" i="8"/>
  <c r="J951" i="8"/>
  <c r="J952" i="8"/>
  <c r="J953" i="8"/>
  <c r="J954" i="8"/>
  <c r="J955" i="8"/>
  <c r="J956" i="8"/>
  <c r="J957" i="8"/>
  <c r="J958" i="8"/>
  <c r="J959" i="8"/>
  <c r="J960" i="8"/>
  <c r="J961" i="8"/>
  <c r="J962" i="8"/>
  <c r="J963" i="8"/>
  <c r="J964" i="8"/>
  <c r="J965" i="8"/>
  <c r="J966" i="8"/>
  <c r="J967" i="8"/>
  <c r="J968" i="8"/>
  <c r="J969" i="8"/>
  <c r="J970" i="8"/>
  <c r="J971" i="8"/>
  <c r="J972" i="8"/>
  <c r="J973" i="8"/>
  <c r="J974" i="8"/>
  <c r="J975" i="8"/>
  <c r="J976" i="8"/>
  <c r="J977" i="8"/>
  <c r="J978" i="8"/>
  <c r="J979" i="8"/>
  <c r="J980" i="8"/>
  <c r="J981" i="8"/>
  <c r="J982" i="8"/>
  <c r="J983" i="8"/>
  <c r="J984" i="8"/>
  <c r="J985" i="8"/>
  <c r="J986" i="8"/>
  <c r="J987" i="8"/>
  <c r="J988" i="8"/>
  <c r="J989" i="8"/>
  <c r="J990" i="8"/>
  <c r="J991" i="8"/>
  <c r="J992" i="8"/>
  <c r="J993" i="8"/>
  <c r="J994" i="8"/>
  <c r="J995" i="8"/>
  <c r="J996" i="8"/>
  <c r="J997" i="8"/>
  <c r="J998" i="8"/>
  <c r="J999" i="8"/>
  <c r="J1000" i="8"/>
  <c r="J1001" i="8"/>
  <c r="J1002" i="8"/>
  <c r="J1003" i="8"/>
  <c r="J1004" i="8"/>
  <c r="J1005" i="8"/>
  <c r="J1006" i="8"/>
  <c r="J1007" i="8"/>
  <c r="J1008" i="8"/>
  <c r="J1009" i="8"/>
  <c r="J1010" i="8"/>
  <c r="J1011" i="8"/>
  <c r="J1012" i="8"/>
  <c r="J1013" i="8"/>
  <c r="J1014" i="8"/>
  <c r="J1015" i="8"/>
  <c r="J1016" i="8"/>
  <c r="J1017" i="8"/>
  <c r="J1018" i="8"/>
  <c r="J1019" i="8"/>
  <c r="J1020" i="8"/>
  <c r="J1021" i="8"/>
  <c r="J1022" i="8"/>
  <c r="J1023" i="8"/>
  <c r="J1024" i="8"/>
  <c r="J1025" i="8"/>
  <c r="J1026" i="8"/>
  <c r="J1027" i="8"/>
  <c r="J1028" i="8"/>
  <c r="J1029" i="8"/>
  <c r="J1030" i="8"/>
  <c r="J1031" i="8"/>
  <c r="J1032" i="8"/>
  <c r="J1033" i="8"/>
  <c r="J1034" i="8"/>
  <c r="J1035" i="8"/>
  <c r="J1036" i="8"/>
  <c r="J1037" i="8"/>
  <c r="J1038" i="8"/>
  <c r="J1039" i="8"/>
  <c r="J1040" i="8"/>
  <c r="J1041" i="8"/>
  <c r="J1042" i="8"/>
  <c r="J1043" i="8"/>
  <c r="J1044" i="8"/>
  <c r="J1045" i="8"/>
  <c r="J1046" i="8"/>
  <c r="J1047" i="8"/>
  <c r="J1048" i="8"/>
  <c r="J1049" i="8"/>
  <c r="J1050" i="8"/>
  <c r="J1051" i="8"/>
  <c r="J1052" i="8"/>
  <c r="J1053" i="8"/>
  <c r="J1054" i="8"/>
  <c r="J1055" i="8"/>
  <c r="J1056" i="8"/>
  <c r="J1057" i="8"/>
  <c r="J1058" i="8"/>
  <c r="J1059" i="8"/>
  <c r="J1060" i="8"/>
  <c r="J1061" i="8"/>
  <c r="J1062" i="8"/>
  <c r="J1063" i="8"/>
  <c r="J1064" i="8"/>
  <c r="J1065" i="8"/>
  <c r="J1066" i="8"/>
  <c r="J1067" i="8"/>
  <c r="J1068" i="8"/>
  <c r="J1069" i="8"/>
  <c r="J1070" i="8"/>
  <c r="J1071" i="8"/>
  <c r="J1072" i="8"/>
  <c r="J1073" i="8"/>
  <c r="J1074" i="8"/>
  <c r="J1075" i="8"/>
  <c r="J1076" i="8"/>
  <c r="J1077" i="8"/>
  <c r="J1078" i="8"/>
  <c r="J1079" i="8"/>
  <c r="J1080" i="8"/>
  <c r="J1081" i="8"/>
  <c r="J1082" i="8"/>
  <c r="J1083" i="8"/>
  <c r="J1084" i="8"/>
  <c r="J1085" i="8"/>
  <c r="J1086" i="8"/>
  <c r="J1087" i="8"/>
  <c r="J1088" i="8"/>
  <c r="J1089" i="8"/>
  <c r="J1090" i="8"/>
  <c r="J1091" i="8"/>
  <c r="J1092" i="8"/>
  <c r="J1093" i="8"/>
  <c r="J1094" i="8"/>
  <c r="J1095" i="8"/>
  <c r="J1096" i="8"/>
  <c r="J1097" i="8"/>
  <c r="J1098" i="8"/>
  <c r="J1099" i="8"/>
  <c r="J1100" i="8"/>
  <c r="J1101" i="8"/>
  <c r="J1102" i="8"/>
  <c r="J1103" i="8"/>
  <c r="J1104" i="8"/>
  <c r="J1105" i="8"/>
  <c r="J1106" i="8"/>
  <c r="J1107" i="8"/>
  <c r="J1108" i="8"/>
  <c r="J1109" i="8"/>
  <c r="J1110" i="8"/>
  <c r="J1111" i="8"/>
  <c r="J1112" i="8"/>
  <c r="J1113" i="8"/>
  <c r="J1114" i="8"/>
  <c r="J1115" i="8"/>
  <c r="J1116" i="8"/>
  <c r="J1117" i="8"/>
  <c r="J1118" i="8"/>
  <c r="J1119" i="8"/>
  <c r="J1120" i="8"/>
  <c r="J1121" i="8"/>
  <c r="J1122" i="8"/>
  <c r="J1123" i="8"/>
  <c r="J1124" i="8"/>
  <c r="J1125" i="8"/>
  <c r="J1126" i="8"/>
  <c r="J1127" i="8"/>
  <c r="J1128" i="8"/>
  <c r="J1129" i="8"/>
  <c r="J1130" i="8"/>
  <c r="J1131" i="8"/>
  <c r="J1132" i="8"/>
  <c r="J1133" i="8"/>
  <c r="J1134" i="8"/>
  <c r="J1135" i="8"/>
  <c r="J1136" i="8"/>
  <c r="J1137" i="8"/>
  <c r="J1138" i="8"/>
  <c r="J1139" i="8"/>
  <c r="J1140" i="8"/>
  <c r="J1141" i="8"/>
  <c r="J1142" i="8"/>
  <c r="J1143" i="8"/>
  <c r="J1144" i="8"/>
  <c r="J1145" i="8"/>
  <c r="J1146" i="8"/>
  <c r="J1147" i="8"/>
  <c r="J1148" i="8"/>
  <c r="J1149" i="8"/>
  <c r="J1150" i="8"/>
  <c r="J1151" i="8"/>
  <c r="J1152" i="8"/>
  <c r="J1153" i="8"/>
  <c r="J1154" i="8"/>
  <c r="J1155" i="8"/>
  <c r="J1156" i="8"/>
  <c r="J1157" i="8"/>
  <c r="J1158" i="8"/>
  <c r="J1159" i="8"/>
  <c r="J1160" i="8"/>
  <c r="J1161" i="8"/>
  <c r="J1162" i="8"/>
  <c r="J1163" i="8"/>
  <c r="J1164" i="8"/>
  <c r="J1165" i="8"/>
  <c r="J1166" i="8"/>
  <c r="J1167" i="8"/>
  <c r="J1168" i="8"/>
  <c r="J1169" i="8"/>
  <c r="J1170" i="8"/>
  <c r="J1171" i="8"/>
  <c r="J1172" i="8"/>
  <c r="J1173" i="8"/>
  <c r="J1174" i="8"/>
  <c r="J1175" i="8"/>
  <c r="J1176" i="8"/>
  <c r="J1177" i="8"/>
  <c r="J1178" i="8"/>
  <c r="J1179" i="8"/>
  <c r="J1180" i="8"/>
  <c r="J1181" i="8"/>
  <c r="J1182" i="8"/>
  <c r="J1183" i="8"/>
  <c r="J1184" i="8"/>
  <c r="J1185" i="8"/>
  <c r="J1186" i="8"/>
  <c r="J1187" i="8"/>
  <c r="J1188" i="8"/>
  <c r="J1189" i="8"/>
  <c r="J1190" i="8"/>
  <c r="J1191" i="8"/>
  <c r="J1192" i="8"/>
  <c r="J1193" i="8"/>
  <c r="J1194" i="8"/>
  <c r="J1195" i="8"/>
  <c r="J1196" i="8"/>
  <c r="J1197" i="8"/>
  <c r="J1198" i="8"/>
  <c r="J1199" i="8"/>
  <c r="J1200" i="8"/>
  <c r="J1201" i="8"/>
  <c r="J1202" i="8"/>
  <c r="J1203" i="8"/>
  <c r="J1204" i="8"/>
  <c r="J1205" i="8"/>
  <c r="J1206" i="8"/>
  <c r="J1207" i="8"/>
  <c r="J1208" i="8"/>
  <c r="J1209" i="8"/>
  <c r="J1210" i="8"/>
  <c r="J1211" i="8"/>
  <c r="J1212" i="8"/>
  <c r="J1213" i="8"/>
  <c r="J1214" i="8"/>
  <c r="J1215" i="8"/>
  <c r="J1216" i="8"/>
  <c r="J1217" i="8"/>
  <c r="J1218" i="8"/>
  <c r="J1219" i="8"/>
  <c r="J1220" i="8"/>
  <c r="J1221" i="8"/>
  <c r="J1222" i="8"/>
  <c r="J1223" i="8"/>
  <c r="J1224" i="8"/>
  <c r="J1225" i="8"/>
  <c r="J1226" i="8"/>
  <c r="J1227" i="8"/>
  <c r="J1228" i="8"/>
  <c r="J1229" i="8"/>
  <c r="J1230" i="8"/>
  <c r="J1231" i="8"/>
  <c r="J1232" i="8"/>
  <c r="J1233" i="8"/>
  <c r="J1234" i="8"/>
  <c r="J1235" i="8"/>
  <c r="J1236" i="8"/>
  <c r="J1237" i="8"/>
  <c r="J1238" i="8"/>
  <c r="J1239" i="8"/>
  <c r="J1240" i="8"/>
  <c r="J1241" i="8"/>
  <c r="J1242" i="8"/>
  <c r="J1243" i="8"/>
  <c r="J1244" i="8"/>
  <c r="J1245" i="8"/>
  <c r="J1246" i="8"/>
  <c r="J1247" i="8"/>
  <c r="J1248" i="8"/>
  <c r="J1249" i="8"/>
  <c r="J1250" i="8"/>
  <c r="J1251" i="8"/>
  <c r="J1252" i="8"/>
  <c r="J1253" i="8"/>
  <c r="J1254" i="8"/>
  <c r="J1255" i="8"/>
  <c r="J1256" i="8"/>
  <c r="J1257" i="8"/>
  <c r="J1258" i="8"/>
  <c r="J1259" i="8"/>
  <c r="J1260" i="8"/>
  <c r="J1261" i="8"/>
  <c r="J1262" i="8"/>
  <c r="J1263" i="8"/>
  <c r="J1264" i="8"/>
  <c r="J1265" i="8"/>
  <c r="J1266" i="8"/>
  <c r="J1267" i="8"/>
  <c r="J1268" i="8"/>
  <c r="J1269" i="8"/>
  <c r="J1270" i="8"/>
  <c r="J1271" i="8"/>
  <c r="J1272" i="8"/>
  <c r="J1273" i="8"/>
  <c r="J1274" i="8"/>
  <c r="J1275" i="8"/>
  <c r="J1276" i="8"/>
  <c r="J1277" i="8"/>
  <c r="J1278" i="8"/>
  <c r="J1279" i="8"/>
  <c r="J1280" i="8"/>
  <c r="J1281" i="8"/>
  <c r="J1282" i="8"/>
  <c r="J1283" i="8"/>
  <c r="J1284" i="8"/>
  <c r="J1285" i="8"/>
  <c r="J1286" i="8"/>
  <c r="J1287" i="8"/>
  <c r="J1288" i="8"/>
  <c r="J1289" i="8"/>
  <c r="J1290" i="8"/>
  <c r="J1291" i="8"/>
  <c r="J1292" i="8"/>
  <c r="J1293" i="8"/>
  <c r="J1294" i="8"/>
  <c r="J1295" i="8"/>
  <c r="J1296" i="8"/>
  <c r="J1297" i="8"/>
  <c r="J1298" i="8"/>
  <c r="J1299" i="8"/>
  <c r="J1300" i="8"/>
  <c r="J1301" i="8"/>
  <c r="J1302" i="8"/>
  <c r="J1303" i="8"/>
  <c r="J1304" i="8"/>
  <c r="J1305" i="8"/>
  <c r="J1306" i="8"/>
  <c r="J1307" i="8"/>
  <c r="J1308" i="8"/>
  <c r="J1309" i="8"/>
  <c r="J1310" i="8"/>
  <c r="J1311" i="8"/>
  <c r="J1312" i="8"/>
  <c r="J1313" i="8"/>
  <c r="J1314" i="8"/>
  <c r="J1315" i="8"/>
  <c r="J1316" i="8"/>
  <c r="J1317" i="8"/>
  <c r="J1318" i="8"/>
  <c r="J1319" i="8"/>
  <c r="J1320" i="8"/>
  <c r="J1321" i="8"/>
  <c r="J1322" i="8"/>
  <c r="J1323" i="8"/>
  <c r="J1324" i="8"/>
  <c r="J1325" i="8"/>
  <c r="J1326" i="8"/>
  <c r="J1327" i="8"/>
  <c r="J1328" i="8"/>
  <c r="J1329" i="8"/>
  <c r="J1330" i="8"/>
  <c r="J1331" i="8"/>
  <c r="J1332" i="8"/>
  <c r="J1333" i="8"/>
  <c r="J1334" i="8"/>
  <c r="J1335" i="8"/>
  <c r="J1336" i="8"/>
  <c r="J1337" i="8"/>
  <c r="J1338" i="8"/>
  <c r="J1339" i="8"/>
  <c r="J1340" i="8"/>
  <c r="J1341" i="8"/>
  <c r="J1342" i="8"/>
  <c r="J1343" i="8"/>
  <c r="J1344" i="8"/>
  <c r="J1345" i="8"/>
  <c r="J1346" i="8"/>
  <c r="J1347" i="8"/>
  <c r="J1348" i="8"/>
  <c r="J1349" i="8"/>
  <c r="J1350" i="8"/>
  <c r="J1351" i="8"/>
  <c r="J1352" i="8"/>
  <c r="J1353" i="8"/>
  <c r="J1354" i="8"/>
  <c r="J1355" i="8"/>
  <c r="J1356" i="8"/>
  <c r="J1357" i="8"/>
  <c r="J1358" i="8"/>
  <c r="J1359" i="8"/>
  <c r="J1360" i="8"/>
  <c r="J1361" i="8"/>
  <c r="J1362" i="8"/>
  <c r="J1363" i="8"/>
  <c r="J1364" i="8"/>
  <c r="J1365" i="8"/>
  <c r="J1366" i="8"/>
  <c r="J1367" i="8"/>
  <c r="J1368" i="8"/>
  <c r="J1369" i="8"/>
  <c r="J1370" i="8"/>
  <c r="J1371" i="8"/>
  <c r="J1372" i="8"/>
  <c r="J1373" i="8"/>
  <c r="J1374" i="8"/>
  <c r="J1375" i="8"/>
  <c r="J1376" i="8"/>
  <c r="J1377" i="8"/>
  <c r="J1378" i="8"/>
  <c r="J1379" i="8"/>
  <c r="J1380" i="8"/>
  <c r="J1381" i="8"/>
  <c r="J1382" i="8"/>
  <c r="J1383" i="8"/>
  <c r="J1384" i="8"/>
  <c r="J1385" i="8"/>
  <c r="J1386" i="8"/>
  <c r="J1387" i="8"/>
  <c r="J1388" i="8"/>
  <c r="J1389" i="8"/>
  <c r="J1390" i="8"/>
  <c r="J1391" i="8"/>
  <c r="J1392" i="8"/>
  <c r="J1393" i="8"/>
  <c r="J1394" i="8"/>
  <c r="J1395" i="8"/>
  <c r="J1396" i="8"/>
  <c r="J1397" i="8"/>
  <c r="J1398" i="8"/>
  <c r="J1399" i="8"/>
  <c r="J1400" i="8"/>
  <c r="J1401" i="8"/>
  <c r="J1402" i="8"/>
  <c r="J1403" i="8"/>
  <c r="J1404" i="8"/>
  <c r="J1405" i="8"/>
  <c r="J1406" i="8"/>
  <c r="J1407" i="8"/>
  <c r="J1408" i="8"/>
  <c r="J1409" i="8"/>
  <c r="J1410" i="8"/>
  <c r="J1411" i="8"/>
  <c r="J1412" i="8"/>
  <c r="J1413" i="8"/>
  <c r="J1414" i="8"/>
  <c r="J1415" i="8"/>
  <c r="J1416" i="8"/>
  <c r="J1417" i="8"/>
  <c r="J1418" i="8"/>
  <c r="J1419" i="8"/>
  <c r="J1420" i="8"/>
  <c r="J1421" i="8"/>
  <c r="J1422" i="8"/>
  <c r="J1423" i="8"/>
  <c r="J1424" i="8"/>
  <c r="J1425" i="8"/>
  <c r="J1426" i="8"/>
  <c r="J1427" i="8"/>
  <c r="J1428" i="8"/>
  <c r="J1429" i="8"/>
  <c r="J1430" i="8"/>
  <c r="J1431" i="8"/>
  <c r="J1432" i="8"/>
  <c r="J1433" i="8"/>
  <c r="J1434" i="8"/>
  <c r="J1435" i="8"/>
  <c r="J1436" i="8"/>
  <c r="J1437" i="8"/>
  <c r="J1438" i="8"/>
  <c r="J1439" i="8"/>
  <c r="J1440" i="8"/>
  <c r="J1441" i="8"/>
  <c r="J1442" i="8"/>
  <c r="J1443" i="8"/>
  <c r="J1444" i="8"/>
  <c r="J1445" i="8"/>
  <c r="J1446" i="8"/>
  <c r="J1447" i="8"/>
  <c r="J1448" i="8"/>
  <c r="J1449" i="8"/>
  <c r="J1450" i="8"/>
  <c r="J1451" i="8"/>
  <c r="J1452" i="8"/>
  <c r="J1453" i="8"/>
  <c r="J1454" i="8"/>
  <c r="J1455" i="8"/>
  <c r="J1456" i="8"/>
  <c r="J1457" i="8"/>
  <c r="J1458" i="8"/>
  <c r="J1459" i="8"/>
  <c r="J1460" i="8"/>
  <c r="J1461" i="8"/>
  <c r="J1462" i="8"/>
  <c r="J1463" i="8"/>
  <c r="J1464" i="8"/>
  <c r="J1465" i="8"/>
  <c r="J1466" i="8"/>
  <c r="J1467" i="8"/>
  <c r="J1468" i="8"/>
  <c r="J1469" i="8"/>
  <c r="J1470" i="8"/>
  <c r="J1471" i="8"/>
  <c r="J1472" i="8"/>
  <c r="J1473" i="8"/>
  <c r="J1474" i="8"/>
  <c r="J1475" i="8"/>
  <c r="J1476" i="8"/>
  <c r="J1477" i="8"/>
  <c r="J1478" i="8"/>
  <c r="J1479" i="8"/>
  <c r="J1480" i="8"/>
  <c r="J1481" i="8"/>
  <c r="J1482" i="8"/>
  <c r="J1483" i="8"/>
  <c r="J1484" i="8"/>
  <c r="J1485" i="8"/>
  <c r="J1486" i="8"/>
  <c r="J1487" i="8"/>
  <c r="J1488" i="8"/>
  <c r="J1489" i="8"/>
  <c r="J1490" i="8"/>
  <c r="J1491" i="8"/>
  <c r="J1492" i="8"/>
  <c r="J1493" i="8"/>
  <c r="J1494" i="8"/>
  <c r="J1495" i="8"/>
  <c r="J1496" i="8"/>
  <c r="J1497" i="8"/>
  <c r="J1498" i="8"/>
  <c r="J1499" i="8"/>
  <c r="J1500" i="8"/>
  <c r="J1501" i="8"/>
  <c r="J1502" i="8"/>
  <c r="J1503" i="8"/>
  <c r="J1504" i="8"/>
  <c r="J1505" i="8"/>
  <c r="J1506" i="8"/>
  <c r="J1507" i="8"/>
  <c r="J1508" i="8"/>
  <c r="J1509" i="8"/>
  <c r="J1510" i="8"/>
  <c r="J1511" i="8"/>
  <c r="J1512" i="8"/>
  <c r="J1513" i="8"/>
  <c r="J1514" i="8"/>
  <c r="J1515" i="8"/>
  <c r="J1516" i="8"/>
  <c r="J1517" i="8"/>
  <c r="J1518" i="8"/>
  <c r="J1519" i="8"/>
  <c r="J1520" i="8"/>
  <c r="J1521" i="8"/>
  <c r="J1522" i="8"/>
  <c r="J1523" i="8"/>
  <c r="J1524" i="8"/>
  <c r="J1525" i="8"/>
  <c r="J1526" i="8"/>
  <c r="J1527" i="8"/>
  <c r="J1528" i="8"/>
  <c r="J1529" i="8"/>
  <c r="J1530" i="8"/>
  <c r="J1531" i="8"/>
  <c r="J1532" i="8"/>
  <c r="J1533" i="8"/>
  <c r="J1534" i="8"/>
  <c r="J1535" i="8"/>
  <c r="J1536" i="8"/>
  <c r="J1537" i="8"/>
  <c r="J1538" i="8"/>
  <c r="J1539" i="8"/>
  <c r="J1540" i="8"/>
  <c r="J1541" i="8"/>
  <c r="J1542" i="8"/>
  <c r="J1543" i="8"/>
  <c r="J1544" i="8"/>
  <c r="J1545" i="8"/>
  <c r="J1546" i="8"/>
  <c r="J1547" i="8"/>
  <c r="J1548" i="8"/>
  <c r="J1549" i="8"/>
  <c r="J1550" i="8"/>
  <c r="J1551" i="8"/>
  <c r="J1552" i="8"/>
  <c r="J1553" i="8"/>
  <c r="J1554" i="8"/>
  <c r="J1555" i="8"/>
  <c r="J1556" i="8"/>
  <c r="J1557" i="8"/>
  <c r="J1558" i="8"/>
  <c r="J1559" i="8"/>
  <c r="J1560" i="8"/>
  <c r="J1561" i="8"/>
  <c r="J1562" i="8"/>
  <c r="J1563" i="8"/>
  <c r="J1564" i="8"/>
  <c r="J1565" i="8"/>
  <c r="J1566" i="8"/>
  <c r="J1567" i="8"/>
  <c r="J1568" i="8"/>
  <c r="J1569" i="8"/>
  <c r="J1570" i="8"/>
  <c r="J1571" i="8"/>
  <c r="J1572" i="8"/>
  <c r="J1573" i="8"/>
  <c r="J1574" i="8"/>
  <c r="J1575" i="8"/>
  <c r="J1576" i="8"/>
  <c r="J1577" i="8"/>
  <c r="J1578" i="8"/>
  <c r="J1579" i="8"/>
  <c r="J1580" i="8"/>
  <c r="J1581" i="8"/>
  <c r="J1582" i="8"/>
  <c r="J1583" i="8"/>
  <c r="J1584" i="8"/>
  <c r="J1585" i="8"/>
  <c r="J1586" i="8"/>
  <c r="J1587" i="8"/>
  <c r="J1588" i="8"/>
  <c r="J1589" i="8"/>
  <c r="J1590" i="8"/>
  <c r="J1591" i="8"/>
  <c r="J1592" i="8"/>
  <c r="J1593" i="8"/>
  <c r="J1594" i="8"/>
  <c r="J1595" i="8"/>
  <c r="J1596" i="8"/>
  <c r="J1597" i="8"/>
  <c r="J1598" i="8"/>
  <c r="J1599" i="8"/>
  <c r="J1600" i="8"/>
  <c r="J1601" i="8"/>
  <c r="J1602" i="8"/>
  <c r="J1603" i="8"/>
  <c r="J1604" i="8"/>
  <c r="J1605" i="8"/>
  <c r="J1606" i="8"/>
  <c r="J1607" i="8"/>
  <c r="J1608" i="8"/>
  <c r="J1609" i="8"/>
  <c r="J1610" i="8"/>
  <c r="J1611" i="8"/>
  <c r="J1612" i="8"/>
  <c r="J1613" i="8"/>
  <c r="J1614" i="8"/>
  <c r="J1615" i="8"/>
  <c r="J1616" i="8"/>
  <c r="J1617" i="8"/>
  <c r="J1618" i="8"/>
  <c r="J1619" i="8"/>
  <c r="J1620" i="8"/>
  <c r="J1621" i="8"/>
  <c r="J1622" i="8"/>
  <c r="J1623" i="8"/>
  <c r="J1624" i="8"/>
  <c r="J1625" i="8"/>
  <c r="J1626" i="8"/>
  <c r="J1627" i="8"/>
  <c r="J1628" i="8"/>
  <c r="J1629" i="8"/>
  <c r="J1630" i="8"/>
  <c r="J1631" i="8"/>
  <c r="J1632" i="8"/>
  <c r="J1633" i="8"/>
  <c r="J1634" i="8"/>
  <c r="J1635" i="8"/>
  <c r="J1636" i="8"/>
  <c r="J1637" i="8"/>
  <c r="J1638" i="8"/>
  <c r="J1639" i="8"/>
  <c r="J1640" i="8"/>
  <c r="J1641" i="8"/>
  <c r="J1642" i="8"/>
  <c r="J1643" i="8"/>
  <c r="J1644" i="8"/>
  <c r="J1645" i="8"/>
  <c r="J1646" i="8"/>
  <c r="J1647" i="8"/>
  <c r="J1648" i="8"/>
  <c r="J1649" i="8"/>
  <c r="J1650" i="8"/>
  <c r="J1651" i="8"/>
  <c r="J1652" i="8"/>
  <c r="J1653" i="8"/>
  <c r="J1654" i="8"/>
  <c r="J1655" i="8"/>
  <c r="J1656" i="8"/>
  <c r="J1657" i="8"/>
  <c r="J1658" i="8"/>
  <c r="J1659" i="8"/>
  <c r="J1660" i="8"/>
  <c r="J1661" i="8"/>
  <c r="J1662" i="8"/>
  <c r="J1663" i="8"/>
  <c r="J1664" i="8"/>
  <c r="J1665" i="8"/>
  <c r="J1666" i="8"/>
  <c r="J1667" i="8"/>
  <c r="J1668" i="8"/>
  <c r="J1669" i="8"/>
  <c r="J1670" i="8"/>
  <c r="J1671" i="8"/>
  <c r="J1672" i="8"/>
  <c r="J1673" i="8"/>
  <c r="J1674" i="8"/>
  <c r="J1675" i="8"/>
  <c r="J1676" i="8"/>
  <c r="J1677" i="8"/>
  <c r="J1678" i="8"/>
  <c r="J1679" i="8"/>
  <c r="J1680" i="8"/>
  <c r="J1681" i="8"/>
  <c r="J1682" i="8"/>
  <c r="J1683" i="8"/>
  <c r="J1684" i="8"/>
  <c r="J1685" i="8"/>
  <c r="J1686" i="8"/>
  <c r="J1687" i="8"/>
  <c r="J1688" i="8"/>
  <c r="J1689" i="8"/>
  <c r="J1690" i="8"/>
  <c r="J1691" i="8"/>
  <c r="J1692" i="8"/>
  <c r="J1693" i="8"/>
  <c r="J1694" i="8"/>
  <c r="J1695" i="8"/>
  <c r="J1696" i="8"/>
  <c r="J1697" i="8"/>
  <c r="J1698" i="8"/>
  <c r="J1699" i="8"/>
  <c r="J1700" i="8"/>
  <c r="J1701" i="8"/>
  <c r="J1702" i="8"/>
  <c r="J1703" i="8"/>
  <c r="J1704" i="8"/>
  <c r="J1705" i="8"/>
  <c r="J1706" i="8"/>
  <c r="J1707" i="8"/>
  <c r="J1708" i="8"/>
  <c r="J1709" i="8"/>
  <c r="J1710" i="8"/>
  <c r="J1711" i="8"/>
  <c r="J1712" i="8"/>
  <c r="J1713" i="8"/>
  <c r="J1714" i="8"/>
  <c r="J1715" i="8"/>
  <c r="J1716" i="8"/>
  <c r="J1717" i="8"/>
  <c r="J1718" i="8"/>
  <c r="J1719" i="8"/>
  <c r="J1720" i="8"/>
  <c r="J1721" i="8"/>
  <c r="J1722" i="8"/>
  <c r="J1723" i="8"/>
  <c r="J1724" i="8"/>
  <c r="J1725" i="8"/>
  <c r="J1726" i="8"/>
  <c r="J1727" i="8"/>
  <c r="J1728" i="8"/>
  <c r="J1729" i="8"/>
  <c r="J1730" i="8"/>
  <c r="J1731" i="8"/>
  <c r="J1732" i="8"/>
  <c r="J1733" i="8"/>
  <c r="J1734" i="8"/>
  <c r="J1735" i="8"/>
  <c r="J1736" i="8"/>
  <c r="J1737" i="8"/>
  <c r="J1738" i="8"/>
  <c r="J1739" i="8"/>
  <c r="J1740" i="8"/>
  <c r="J1741" i="8"/>
  <c r="J1742" i="8"/>
  <c r="J1743" i="8"/>
  <c r="J1744" i="8"/>
  <c r="J1745" i="8"/>
  <c r="J1746" i="8"/>
  <c r="J1747" i="8"/>
  <c r="J1748" i="8"/>
  <c r="J1749" i="8"/>
  <c r="J1750" i="8"/>
  <c r="J1751" i="8"/>
  <c r="J1752" i="8"/>
  <c r="J1753" i="8"/>
  <c r="J1754" i="8"/>
  <c r="J1755" i="8"/>
  <c r="J1756" i="8"/>
  <c r="J1757" i="8"/>
  <c r="J1758" i="8"/>
  <c r="J1759" i="8"/>
  <c r="J1760" i="8"/>
  <c r="J1761" i="8"/>
  <c r="J1762" i="8"/>
  <c r="J1763" i="8"/>
  <c r="J1764" i="8"/>
  <c r="J1765" i="8"/>
  <c r="J1766" i="8"/>
  <c r="J1767" i="8"/>
  <c r="J1768" i="8"/>
  <c r="J1769" i="8"/>
  <c r="J1770" i="8"/>
  <c r="J1771" i="8"/>
  <c r="J1772" i="8"/>
  <c r="J1773" i="8"/>
  <c r="J1774" i="8"/>
  <c r="J1775" i="8"/>
  <c r="J1776" i="8"/>
  <c r="J1777" i="8"/>
  <c r="J1778" i="8"/>
  <c r="J1779" i="8"/>
  <c r="J1780" i="8"/>
  <c r="J1781" i="8"/>
  <c r="J1782" i="8"/>
  <c r="J1783" i="8"/>
  <c r="J1784" i="8"/>
  <c r="J1785" i="8"/>
  <c r="J1786" i="8"/>
  <c r="J1787" i="8"/>
  <c r="J1788" i="8"/>
  <c r="J1789" i="8"/>
  <c r="J1790" i="8"/>
  <c r="J1791" i="8"/>
  <c r="J1792" i="8"/>
  <c r="J1793" i="8"/>
  <c r="J1794" i="8"/>
  <c r="J1795" i="8"/>
  <c r="J1796" i="8"/>
  <c r="J1797" i="8"/>
  <c r="J1798" i="8"/>
  <c r="J1799" i="8"/>
  <c r="J1800" i="8"/>
  <c r="J1801" i="8"/>
  <c r="J1802" i="8"/>
  <c r="J1803" i="8"/>
  <c r="J1804" i="8"/>
  <c r="J1805" i="8"/>
  <c r="J1806" i="8"/>
  <c r="J1807" i="8"/>
  <c r="J1808" i="8"/>
  <c r="J1809" i="8"/>
  <c r="J1810" i="8"/>
  <c r="J1811" i="8"/>
  <c r="J1812" i="8"/>
  <c r="J1813" i="8"/>
  <c r="J1814" i="8"/>
  <c r="J1815" i="8"/>
  <c r="J1816" i="8"/>
  <c r="J1817" i="8"/>
  <c r="J1818" i="8"/>
  <c r="J1819" i="8"/>
  <c r="J1820" i="8"/>
  <c r="J1821" i="8"/>
  <c r="J1822" i="8"/>
  <c r="J1823" i="8"/>
  <c r="J1824" i="8"/>
  <c r="J1825" i="8"/>
  <c r="J1826" i="8"/>
  <c r="J1827" i="8"/>
  <c r="J1828" i="8"/>
  <c r="J1829" i="8"/>
  <c r="J1830" i="8"/>
  <c r="J1831" i="8"/>
  <c r="J1832" i="8"/>
  <c r="J1833" i="8"/>
  <c r="J1834" i="8"/>
  <c r="J1835" i="8"/>
  <c r="J1836" i="8"/>
  <c r="J1837" i="8"/>
  <c r="J1838" i="8"/>
  <c r="J1839" i="8"/>
  <c r="J1840" i="8"/>
  <c r="J1841" i="8"/>
  <c r="J1842" i="8"/>
  <c r="J1843" i="8"/>
  <c r="J1844" i="8"/>
  <c r="J1845" i="8"/>
  <c r="J1846" i="8"/>
  <c r="J1847" i="8"/>
  <c r="J1848" i="8"/>
  <c r="J1849" i="8"/>
  <c r="J1850" i="8"/>
  <c r="J1851" i="8"/>
  <c r="J1852" i="8"/>
  <c r="J1853" i="8"/>
  <c r="J1854" i="8"/>
  <c r="J1855" i="8"/>
  <c r="J1856" i="8"/>
  <c r="J1857" i="8"/>
  <c r="J1858" i="8"/>
  <c r="J1859" i="8"/>
  <c r="J1860" i="8"/>
  <c r="J1861" i="8"/>
  <c r="J1862" i="8"/>
  <c r="J1863" i="8"/>
  <c r="J1864" i="8"/>
  <c r="J1865" i="8"/>
  <c r="J1866" i="8"/>
  <c r="J1867" i="8"/>
  <c r="J1868" i="8"/>
  <c r="J1869" i="8"/>
  <c r="J1870" i="8"/>
  <c r="J1871" i="8"/>
  <c r="J1872" i="8"/>
  <c r="J1873" i="8"/>
  <c r="J1874" i="8"/>
  <c r="J1875" i="8"/>
  <c r="J1876" i="8"/>
  <c r="J1877" i="8"/>
  <c r="J1878" i="8"/>
  <c r="J1879" i="8"/>
  <c r="J1880" i="8"/>
  <c r="J1881" i="8"/>
  <c r="J1882" i="8"/>
  <c r="J1883" i="8"/>
  <c r="J1884" i="8"/>
  <c r="J1885" i="8"/>
  <c r="J1886" i="8"/>
  <c r="J1887" i="8"/>
  <c r="J1888" i="8"/>
  <c r="J1889" i="8"/>
  <c r="J1890" i="8"/>
  <c r="J1891" i="8"/>
  <c r="J1892" i="8"/>
  <c r="J1893" i="8"/>
  <c r="J1894" i="8"/>
  <c r="J1895" i="8"/>
  <c r="J1896" i="8"/>
  <c r="J1897" i="8"/>
  <c r="J1898" i="8"/>
  <c r="J1899" i="8"/>
  <c r="J1900" i="8"/>
  <c r="J1901" i="8"/>
  <c r="J1902" i="8"/>
  <c r="J1903" i="8"/>
  <c r="J1904" i="8"/>
  <c r="J1905" i="8"/>
  <c r="J1906" i="8"/>
  <c r="J1907" i="8"/>
  <c r="J1908" i="8"/>
  <c r="J1909" i="8"/>
  <c r="J1910" i="8"/>
  <c r="J1911" i="8"/>
  <c r="J1912" i="8"/>
  <c r="J1913" i="8"/>
  <c r="J1914" i="8"/>
  <c r="J1915" i="8"/>
  <c r="J1916" i="8"/>
  <c r="J1917" i="8"/>
  <c r="J1918" i="8"/>
  <c r="J1919" i="8"/>
  <c r="J1920" i="8"/>
  <c r="J1921" i="8"/>
  <c r="J1922" i="8"/>
  <c r="J1923" i="8"/>
  <c r="J1924" i="8"/>
  <c r="J1925" i="8"/>
  <c r="J1926" i="8"/>
  <c r="J1927" i="8"/>
  <c r="J1928" i="8"/>
  <c r="J1929" i="8"/>
  <c r="J1930" i="8"/>
  <c r="J1931" i="8"/>
  <c r="J1932" i="8"/>
  <c r="J1933" i="8"/>
  <c r="J1934" i="8"/>
  <c r="J1935" i="8"/>
  <c r="J1936" i="8"/>
  <c r="J1937" i="8"/>
  <c r="J1938" i="8"/>
  <c r="J1939" i="8"/>
  <c r="J1940" i="8"/>
  <c r="J1941" i="8"/>
  <c r="J1942" i="8"/>
  <c r="J1943" i="8"/>
  <c r="J1944" i="8"/>
  <c r="J1945" i="8"/>
  <c r="J1946" i="8"/>
  <c r="J1947" i="8"/>
  <c r="J1948" i="8"/>
  <c r="J1949" i="8"/>
  <c r="J1950" i="8"/>
  <c r="J1951" i="8"/>
  <c r="J1952" i="8"/>
  <c r="J1953" i="8"/>
  <c r="J1954" i="8"/>
  <c r="J1955" i="8"/>
  <c r="J1956" i="8"/>
  <c r="J1957" i="8"/>
  <c r="J1958" i="8"/>
  <c r="J1959" i="8"/>
  <c r="J1960" i="8"/>
  <c r="J1961" i="8"/>
  <c r="J1962" i="8"/>
  <c r="J1963" i="8"/>
  <c r="J1964" i="8"/>
  <c r="J1965" i="8"/>
  <c r="J1966" i="8"/>
  <c r="J1967" i="8"/>
  <c r="J1968" i="8"/>
  <c r="J1969" i="8"/>
  <c r="J1970" i="8"/>
  <c r="J1971" i="8"/>
  <c r="J1972" i="8"/>
  <c r="J1973" i="8"/>
  <c r="J1974" i="8"/>
  <c r="J1975" i="8"/>
  <c r="J1976" i="8"/>
  <c r="J1977" i="8"/>
  <c r="J1978" i="8"/>
  <c r="J1979" i="8"/>
  <c r="J1980" i="8"/>
  <c r="J1981" i="8"/>
  <c r="J1982" i="8"/>
  <c r="J1983" i="8"/>
  <c r="J1984" i="8"/>
  <c r="J1985" i="8"/>
  <c r="J1986" i="8"/>
  <c r="J1987" i="8"/>
  <c r="J1988" i="8"/>
  <c r="J1989" i="8"/>
  <c r="J1990" i="8"/>
  <c r="J1991" i="8"/>
  <c r="J1992" i="8"/>
  <c r="J1993" i="8"/>
  <c r="J1994" i="8"/>
  <c r="J1995" i="8"/>
  <c r="J1996" i="8"/>
  <c r="J1997" i="8"/>
  <c r="J1998" i="8"/>
  <c r="J1999" i="8"/>
  <c r="J2000" i="8"/>
  <c r="J2001" i="8"/>
  <c r="I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1129" i="8"/>
  <c r="I1130" i="8"/>
  <c r="I1131" i="8"/>
  <c r="I1132" i="8"/>
  <c r="I1133" i="8"/>
  <c r="I1134" i="8"/>
  <c r="I1135" i="8"/>
  <c r="I1136" i="8"/>
  <c r="I1137" i="8"/>
  <c r="I1138" i="8"/>
  <c r="I1139" i="8"/>
  <c r="I1140" i="8"/>
  <c r="I1141" i="8"/>
  <c r="I1142" i="8"/>
  <c r="I1143" i="8"/>
  <c r="I1144" i="8"/>
  <c r="I1145" i="8"/>
  <c r="I1146" i="8"/>
  <c r="I1147" i="8"/>
  <c r="I1148" i="8"/>
  <c r="I1149" i="8"/>
  <c r="I1150" i="8"/>
  <c r="I1151" i="8"/>
  <c r="I1152" i="8"/>
  <c r="I1153" i="8"/>
  <c r="I1154" i="8"/>
  <c r="I1155" i="8"/>
  <c r="I1156" i="8"/>
  <c r="I1157" i="8"/>
  <c r="I1158" i="8"/>
  <c r="I1159" i="8"/>
  <c r="I1160" i="8"/>
  <c r="I1161" i="8"/>
  <c r="I1162" i="8"/>
  <c r="I1163" i="8"/>
  <c r="I1164" i="8"/>
  <c r="I1165" i="8"/>
  <c r="I1166" i="8"/>
  <c r="I1167" i="8"/>
  <c r="I1168" i="8"/>
  <c r="I1169" i="8"/>
  <c r="I1170" i="8"/>
  <c r="I1171" i="8"/>
  <c r="I1172" i="8"/>
  <c r="I1173" i="8"/>
  <c r="I1174" i="8"/>
  <c r="I1175" i="8"/>
  <c r="I1176" i="8"/>
  <c r="I1177" i="8"/>
  <c r="I1178" i="8"/>
  <c r="I1179" i="8"/>
  <c r="I1180" i="8"/>
  <c r="I1181" i="8"/>
  <c r="I1182" i="8"/>
  <c r="I1183" i="8"/>
  <c r="I1184" i="8"/>
  <c r="I1185" i="8"/>
  <c r="I1186" i="8"/>
  <c r="I1187" i="8"/>
  <c r="I1188" i="8"/>
  <c r="I1189" i="8"/>
  <c r="I1190" i="8"/>
  <c r="I1191" i="8"/>
  <c r="I1192" i="8"/>
  <c r="I1193" i="8"/>
  <c r="I1194" i="8"/>
  <c r="I1195" i="8"/>
  <c r="I1196" i="8"/>
  <c r="I1197" i="8"/>
  <c r="I1198" i="8"/>
  <c r="I1199" i="8"/>
  <c r="I1200" i="8"/>
  <c r="I1201" i="8"/>
  <c r="I1202" i="8"/>
  <c r="I1203" i="8"/>
  <c r="I1204" i="8"/>
  <c r="I1205" i="8"/>
  <c r="I1206" i="8"/>
  <c r="I1207" i="8"/>
  <c r="I1208" i="8"/>
  <c r="I1209" i="8"/>
  <c r="I1210" i="8"/>
  <c r="I1211" i="8"/>
  <c r="I1212" i="8"/>
  <c r="I1213" i="8"/>
  <c r="I1214" i="8"/>
  <c r="I1215" i="8"/>
  <c r="I1216" i="8"/>
  <c r="I1217" i="8"/>
  <c r="I1218" i="8"/>
  <c r="I1219" i="8"/>
  <c r="I1220" i="8"/>
  <c r="I1221" i="8"/>
  <c r="I1222" i="8"/>
  <c r="I1223" i="8"/>
  <c r="I1224" i="8"/>
  <c r="I1225" i="8"/>
  <c r="I1226" i="8"/>
  <c r="I1227" i="8"/>
  <c r="I1228" i="8"/>
  <c r="I1229" i="8"/>
  <c r="I1230" i="8"/>
  <c r="I1231" i="8"/>
  <c r="I1232" i="8"/>
  <c r="I1233" i="8"/>
  <c r="I1234" i="8"/>
  <c r="I1235" i="8"/>
  <c r="I1236" i="8"/>
  <c r="I1237" i="8"/>
  <c r="I1238" i="8"/>
  <c r="I1239" i="8"/>
  <c r="I1240" i="8"/>
  <c r="I1241" i="8"/>
  <c r="I1242" i="8"/>
  <c r="I1243" i="8"/>
  <c r="I1244" i="8"/>
  <c r="I1245" i="8"/>
  <c r="I1246" i="8"/>
  <c r="I1247" i="8"/>
  <c r="I1248" i="8"/>
  <c r="I1249" i="8"/>
  <c r="I1250" i="8"/>
  <c r="I1251" i="8"/>
  <c r="I1252" i="8"/>
  <c r="I1253" i="8"/>
  <c r="I1254" i="8"/>
  <c r="I1255" i="8"/>
  <c r="I1256" i="8"/>
  <c r="I1257" i="8"/>
  <c r="I1258" i="8"/>
  <c r="I1259" i="8"/>
  <c r="I1260" i="8"/>
  <c r="I1261" i="8"/>
  <c r="I1262" i="8"/>
  <c r="I1263" i="8"/>
  <c r="I1264" i="8"/>
  <c r="I1265" i="8"/>
  <c r="I1266" i="8"/>
  <c r="I1267" i="8"/>
  <c r="I1268" i="8"/>
  <c r="I1269" i="8"/>
  <c r="I1270" i="8"/>
  <c r="I1271" i="8"/>
  <c r="I1272" i="8"/>
  <c r="I1273" i="8"/>
  <c r="I1274" i="8"/>
  <c r="I1275" i="8"/>
  <c r="I1276" i="8"/>
  <c r="I1277" i="8"/>
  <c r="I1278" i="8"/>
  <c r="I1279" i="8"/>
  <c r="I1280" i="8"/>
  <c r="I1281" i="8"/>
  <c r="I1282" i="8"/>
  <c r="I1283" i="8"/>
  <c r="I1284" i="8"/>
  <c r="I1285" i="8"/>
  <c r="I1286" i="8"/>
  <c r="I1287" i="8"/>
  <c r="I1288" i="8"/>
  <c r="I1289" i="8"/>
  <c r="I1290" i="8"/>
  <c r="I1291" i="8"/>
  <c r="I1292" i="8"/>
  <c r="I1293" i="8"/>
  <c r="I1294" i="8"/>
  <c r="I1295" i="8"/>
  <c r="I1296" i="8"/>
  <c r="I1297" i="8"/>
  <c r="I1298" i="8"/>
  <c r="I1299" i="8"/>
  <c r="I1300" i="8"/>
  <c r="I1301" i="8"/>
  <c r="I1302" i="8"/>
  <c r="I1303" i="8"/>
  <c r="I1304" i="8"/>
  <c r="I1305" i="8"/>
  <c r="I1306" i="8"/>
  <c r="I1307" i="8"/>
  <c r="I1308" i="8"/>
  <c r="I1309" i="8"/>
  <c r="I1310" i="8"/>
  <c r="I1311" i="8"/>
  <c r="I1312" i="8"/>
  <c r="I1313" i="8"/>
  <c r="I1314" i="8"/>
  <c r="I1315" i="8"/>
  <c r="I1316" i="8"/>
  <c r="I1317" i="8"/>
  <c r="I1318" i="8"/>
  <c r="I1319" i="8"/>
  <c r="I1320" i="8"/>
  <c r="I1321" i="8"/>
  <c r="I1322" i="8"/>
  <c r="I1323" i="8"/>
  <c r="I1324" i="8"/>
  <c r="I1325" i="8"/>
  <c r="I1326" i="8"/>
  <c r="I1327" i="8"/>
  <c r="I1328" i="8"/>
  <c r="I1329" i="8"/>
  <c r="I1330" i="8"/>
  <c r="I1331" i="8"/>
  <c r="I1332" i="8"/>
  <c r="I1333" i="8"/>
  <c r="I1334" i="8"/>
  <c r="I1335" i="8"/>
  <c r="I1336" i="8"/>
  <c r="I1337" i="8"/>
  <c r="I1338" i="8"/>
  <c r="I1339" i="8"/>
  <c r="I1340" i="8"/>
  <c r="I1341" i="8"/>
  <c r="I1342" i="8"/>
  <c r="I1343" i="8"/>
  <c r="I1344" i="8"/>
  <c r="I1345" i="8"/>
  <c r="I1346" i="8"/>
  <c r="I1347" i="8"/>
  <c r="I1348" i="8"/>
  <c r="I1349" i="8"/>
  <c r="I1350" i="8"/>
  <c r="I1351" i="8"/>
  <c r="I1352" i="8"/>
  <c r="I1353" i="8"/>
  <c r="I1354" i="8"/>
  <c r="I1355" i="8"/>
  <c r="I1356" i="8"/>
  <c r="I1357" i="8"/>
  <c r="I1358" i="8"/>
  <c r="I1359" i="8"/>
  <c r="I1360" i="8"/>
  <c r="I1361" i="8"/>
  <c r="I1362" i="8"/>
  <c r="I1363" i="8"/>
  <c r="I1364" i="8"/>
  <c r="I1365" i="8"/>
  <c r="I1366" i="8"/>
  <c r="I1367" i="8"/>
  <c r="I1368" i="8"/>
  <c r="I1369" i="8"/>
  <c r="I1370" i="8"/>
  <c r="I1371" i="8"/>
  <c r="I1372" i="8"/>
  <c r="I1373" i="8"/>
  <c r="I1374" i="8"/>
  <c r="I1375" i="8"/>
  <c r="I1376" i="8"/>
  <c r="I1377" i="8"/>
  <c r="I1378" i="8"/>
  <c r="I1379" i="8"/>
  <c r="I1380" i="8"/>
  <c r="I1381" i="8"/>
  <c r="I1382" i="8"/>
  <c r="I1383" i="8"/>
  <c r="I1384" i="8"/>
  <c r="I1385" i="8"/>
  <c r="I1386" i="8"/>
  <c r="I1387" i="8"/>
  <c r="I1388" i="8"/>
  <c r="I1389" i="8"/>
  <c r="I1390" i="8"/>
  <c r="I1391" i="8"/>
  <c r="I1392" i="8"/>
  <c r="I1393" i="8"/>
  <c r="I1394" i="8"/>
  <c r="I1395" i="8"/>
  <c r="I1396" i="8"/>
  <c r="I1397" i="8"/>
  <c r="I1398" i="8"/>
  <c r="I1399" i="8"/>
  <c r="I1400" i="8"/>
  <c r="I1401" i="8"/>
  <c r="I1402" i="8"/>
  <c r="I1403" i="8"/>
  <c r="I1404" i="8"/>
  <c r="I1405" i="8"/>
  <c r="I1406" i="8"/>
  <c r="I1407" i="8"/>
  <c r="I1408" i="8"/>
  <c r="I1409" i="8"/>
  <c r="I1410" i="8"/>
  <c r="I1411" i="8"/>
  <c r="I1412" i="8"/>
  <c r="I1413" i="8"/>
  <c r="I1414" i="8"/>
  <c r="I1415" i="8"/>
  <c r="I1416" i="8"/>
  <c r="I1417" i="8"/>
  <c r="I1418" i="8"/>
  <c r="I1419" i="8"/>
  <c r="I1420" i="8"/>
  <c r="I1421" i="8"/>
  <c r="I1422" i="8"/>
  <c r="I1423" i="8"/>
  <c r="I1424" i="8"/>
  <c r="I1425" i="8"/>
  <c r="I1426" i="8"/>
  <c r="I1427" i="8"/>
  <c r="I1428" i="8"/>
  <c r="I1429" i="8"/>
  <c r="I1430" i="8"/>
  <c r="I1431" i="8"/>
  <c r="I1432" i="8"/>
  <c r="I1433" i="8"/>
  <c r="I1434" i="8"/>
  <c r="I1435" i="8"/>
  <c r="I1436" i="8"/>
  <c r="I1437" i="8"/>
  <c r="I1438" i="8"/>
  <c r="I1439" i="8"/>
  <c r="I1440" i="8"/>
  <c r="I1441" i="8"/>
  <c r="I1442" i="8"/>
  <c r="I1443" i="8"/>
  <c r="I1444" i="8"/>
  <c r="I1445" i="8"/>
  <c r="I1446" i="8"/>
  <c r="I1447" i="8"/>
  <c r="I1448" i="8"/>
  <c r="I1449" i="8"/>
  <c r="I1450" i="8"/>
  <c r="I1451" i="8"/>
  <c r="I1452" i="8"/>
  <c r="I1453" i="8"/>
  <c r="I1454" i="8"/>
  <c r="I1455" i="8"/>
  <c r="I1456" i="8"/>
  <c r="I1457" i="8"/>
  <c r="I1458" i="8"/>
  <c r="I1459" i="8"/>
  <c r="I1460" i="8"/>
  <c r="I1461" i="8"/>
  <c r="I1462" i="8"/>
  <c r="I1463" i="8"/>
  <c r="I1464" i="8"/>
  <c r="I1465" i="8"/>
  <c r="I1466" i="8"/>
  <c r="I1467" i="8"/>
  <c r="I1468" i="8"/>
  <c r="I1469" i="8"/>
  <c r="I1470" i="8"/>
  <c r="I1471" i="8"/>
  <c r="I1472" i="8"/>
  <c r="I1473" i="8"/>
  <c r="I1474" i="8"/>
  <c r="I1475" i="8"/>
  <c r="I1476" i="8"/>
  <c r="I1477" i="8"/>
  <c r="I1478" i="8"/>
  <c r="I1479" i="8"/>
  <c r="I1480" i="8"/>
  <c r="I1481" i="8"/>
  <c r="I1482" i="8"/>
  <c r="I1483" i="8"/>
  <c r="I1484" i="8"/>
  <c r="I1485" i="8"/>
  <c r="I1486" i="8"/>
  <c r="I1487" i="8"/>
  <c r="I1488" i="8"/>
  <c r="I1489" i="8"/>
  <c r="I1490" i="8"/>
  <c r="I1491" i="8"/>
  <c r="I1492" i="8"/>
  <c r="I1493" i="8"/>
  <c r="I1494" i="8"/>
  <c r="I1495" i="8"/>
  <c r="I1496" i="8"/>
  <c r="I1497" i="8"/>
  <c r="I1498" i="8"/>
  <c r="I1499" i="8"/>
  <c r="I1500" i="8"/>
  <c r="I1501" i="8"/>
  <c r="I1502" i="8"/>
  <c r="I1503" i="8"/>
  <c r="I1504" i="8"/>
  <c r="I1505" i="8"/>
  <c r="I1506" i="8"/>
  <c r="I1507" i="8"/>
  <c r="I1508" i="8"/>
  <c r="I1509" i="8"/>
  <c r="I1510" i="8"/>
  <c r="I1511" i="8"/>
  <c r="I1512" i="8"/>
  <c r="I1513" i="8"/>
  <c r="I1514" i="8"/>
  <c r="I1515" i="8"/>
  <c r="I1516" i="8"/>
  <c r="I1517" i="8"/>
  <c r="I1518" i="8"/>
  <c r="I1519" i="8"/>
  <c r="I1520" i="8"/>
  <c r="I1521" i="8"/>
  <c r="I1522" i="8"/>
  <c r="I1523" i="8"/>
  <c r="I1524" i="8"/>
  <c r="I1525" i="8"/>
  <c r="I1526" i="8"/>
  <c r="I1527" i="8"/>
  <c r="I1528" i="8"/>
  <c r="I1529" i="8"/>
  <c r="I1530" i="8"/>
  <c r="I1531" i="8"/>
  <c r="I1532" i="8"/>
  <c r="I1533" i="8"/>
  <c r="I1534" i="8"/>
  <c r="I1535" i="8"/>
  <c r="I1536" i="8"/>
  <c r="I1537" i="8"/>
  <c r="I1538" i="8"/>
  <c r="I1539" i="8"/>
  <c r="I1540" i="8"/>
  <c r="I1541" i="8"/>
  <c r="I1542" i="8"/>
  <c r="I1543" i="8"/>
  <c r="I1544" i="8"/>
  <c r="I1545" i="8"/>
  <c r="I1546" i="8"/>
  <c r="I1547" i="8"/>
  <c r="I1548" i="8"/>
  <c r="I1549" i="8"/>
  <c r="I1550" i="8"/>
  <c r="I1551" i="8"/>
  <c r="I1552" i="8"/>
  <c r="I1553" i="8"/>
  <c r="I1554" i="8"/>
  <c r="I1555" i="8"/>
  <c r="I1556" i="8"/>
  <c r="I1557" i="8"/>
  <c r="I1558" i="8"/>
  <c r="I1559" i="8"/>
  <c r="I1560" i="8"/>
  <c r="I1561" i="8"/>
  <c r="I1562" i="8"/>
  <c r="I1563" i="8"/>
  <c r="I1564" i="8"/>
  <c r="I1565" i="8"/>
  <c r="I1566" i="8"/>
  <c r="I1567" i="8"/>
  <c r="I1568" i="8"/>
  <c r="I1569" i="8"/>
  <c r="I1570" i="8"/>
  <c r="I1571" i="8"/>
  <c r="I1572" i="8"/>
  <c r="I1573" i="8"/>
  <c r="I1574" i="8"/>
  <c r="I1575" i="8"/>
  <c r="I1576" i="8"/>
  <c r="I1577" i="8"/>
  <c r="I1578" i="8"/>
  <c r="I1579" i="8"/>
  <c r="I1580" i="8"/>
  <c r="I1581" i="8"/>
  <c r="I1582" i="8"/>
  <c r="I1583" i="8"/>
  <c r="I1584" i="8"/>
  <c r="I1585" i="8"/>
  <c r="I1586" i="8"/>
  <c r="I1587" i="8"/>
  <c r="I1588" i="8"/>
  <c r="I1589" i="8"/>
  <c r="I1590" i="8"/>
  <c r="I1591" i="8"/>
  <c r="I1592" i="8"/>
  <c r="I1593" i="8"/>
  <c r="I1594" i="8"/>
  <c r="I1595" i="8"/>
  <c r="I1596" i="8"/>
  <c r="I1597" i="8"/>
  <c r="I1598" i="8"/>
  <c r="I1599" i="8"/>
  <c r="I1600" i="8"/>
  <c r="I1601" i="8"/>
  <c r="I1602" i="8"/>
  <c r="I1603" i="8"/>
  <c r="I1604" i="8"/>
  <c r="I1605" i="8"/>
  <c r="I1606" i="8"/>
  <c r="I1607" i="8"/>
  <c r="I1608" i="8"/>
  <c r="I1609" i="8"/>
  <c r="I1610" i="8"/>
  <c r="I1611" i="8"/>
  <c r="I1612" i="8"/>
  <c r="I1613" i="8"/>
  <c r="I1614" i="8"/>
  <c r="I1615" i="8"/>
  <c r="I1616" i="8"/>
  <c r="I1617" i="8"/>
  <c r="I1618" i="8"/>
  <c r="I1619" i="8"/>
  <c r="I1620" i="8"/>
  <c r="I1621" i="8"/>
  <c r="I1622" i="8"/>
  <c r="I1623" i="8"/>
  <c r="I1624" i="8"/>
  <c r="I1625" i="8"/>
  <c r="I1626" i="8"/>
  <c r="I1627" i="8"/>
  <c r="I1628" i="8"/>
  <c r="I1629" i="8"/>
  <c r="I1630" i="8"/>
  <c r="I1631" i="8"/>
  <c r="I1632" i="8"/>
  <c r="I1633" i="8"/>
  <c r="I1634" i="8"/>
  <c r="I1635" i="8"/>
  <c r="I1636" i="8"/>
  <c r="I1637" i="8"/>
  <c r="I1638" i="8"/>
  <c r="I1639" i="8"/>
  <c r="I1640" i="8"/>
  <c r="I1641" i="8"/>
  <c r="I1642" i="8"/>
  <c r="I1643" i="8"/>
  <c r="I1644" i="8"/>
  <c r="I1645" i="8"/>
  <c r="I1646" i="8"/>
  <c r="I1647" i="8"/>
  <c r="I1648" i="8"/>
  <c r="I1649" i="8"/>
  <c r="I1650" i="8"/>
  <c r="I1651" i="8"/>
  <c r="I1652" i="8"/>
  <c r="I1653" i="8"/>
  <c r="I1654" i="8"/>
  <c r="I1655" i="8"/>
  <c r="I1656" i="8"/>
  <c r="I1657" i="8"/>
  <c r="I1658" i="8"/>
  <c r="I1659" i="8"/>
  <c r="I1660" i="8"/>
  <c r="I1661" i="8"/>
  <c r="I1662" i="8"/>
  <c r="I1663" i="8"/>
  <c r="I1664" i="8"/>
  <c r="I1665" i="8"/>
  <c r="I1666" i="8"/>
  <c r="I1667" i="8"/>
  <c r="I1668" i="8"/>
  <c r="I1669" i="8"/>
  <c r="I1670" i="8"/>
  <c r="I1671" i="8"/>
  <c r="I1672" i="8"/>
  <c r="I1673" i="8"/>
  <c r="I1674" i="8"/>
  <c r="I1675" i="8"/>
  <c r="I1676" i="8"/>
  <c r="I1677" i="8"/>
  <c r="I1678" i="8"/>
  <c r="I1679" i="8"/>
  <c r="I1680" i="8"/>
  <c r="I1681" i="8"/>
  <c r="I1682" i="8"/>
  <c r="I1683" i="8"/>
  <c r="I1684" i="8"/>
  <c r="I1685" i="8"/>
  <c r="I1686" i="8"/>
  <c r="I1687" i="8"/>
  <c r="I1688" i="8"/>
  <c r="I1689" i="8"/>
  <c r="I1690" i="8"/>
  <c r="I1691" i="8"/>
  <c r="I1692" i="8"/>
  <c r="I1693" i="8"/>
  <c r="I1694" i="8"/>
  <c r="I1695" i="8"/>
  <c r="I1696" i="8"/>
  <c r="I1697" i="8"/>
  <c r="I1698" i="8"/>
  <c r="I1699" i="8"/>
  <c r="I1700" i="8"/>
  <c r="I1701" i="8"/>
  <c r="I1702" i="8"/>
  <c r="I1703" i="8"/>
  <c r="I1704" i="8"/>
  <c r="I1705" i="8"/>
  <c r="I1706" i="8"/>
  <c r="I1707" i="8"/>
  <c r="I1708" i="8"/>
  <c r="I1709" i="8"/>
  <c r="I1710" i="8"/>
  <c r="I1711" i="8"/>
  <c r="I1712" i="8"/>
  <c r="I1713" i="8"/>
  <c r="I1714" i="8"/>
  <c r="I1715" i="8"/>
  <c r="I1716" i="8"/>
  <c r="I1717" i="8"/>
  <c r="I1718" i="8"/>
  <c r="I1719" i="8"/>
  <c r="I1720" i="8"/>
  <c r="I1721" i="8"/>
  <c r="I1722" i="8"/>
  <c r="I1723" i="8"/>
  <c r="I1724" i="8"/>
  <c r="I1725" i="8"/>
  <c r="I1726" i="8"/>
  <c r="I1727" i="8"/>
  <c r="I1728" i="8"/>
  <c r="I1729" i="8"/>
  <c r="I1730" i="8"/>
  <c r="I1731" i="8"/>
  <c r="I1732" i="8"/>
  <c r="I1733" i="8"/>
  <c r="I1734" i="8"/>
  <c r="I1735" i="8"/>
  <c r="I1736" i="8"/>
  <c r="I1737" i="8"/>
  <c r="I1738" i="8"/>
  <c r="I1739" i="8"/>
  <c r="I1740" i="8"/>
  <c r="I1741" i="8"/>
  <c r="I1742" i="8"/>
  <c r="I1743" i="8"/>
  <c r="I1744" i="8"/>
  <c r="I1745" i="8"/>
  <c r="I1746" i="8"/>
  <c r="I1747" i="8"/>
  <c r="I1748" i="8"/>
  <c r="I1749" i="8"/>
  <c r="I1750" i="8"/>
  <c r="I1751" i="8"/>
  <c r="I1752" i="8"/>
  <c r="I1753" i="8"/>
  <c r="I1754" i="8"/>
  <c r="I1755" i="8"/>
  <c r="I1756" i="8"/>
  <c r="I1757" i="8"/>
  <c r="I1758" i="8"/>
  <c r="I1759" i="8"/>
  <c r="I1760" i="8"/>
  <c r="I1761" i="8"/>
  <c r="I1762" i="8"/>
  <c r="I1763" i="8"/>
  <c r="I1764" i="8"/>
  <c r="I1765" i="8"/>
  <c r="I1766" i="8"/>
  <c r="I1767" i="8"/>
  <c r="I1768" i="8"/>
  <c r="I1769" i="8"/>
  <c r="I1770" i="8"/>
  <c r="I1771" i="8"/>
  <c r="I1772" i="8"/>
  <c r="I1773" i="8"/>
  <c r="I1774" i="8"/>
  <c r="I1775" i="8"/>
  <c r="I1776" i="8"/>
  <c r="I1777" i="8"/>
  <c r="I1778" i="8"/>
  <c r="I1779" i="8"/>
  <c r="I1780" i="8"/>
  <c r="I1781" i="8"/>
  <c r="I1782" i="8"/>
  <c r="I1783" i="8"/>
  <c r="I1784" i="8"/>
  <c r="I1785" i="8"/>
  <c r="I1786" i="8"/>
  <c r="I1787" i="8"/>
  <c r="I1788" i="8"/>
  <c r="I1789" i="8"/>
  <c r="I1790" i="8"/>
  <c r="I1791" i="8"/>
  <c r="I1792" i="8"/>
  <c r="I1793" i="8"/>
  <c r="I1794" i="8"/>
  <c r="I1795" i="8"/>
  <c r="I1796" i="8"/>
  <c r="I1797" i="8"/>
  <c r="I1798" i="8"/>
  <c r="I1799" i="8"/>
  <c r="I1800" i="8"/>
  <c r="I1801" i="8"/>
  <c r="I1802" i="8"/>
  <c r="I1803" i="8"/>
  <c r="I1804" i="8"/>
  <c r="I1805" i="8"/>
  <c r="I1806" i="8"/>
  <c r="I1807" i="8"/>
  <c r="I1808" i="8"/>
  <c r="I1809" i="8"/>
  <c r="I1810" i="8"/>
  <c r="I1811" i="8"/>
  <c r="I1812" i="8"/>
  <c r="I1813" i="8"/>
  <c r="I1814" i="8"/>
  <c r="I1815" i="8"/>
  <c r="I1816" i="8"/>
  <c r="I1817" i="8"/>
  <c r="I1818" i="8"/>
  <c r="I1819" i="8"/>
  <c r="I1820" i="8"/>
  <c r="I1821" i="8"/>
  <c r="I1822" i="8"/>
  <c r="I1823" i="8"/>
  <c r="I1824" i="8"/>
  <c r="I1825" i="8"/>
  <c r="I1826" i="8"/>
  <c r="I1827" i="8"/>
  <c r="I1828" i="8"/>
  <c r="I1829" i="8"/>
  <c r="I1830" i="8"/>
  <c r="I1831" i="8"/>
  <c r="I1832" i="8"/>
  <c r="I1833" i="8"/>
  <c r="I1834" i="8"/>
  <c r="I1835" i="8"/>
  <c r="I1836" i="8"/>
  <c r="I1837" i="8"/>
  <c r="I1838" i="8"/>
  <c r="I1839" i="8"/>
  <c r="I1840" i="8"/>
  <c r="I1841" i="8"/>
  <c r="I1842" i="8"/>
  <c r="I1843" i="8"/>
  <c r="I1844" i="8"/>
  <c r="I1845" i="8"/>
  <c r="I1846" i="8"/>
  <c r="I1847" i="8"/>
  <c r="I1848" i="8"/>
  <c r="I1849" i="8"/>
  <c r="I1850" i="8"/>
  <c r="I1851" i="8"/>
  <c r="I1852" i="8"/>
  <c r="I1853" i="8"/>
  <c r="I1854" i="8"/>
  <c r="I1855" i="8"/>
  <c r="I1856" i="8"/>
  <c r="I1857" i="8"/>
  <c r="I1858" i="8"/>
  <c r="I1859" i="8"/>
  <c r="I1860" i="8"/>
  <c r="I1861" i="8"/>
  <c r="I1862" i="8"/>
  <c r="I1863" i="8"/>
  <c r="I1864" i="8"/>
  <c r="I1865" i="8"/>
  <c r="I1866" i="8"/>
  <c r="I1867" i="8"/>
  <c r="I1868" i="8"/>
  <c r="I1869" i="8"/>
  <c r="I1870" i="8"/>
  <c r="I1871" i="8"/>
  <c r="I1872" i="8"/>
  <c r="I1873" i="8"/>
  <c r="I1874" i="8"/>
  <c r="I1875" i="8"/>
  <c r="I1876" i="8"/>
  <c r="I1877" i="8"/>
  <c r="I1878" i="8"/>
  <c r="I1879" i="8"/>
  <c r="I1880" i="8"/>
  <c r="I1881" i="8"/>
  <c r="I1882" i="8"/>
  <c r="I1883" i="8"/>
  <c r="I1884" i="8"/>
  <c r="I1885" i="8"/>
  <c r="I1886" i="8"/>
  <c r="I1887" i="8"/>
  <c r="I1888" i="8"/>
  <c r="I1889" i="8"/>
  <c r="I1890" i="8"/>
  <c r="I1891" i="8"/>
  <c r="I1892" i="8"/>
  <c r="I1893" i="8"/>
  <c r="I1894" i="8"/>
  <c r="I1895" i="8"/>
  <c r="I1896" i="8"/>
  <c r="I1897" i="8"/>
  <c r="I1898" i="8"/>
  <c r="I1899" i="8"/>
  <c r="I1900" i="8"/>
  <c r="I1901" i="8"/>
  <c r="I1902" i="8"/>
  <c r="I1903" i="8"/>
  <c r="I1904" i="8"/>
  <c r="I1905" i="8"/>
  <c r="I1906" i="8"/>
  <c r="I1907" i="8"/>
  <c r="I1908" i="8"/>
  <c r="I1909" i="8"/>
  <c r="I1910" i="8"/>
  <c r="I1911" i="8"/>
  <c r="I1912" i="8"/>
  <c r="I1913" i="8"/>
  <c r="I1914" i="8"/>
  <c r="I1915" i="8"/>
  <c r="I1916" i="8"/>
  <c r="I1917" i="8"/>
  <c r="I1918" i="8"/>
  <c r="I1919" i="8"/>
  <c r="I1920" i="8"/>
  <c r="I1921" i="8"/>
  <c r="I1922" i="8"/>
  <c r="I1923" i="8"/>
  <c r="I1924" i="8"/>
  <c r="I1925" i="8"/>
  <c r="I1926" i="8"/>
  <c r="I1927" i="8"/>
  <c r="I1928" i="8"/>
  <c r="I1929" i="8"/>
  <c r="I1930" i="8"/>
  <c r="I1931" i="8"/>
  <c r="I1932" i="8"/>
  <c r="I1933" i="8"/>
  <c r="I1934" i="8"/>
  <c r="I1935" i="8"/>
  <c r="I1936" i="8"/>
  <c r="I1937" i="8"/>
  <c r="I1938" i="8"/>
  <c r="I1939" i="8"/>
  <c r="I1940" i="8"/>
  <c r="I1941" i="8"/>
  <c r="I1942" i="8"/>
  <c r="I1943" i="8"/>
  <c r="I1944" i="8"/>
  <c r="I1945" i="8"/>
  <c r="I1946" i="8"/>
  <c r="I1947" i="8"/>
  <c r="I1948" i="8"/>
  <c r="I1949" i="8"/>
  <c r="I1950" i="8"/>
  <c r="I1951" i="8"/>
  <c r="I1952" i="8"/>
  <c r="I1953" i="8"/>
  <c r="I1954" i="8"/>
  <c r="I1955" i="8"/>
  <c r="I1956" i="8"/>
  <c r="I1957" i="8"/>
  <c r="I1958" i="8"/>
  <c r="I1959" i="8"/>
  <c r="I1960" i="8"/>
  <c r="I1961" i="8"/>
  <c r="I1962" i="8"/>
  <c r="I1963" i="8"/>
  <c r="I1964" i="8"/>
  <c r="I1965" i="8"/>
  <c r="I1966" i="8"/>
  <c r="I1967" i="8"/>
  <c r="I1968" i="8"/>
  <c r="I1969" i="8"/>
  <c r="I1970" i="8"/>
  <c r="I1971" i="8"/>
  <c r="I1972" i="8"/>
  <c r="I1973" i="8"/>
  <c r="I1974" i="8"/>
  <c r="I1975" i="8"/>
  <c r="I1976" i="8"/>
  <c r="I1977" i="8"/>
  <c r="I1978" i="8"/>
  <c r="I1979" i="8"/>
  <c r="I1980" i="8"/>
  <c r="I1981" i="8"/>
  <c r="I1982" i="8"/>
  <c r="I1983" i="8"/>
  <c r="I1984" i="8"/>
  <c r="I1985" i="8"/>
  <c r="I1986" i="8"/>
  <c r="I1987" i="8"/>
  <c r="I1988" i="8"/>
  <c r="I1989" i="8"/>
  <c r="I1990" i="8"/>
  <c r="I1991" i="8"/>
  <c r="I1992" i="8"/>
  <c r="I1993" i="8"/>
  <c r="I1994" i="8"/>
  <c r="I1995" i="8"/>
  <c r="I1996" i="8"/>
  <c r="I1997" i="8"/>
  <c r="I1998" i="8"/>
  <c r="I1999" i="8"/>
  <c r="I2000" i="8"/>
  <c r="I2001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DCF097-7251-4F49-BF98-C952CFD6F6F8}" keepAlive="1" name="Query - customers" description="Connection to the 'customers' query in the workbook." type="5" refreshedVersion="6" background="1">
    <dbPr connection="Provider=Microsoft.Mashup.OleDb.1;Data Source=$Workbook$;Location=customers;Extended Properties=&quot;&quot;" command="SELECT * FROM [customers]"/>
  </connection>
  <connection id="2" xr16:uid="{FC7F1952-FE0B-4356-AC63-CFBEF501CEE5}" keepAlive="1" name="Query - customers (2)" description="Connection to the 'customers (2)' query in the workbook." type="5" refreshedVersion="6" background="1" saveData="1">
    <dbPr connection="Provider=Microsoft.Mashup.OleDb.1;Data Source=$Workbook$;Location=customers (2);Extended Properties=&quot;&quot;" command="SELECT * FROM [customers (2)]"/>
  </connection>
  <connection id="3" xr16:uid="{66A58EEE-20F5-4A6C-A10E-56E7F88CB811}" keepAlive="1" name="Query - orders (1)" description="Connection to the 'orders (1)' query in the workbook." type="5" refreshedVersion="6" background="1" saveData="1">
    <dbPr connection="Provider=Microsoft.Mashup.OleDb.1;Data Source=$Workbook$;Location=orders (1);Extended Properties=&quot;&quot;" command="SELECT * FROM [orders (1)]"/>
  </connection>
  <connection id="4" xr16:uid="{F27A21D1-C437-4695-BCA5-5634ABA57DE9}" keepAlive="1" name="Query - orders (2)" description="Connection to the 'orders (2)' query in the workbook." type="5" refreshedVersion="6" background="1" saveData="1">
    <dbPr connection="Provider=Microsoft.Mashup.OleDb.1;Data Source=$Workbook$;Location=&quot;orders (2)&quot;;Extended Properties=&quot;&quot;" command="SELECT * FROM [orders (2)]"/>
  </connection>
  <connection id="5" xr16:uid="{062DBC72-9434-4B32-9BF9-656C391C93BD}" keepAlive="1" name="Query - orders (3)" description="Connection to the 'orders (3)' query in the workbook." type="5" refreshedVersion="6" background="1" saveData="1">
    <dbPr connection="Provider=Microsoft.Mashup.OleDb.1;Data Source=$Workbook$;Location=&quot;orders (3)&quot;;Extended Properties=&quot;&quot;" command="SELECT * FROM [orders (3)]"/>
  </connection>
  <connection id="6" xr16:uid="{27799F0A-E4C3-43FD-A436-C933F0E807B3}" keepAlive="1" name="Query - products" description="Connection to the 'products' query in the workbook." type="5" refreshedVersion="6" background="1" saveData="1">
    <dbPr connection="Provider=Microsoft.Mashup.OleDb.1;Data Source=$Workbook$;Location=products;Extended Properties=&quot;&quot;" command="SELECT * FROM [products]"/>
  </connection>
  <connection id="7" xr16:uid="{2ABD02AE-70C1-465D-B645-D79CD1763DD9}" keepAlive="1" name="Query - returns" description="Connection to the 'returns' query in the workbook." type="5" refreshedVersion="6" background="1" saveData="1">
    <dbPr connection="Provider=Microsoft.Mashup.OleDb.1;Data Source=$Workbook$;Location=returns;Extended Properties=&quot;&quot;" command="SELECT * FROM [returns]"/>
  </connection>
</connections>
</file>

<file path=xl/sharedStrings.xml><?xml version="1.0" encoding="utf-8"?>
<sst xmlns="http://schemas.openxmlformats.org/spreadsheetml/2006/main" count="17264" uniqueCount="2658">
  <si>
    <t>Order_ID</t>
  </si>
  <si>
    <t>Order_Date</t>
  </si>
  <si>
    <t>Customer_ID</t>
  </si>
  <si>
    <t>Product_ID</t>
  </si>
  <si>
    <t>Quantity</t>
  </si>
  <si>
    <t>Sales</t>
  </si>
  <si>
    <t>Discount</t>
  </si>
  <si>
    <t>Profit</t>
  </si>
  <si>
    <t>O1000</t>
  </si>
  <si>
    <t>C003</t>
  </si>
  <si>
    <t>P042</t>
  </si>
  <si>
    <t>O1001</t>
  </si>
  <si>
    <t>C183</t>
  </si>
  <si>
    <t>P007</t>
  </si>
  <si>
    <t>O1002</t>
  </si>
  <si>
    <t>C140</t>
  </si>
  <si>
    <t>P004</t>
  </si>
  <si>
    <t>O1003</t>
  </si>
  <si>
    <t>C107</t>
  </si>
  <si>
    <t>P020</t>
  </si>
  <si>
    <t>O1004</t>
  </si>
  <si>
    <t>C067</t>
  </si>
  <si>
    <t>P052</t>
  </si>
  <si>
    <t>O1005</t>
  </si>
  <si>
    <t>C131</t>
  </si>
  <si>
    <t>P005</t>
  </si>
  <si>
    <t>O1006</t>
  </si>
  <si>
    <t>C097</t>
  </si>
  <si>
    <t>P027</t>
  </si>
  <si>
    <t>O1007</t>
  </si>
  <si>
    <t>C114</t>
  </si>
  <si>
    <t>P009</t>
  </si>
  <si>
    <t>O1008</t>
  </si>
  <si>
    <t>C198</t>
  </si>
  <si>
    <t>P048</t>
  </si>
  <si>
    <t>O1009</t>
  </si>
  <si>
    <t>C011</t>
  </si>
  <si>
    <t>P024</t>
  </si>
  <si>
    <t>O1010</t>
  </si>
  <si>
    <t>C066</t>
  </si>
  <si>
    <t>P018</t>
  </si>
  <si>
    <t>O1011</t>
  </si>
  <si>
    <t>C078</t>
  </si>
  <si>
    <t>P045</t>
  </si>
  <si>
    <t>O1012</t>
  </si>
  <si>
    <t>P080</t>
  </si>
  <si>
    <t>O1013</t>
  </si>
  <si>
    <t>C127</t>
  </si>
  <si>
    <t>P081</t>
  </si>
  <si>
    <t>O1014</t>
  </si>
  <si>
    <t>C122</t>
  </si>
  <si>
    <t>P047</t>
  </si>
  <si>
    <t>O1015</t>
  </si>
  <si>
    <t>C155</t>
  </si>
  <si>
    <t>P040</t>
  </si>
  <si>
    <t>O1016</t>
  </si>
  <si>
    <t>C027</t>
  </si>
  <si>
    <t>O1017</t>
  </si>
  <si>
    <t>C046</t>
  </si>
  <si>
    <t>P097</t>
  </si>
  <si>
    <t>O1018</t>
  </si>
  <si>
    <t>P055</t>
  </si>
  <si>
    <t>O1019</t>
  </si>
  <si>
    <t>C104</t>
  </si>
  <si>
    <t>P031</t>
  </si>
  <si>
    <t>O1020</t>
  </si>
  <si>
    <t>C157</t>
  </si>
  <si>
    <t>P065</t>
  </si>
  <si>
    <t>O1021</t>
  </si>
  <si>
    <t>C195</t>
  </si>
  <si>
    <t>P049</t>
  </si>
  <si>
    <t>O1022</t>
  </si>
  <si>
    <t>P046</t>
  </si>
  <si>
    <t>O1023</t>
  </si>
  <si>
    <t>C160</t>
  </si>
  <si>
    <t>P015</t>
  </si>
  <si>
    <t>O1024</t>
  </si>
  <si>
    <t>C040</t>
  </si>
  <si>
    <t>P090</t>
  </si>
  <si>
    <t>O1025</t>
  </si>
  <si>
    <t>C111</t>
  </si>
  <si>
    <t>O1026</t>
  </si>
  <si>
    <t>C148</t>
  </si>
  <si>
    <t>P059</t>
  </si>
  <si>
    <t>O1027</t>
  </si>
  <si>
    <t>C190</t>
  </si>
  <si>
    <t>P074</t>
  </si>
  <si>
    <t>O1028</t>
  </si>
  <si>
    <t>C174</t>
  </si>
  <si>
    <t>P100</t>
  </si>
  <si>
    <t>O1029</t>
  </si>
  <si>
    <t>C075</t>
  </si>
  <si>
    <t>P023</t>
  </si>
  <si>
    <t>O1030</t>
  </si>
  <si>
    <t>C171</t>
  </si>
  <si>
    <t>O1031</t>
  </si>
  <si>
    <t>C193</t>
  </si>
  <si>
    <t>P051</t>
  </si>
  <si>
    <t>O1032</t>
  </si>
  <si>
    <t>C121</t>
  </si>
  <si>
    <t>P057</t>
  </si>
  <si>
    <t>O1033</t>
  </si>
  <si>
    <t>C129</t>
  </si>
  <si>
    <t>O1034</t>
  </si>
  <si>
    <t>C135</t>
  </si>
  <si>
    <t>O1035</t>
  </si>
  <si>
    <t>C200</t>
  </si>
  <si>
    <t>P050</t>
  </si>
  <si>
    <t>O1036</t>
  </si>
  <si>
    <t>P060</t>
  </si>
  <si>
    <t>O1037</t>
  </si>
  <si>
    <t>P008</t>
  </si>
  <si>
    <t>O1038</t>
  </si>
  <si>
    <t>C102</t>
  </si>
  <si>
    <t>O1039</t>
  </si>
  <si>
    <t>C098</t>
  </si>
  <si>
    <t>P029</t>
  </si>
  <si>
    <t>O1040</t>
  </si>
  <si>
    <t>C039</t>
  </si>
  <si>
    <t>P085</t>
  </si>
  <si>
    <t>O1041</t>
  </si>
  <si>
    <t>C029</t>
  </si>
  <si>
    <t>P078</t>
  </si>
  <si>
    <t>O1042</t>
  </si>
  <si>
    <t>C085</t>
  </si>
  <si>
    <t>O1043</t>
  </si>
  <si>
    <t>C108</t>
  </si>
  <si>
    <t>P016</t>
  </si>
  <si>
    <t>O1044</t>
  </si>
  <si>
    <t>C072</t>
  </si>
  <si>
    <t>P066</t>
  </si>
  <si>
    <t>O1045</t>
  </si>
  <si>
    <t>P091</t>
  </si>
  <si>
    <t>O1046</t>
  </si>
  <si>
    <t>C037</t>
  </si>
  <si>
    <t>O1047</t>
  </si>
  <si>
    <t>C049</t>
  </si>
  <si>
    <t>O1048</t>
  </si>
  <si>
    <t>C034</t>
  </si>
  <si>
    <t>P033</t>
  </si>
  <si>
    <t>O1049</t>
  </si>
  <si>
    <t>P092</t>
  </si>
  <si>
    <t>O1050</t>
  </si>
  <si>
    <t>P036</t>
  </si>
  <si>
    <t>O1051</t>
  </si>
  <si>
    <t>C012</t>
  </si>
  <si>
    <t>O1052</t>
  </si>
  <si>
    <t>P028</t>
  </si>
  <si>
    <t>O1053</t>
  </si>
  <si>
    <t>O1054</t>
  </si>
  <si>
    <t>C192</t>
  </si>
  <si>
    <t>O1055</t>
  </si>
  <si>
    <t>O1056</t>
  </si>
  <si>
    <t>O1057</t>
  </si>
  <si>
    <t>C060</t>
  </si>
  <si>
    <t>O1058</t>
  </si>
  <si>
    <t>P099</t>
  </si>
  <si>
    <t>O1059</t>
  </si>
  <si>
    <t>C095</t>
  </si>
  <si>
    <t>O1060</t>
  </si>
  <si>
    <t>C125</t>
  </si>
  <si>
    <t>P067</t>
  </si>
  <si>
    <t>O1061</t>
  </si>
  <si>
    <t>P073</t>
  </si>
  <si>
    <t>O1062</t>
  </si>
  <si>
    <t>C059</t>
  </si>
  <si>
    <t>O1063</t>
  </si>
  <si>
    <t>C199</t>
  </si>
  <si>
    <t>O1064</t>
  </si>
  <si>
    <t>C138</t>
  </si>
  <si>
    <t>P054</t>
  </si>
  <si>
    <t>O1065</t>
  </si>
  <si>
    <t>C194</t>
  </si>
  <si>
    <t>O1066</t>
  </si>
  <si>
    <t>C050</t>
  </si>
  <si>
    <t>O1067</t>
  </si>
  <si>
    <t>C015</t>
  </si>
  <si>
    <t>P068</t>
  </si>
  <si>
    <t>O1068</t>
  </si>
  <si>
    <t>C123</t>
  </si>
  <si>
    <t>P072</t>
  </si>
  <si>
    <t>O1069</t>
  </si>
  <si>
    <t>C001</t>
  </si>
  <si>
    <t>O1070</t>
  </si>
  <si>
    <t>C047</t>
  </si>
  <si>
    <t>O1071</t>
  </si>
  <si>
    <t>P088</t>
  </si>
  <si>
    <t>O1072</t>
  </si>
  <si>
    <t>P013</t>
  </si>
  <si>
    <t>O1073</t>
  </si>
  <si>
    <t>C163</t>
  </si>
  <si>
    <t>O1074</t>
  </si>
  <si>
    <t>C161</t>
  </si>
  <si>
    <t>O1075</t>
  </si>
  <si>
    <t>C100</t>
  </si>
  <si>
    <t>P035</t>
  </si>
  <si>
    <t>O1076</t>
  </si>
  <si>
    <t>O1077</t>
  </si>
  <si>
    <t>C013</t>
  </si>
  <si>
    <t>O1078</t>
  </si>
  <si>
    <t>C139</t>
  </si>
  <si>
    <t>P070</t>
  </si>
  <si>
    <t>O1079</t>
  </si>
  <si>
    <t>C008</t>
  </si>
  <si>
    <t>O1080</t>
  </si>
  <si>
    <t>C019</t>
  </si>
  <si>
    <t>O1081</t>
  </si>
  <si>
    <t>O1082</t>
  </si>
  <si>
    <t>C088</t>
  </si>
  <si>
    <t>P032</t>
  </si>
  <si>
    <t>O1083</t>
  </si>
  <si>
    <t>P064</t>
  </si>
  <si>
    <t>O1084</t>
  </si>
  <si>
    <t>C109</t>
  </si>
  <si>
    <t>O1085</t>
  </si>
  <si>
    <t>P094</t>
  </si>
  <si>
    <t>O1086</t>
  </si>
  <si>
    <t>C166</t>
  </si>
  <si>
    <t>P034</t>
  </si>
  <si>
    <t>O1087</t>
  </si>
  <si>
    <t>C137</t>
  </si>
  <si>
    <t>P012</t>
  </si>
  <si>
    <t>O1088</t>
  </si>
  <si>
    <t>C093</t>
  </si>
  <si>
    <t>O1089</t>
  </si>
  <si>
    <t>C150</t>
  </si>
  <si>
    <t>P096</t>
  </si>
  <si>
    <t>O1090</t>
  </si>
  <si>
    <t>C178</t>
  </si>
  <si>
    <t>O1091</t>
  </si>
  <si>
    <t>O1092</t>
  </si>
  <si>
    <t>C006</t>
  </si>
  <si>
    <t>O1093</t>
  </si>
  <si>
    <t>C091</t>
  </si>
  <si>
    <t>P014</t>
  </si>
  <si>
    <t>O1094</t>
  </si>
  <si>
    <t>O1095</t>
  </si>
  <si>
    <t>O1096</t>
  </si>
  <si>
    <t>C145</t>
  </si>
  <si>
    <t>P076</t>
  </si>
  <si>
    <t>O1097</t>
  </si>
  <si>
    <t>O1098</t>
  </si>
  <si>
    <t>P026</t>
  </si>
  <si>
    <t>O1099</t>
  </si>
  <si>
    <t>C124</t>
  </si>
  <si>
    <t>O1100</t>
  </si>
  <si>
    <t>C077</t>
  </si>
  <si>
    <t>O1101</t>
  </si>
  <si>
    <t>C126</t>
  </si>
  <si>
    <t>P058</t>
  </si>
  <si>
    <t>O1102</t>
  </si>
  <si>
    <t>O1103</t>
  </si>
  <si>
    <t>C073</t>
  </si>
  <si>
    <t>P077</t>
  </si>
  <si>
    <t>O1104</t>
  </si>
  <si>
    <t>O1105</t>
  </si>
  <si>
    <t>P039</t>
  </si>
  <si>
    <t>O1106</t>
  </si>
  <si>
    <t>P089</t>
  </si>
  <si>
    <t>O1107</t>
  </si>
  <si>
    <t>C063</t>
  </si>
  <si>
    <t>O1108</t>
  </si>
  <si>
    <t>C188</t>
  </si>
  <si>
    <t>P037</t>
  </si>
  <si>
    <t>O1109</t>
  </si>
  <si>
    <t>C177</t>
  </si>
  <si>
    <t>O1110</t>
  </si>
  <si>
    <t>O1111</t>
  </si>
  <si>
    <t>C038</t>
  </si>
  <si>
    <t>P017</t>
  </si>
  <si>
    <t>O1112</t>
  </si>
  <si>
    <t>C053</t>
  </si>
  <si>
    <t>O1113</t>
  </si>
  <si>
    <t>C048</t>
  </si>
  <si>
    <t>O1114</t>
  </si>
  <si>
    <t>P044</t>
  </si>
  <si>
    <t>O1115</t>
  </si>
  <si>
    <t>C153</t>
  </si>
  <si>
    <t>P069</t>
  </si>
  <si>
    <t>O1116</t>
  </si>
  <si>
    <t>C016</t>
  </si>
  <si>
    <t>O1117</t>
  </si>
  <si>
    <t>C119</t>
  </si>
  <si>
    <t>P079</t>
  </si>
  <si>
    <t>O1118</t>
  </si>
  <si>
    <t>C105</t>
  </si>
  <si>
    <t>O1119</t>
  </si>
  <si>
    <t>C158</t>
  </si>
  <si>
    <t>P006</t>
  </si>
  <si>
    <t>O1120</t>
  </si>
  <si>
    <t>C020</t>
  </si>
  <si>
    <t>O1121</t>
  </si>
  <si>
    <t>C112</t>
  </si>
  <si>
    <t>O1122</t>
  </si>
  <si>
    <t>P022</t>
  </si>
  <si>
    <t>O1123</t>
  </si>
  <si>
    <t>P011</t>
  </si>
  <si>
    <t>O1124</t>
  </si>
  <si>
    <t>O1125</t>
  </si>
  <si>
    <t>O1126</t>
  </si>
  <si>
    <t>C051</t>
  </si>
  <si>
    <t>P043</t>
  </si>
  <si>
    <t>O1127</t>
  </si>
  <si>
    <t>O1128</t>
  </si>
  <si>
    <t>P053</t>
  </si>
  <si>
    <t>O1129</t>
  </si>
  <si>
    <t>C081</t>
  </si>
  <si>
    <t>O1130</t>
  </si>
  <si>
    <t>C181</t>
  </si>
  <si>
    <t>P075</t>
  </si>
  <si>
    <t>O1131</t>
  </si>
  <si>
    <t>O1132</t>
  </si>
  <si>
    <t>O1133</t>
  </si>
  <si>
    <t>C044</t>
  </si>
  <si>
    <t>P056</t>
  </si>
  <si>
    <t>O1134</t>
  </si>
  <si>
    <t>C134</t>
  </si>
  <si>
    <t>O1135</t>
  </si>
  <si>
    <t>O1136</t>
  </si>
  <si>
    <t>C036</t>
  </si>
  <si>
    <t>O1137</t>
  </si>
  <si>
    <t>C023</t>
  </si>
  <si>
    <t>O1138</t>
  </si>
  <si>
    <t>P041</t>
  </si>
  <si>
    <t>O1139</t>
  </si>
  <si>
    <t>C090</t>
  </si>
  <si>
    <t>O1140</t>
  </si>
  <si>
    <t>O1141</t>
  </si>
  <si>
    <t>C151</t>
  </si>
  <si>
    <t>O1142</t>
  </si>
  <si>
    <t>C054</t>
  </si>
  <si>
    <t>O1143</t>
  </si>
  <si>
    <t>C028</t>
  </si>
  <si>
    <t>O1144</t>
  </si>
  <si>
    <t>C057</t>
  </si>
  <si>
    <t>O1145</t>
  </si>
  <si>
    <t>C168</t>
  </si>
  <si>
    <t>O1146</t>
  </si>
  <si>
    <t>C058</t>
  </si>
  <si>
    <t>O1147</t>
  </si>
  <si>
    <t>O1148</t>
  </si>
  <si>
    <t>P087</t>
  </si>
  <si>
    <t>O1149</t>
  </si>
  <si>
    <t>O1150</t>
  </si>
  <si>
    <t>C142</t>
  </si>
  <si>
    <t>O1151</t>
  </si>
  <si>
    <t>O1152</t>
  </si>
  <si>
    <t>C079</t>
  </si>
  <si>
    <t>O1153</t>
  </si>
  <si>
    <t>O1154</t>
  </si>
  <si>
    <t>C062</t>
  </si>
  <si>
    <t>O1155</t>
  </si>
  <si>
    <t>O1156</t>
  </si>
  <si>
    <t>C113</t>
  </si>
  <si>
    <t>O1157</t>
  </si>
  <si>
    <t>C196</t>
  </si>
  <si>
    <t>O1158</t>
  </si>
  <si>
    <t>O1159</t>
  </si>
  <si>
    <t>O1160</t>
  </si>
  <si>
    <t>O1161</t>
  </si>
  <si>
    <t>C179</t>
  </si>
  <si>
    <t>P030</t>
  </si>
  <si>
    <t>O1162</t>
  </si>
  <si>
    <t>O1163</t>
  </si>
  <si>
    <t>P038</t>
  </si>
  <si>
    <t>O1164</t>
  </si>
  <si>
    <t>O1165</t>
  </si>
  <si>
    <t>C025</t>
  </si>
  <si>
    <t>O1166</t>
  </si>
  <si>
    <t>P019</t>
  </si>
  <si>
    <t>O1167</t>
  </si>
  <si>
    <t>C143</t>
  </si>
  <si>
    <t>P062</t>
  </si>
  <si>
    <t>O1168</t>
  </si>
  <si>
    <t>O1169</t>
  </si>
  <si>
    <t>O1170</t>
  </si>
  <si>
    <t>O1171</t>
  </si>
  <si>
    <t>O1172</t>
  </si>
  <si>
    <t>P010</t>
  </si>
  <si>
    <t>O1173</t>
  </si>
  <si>
    <t>C169</t>
  </si>
  <si>
    <t>O1174</t>
  </si>
  <si>
    <t>O1175</t>
  </si>
  <si>
    <t>O1176</t>
  </si>
  <si>
    <t>C096</t>
  </si>
  <si>
    <t>O1177</t>
  </si>
  <si>
    <t>O1178</t>
  </si>
  <si>
    <t>O1179</t>
  </si>
  <si>
    <t>C087</t>
  </si>
  <si>
    <t>O1180</t>
  </si>
  <si>
    <t>O1181</t>
  </si>
  <si>
    <t>C182</t>
  </si>
  <si>
    <t>P021</t>
  </si>
  <si>
    <t>O1182</t>
  </si>
  <si>
    <t>C162</t>
  </si>
  <si>
    <t>O1183</t>
  </si>
  <si>
    <t>C152</t>
  </si>
  <si>
    <t>P063</t>
  </si>
  <si>
    <t>O1184</t>
  </si>
  <si>
    <t>O1185</t>
  </si>
  <si>
    <t>P083</t>
  </si>
  <si>
    <t>O1186</t>
  </si>
  <si>
    <t>C120</t>
  </si>
  <si>
    <t>O1187</t>
  </si>
  <si>
    <t>C101</t>
  </si>
  <si>
    <t>O1188</t>
  </si>
  <si>
    <t>C099</t>
  </si>
  <si>
    <t>O1189</t>
  </si>
  <si>
    <t>O1190</t>
  </si>
  <si>
    <t>O1191</t>
  </si>
  <si>
    <t>O1192</t>
  </si>
  <si>
    <t>O1193</t>
  </si>
  <si>
    <t>C116</t>
  </si>
  <si>
    <t>O1194</t>
  </si>
  <si>
    <t>O1195</t>
  </si>
  <si>
    <t>O1196</t>
  </si>
  <si>
    <t>O1197</t>
  </si>
  <si>
    <t>C175</t>
  </si>
  <si>
    <t>O1198</t>
  </si>
  <si>
    <t>O1199</t>
  </si>
  <si>
    <t>C092</t>
  </si>
  <si>
    <t>O1200</t>
  </si>
  <si>
    <t>C106</t>
  </si>
  <si>
    <t>O1201</t>
  </si>
  <si>
    <t>O1202</t>
  </si>
  <si>
    <t>C068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</si>
  <si>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</si>
  <si>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</si>
  <si>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</si>
  <si>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</si>
  <si>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</si>
  <si>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</si>
  <si>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</si>
  <si>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</si>
  <si>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C052</t>
  </si>
  <si>
    <t>O1211</t>
  </si>
  <si>
    <t>C042</t>
  </si>
  <si>
    <t>O1212</t>
  </si>
  <si>
    <t>O1213</t>
  </si>
  <si>
    <t>C022</t>
  </si>
  <si>
    <t>O1214</t>
  </si>
  <si>
    <t>O1215</t>
  </si>
  <si>
    <t>C045</t>
  </si>
  <si>
    <t>O1216</t>
  </si>
  <si>
    <t>C010</t>
  </si>
  <si>
    <t>O1217</t>
  </si>
  <si>
    <t>O1218</t>
  </si>
  <si>
    <t>C136</t>
  </si>
  <si>
    <t>O1219</t>
  </si>
  <si>
    <t>C018</t>
  </si>
  <si>
    <t>O1220</t>
  </si>
  <si>
    <t>P071</t>
  </si>
  <si>
    <t>O1221</t>
  </si>
  <si>
    <t>O1222</t>
  </si>
  <si>
    <t>O1223</t>
  </si>
  <si>
    <t>P086</t>
  </si>
  <si>
    <t>O1224</t>
  </si>
  <si>
    <t>O1225</t>
  </si>
  <si>
    <t>P095</t>
  </si>
  <si>
    <t>O1226</t>
  </si>
  <si>
    <t>O1227</t>
  </si>
  <si>
    <t>O1228</t>
  </si>
  <si>
    <t>O1229</t>
  </si>
  <si>
    <t>O1230</t>
  </si>
  <si>
    <t>C172</t>
  </si>
  <si>
    <t>O1231</t>
  </si>
  <si>
    <t>C032</t>
  </si>
  <si>
    <t>O1232</t>
  </si>
  <si>
    <t>C110</t>
  </si>
  <si>
    <t>O1233</t>
  </si>
  <si>
    <t>O1234</t>
  </si>
  <si>
    <t>O1235</t>
  </si>
  <si>
    <t>O1236</t>
  </si>
  <si>
    <t>C187</t>
  </si>
  <si>
    <t>O1237</t>
  </si>
  <si>
    <t>C043</t>
  </si>
  <si>
    <t>O1238</t>
  </si>
  <si>
    <t>O1239</t>
  </si>
  <si>
    <t>O1240</t>
  </si>
  <si>
    <t>O1241</t>
  </si>
  <si>
    <t>O1242</t>
  </si>
  <si>
    <t>O1243</t>
  </si>
  <si>
    <t>C024</t>
  </si>
  <si>
    <t>O1244</t>
  </si>
  <si>
    <t>O1245</t>
  </si>
  <si>
    <t>O1246</t>
  </si>
  <si>
    <t>O1247</t>
  </si>
  <si>
    <t>C061</t>
  </si>
  <si>
    <t>O1248</t>
  </si>
  <si>
    <t>C074</t>
  </si>
  <si>
    <t>O1249</t>
  </si>
  <si>
    <t>C141</t>
  </si>
  <si>
    <t>O1250</t>
  </si>
  <si>
    <t>O1251</t>
  </si>
  <si>
    <t>C197</t>
  </si>
  <si>
    <t>O1252</t>
  </si>
  <si>
    <t>O1253</t>
  </si>
  <si>
    <t>O1254</t>
  </si>
  <si>
    <t>O1255</t>
  </si>
  <si>
    <t>O1256</t>
  </si>
  <si>
    <t>O1257</t>
  </si>
  <si>
    <t>O1258</t>
  </si>
  <si>
    <t>P098</t>
  </si>
  <si>
    <t>O1259</t>
  </si>
  <si>
    <t>O1260</t>
  </si>
  <si>
    <t>C167</t>
  </si>
  <si>
    <t>O1261</t>
  </si>
  <si>
    <t>O1262</t>
  </si>
  <si>
    <t>O1263</t>
  </si>
  <si>
    <t>O1264</t>
  </si>
  <si>
    <t>C118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</si>
  <si>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</si>
  <si>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</si>
  <si>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</si>
  <si>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</si>
  <si>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</si>
  <si>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</si>
  <si>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</si>
  <si>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</si>
  <si>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</si>
  <si>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C173</t>
  </si>
  <si>
    <t>O1274</t>
  </si>
  <si>
    <t>O1275</t>
  </si>
  <si>
    <t>O1276</t>
  </si>
  <si>
    <t>C189</t>
  </si>
  <si>
    <t>O1277</t>
  </si>
  <si>
    <t>C185</t>
  </si>
  <si>
    <t>O1278</t>
  </si>
  <si>
    <t>O1279</t>
  </si>
  <si>
    <t>C147</t>
  </si>
  <si>
    <t>O1280</t>
  </si>
  <si>
    <t>O1281</t>
  </si>
  <si>
    <t>O1282</t>
  </si>
  <si>
    <t>C132</t>
  </si>
  <si>
    <t>O1283</t>
  </si>
  <si>
    <t>O1284</t>
  </si>
  <si>
    <t>O1285</t>
  </si>
  <si>
    <t>C083</t>
  </si>
  <si>
    <t>O1286</t>
  </si>
  <si>
    <t>O1287</t>
  </si>
  <si>
    <t>O1288</t>
  </si>
  <si>
    <t>O1289</t>
  </si>
  <si>
    <t>C115</t>
  </si>
  <si>
    <t>O1290</t>
  </si>
  <si>
    <t>O1291</t>
  </si>
  <si>
    <t>O1292</t>
  </si>
  <si>
    <t>O1293</t>
  </si>
  <si>
    <t>C007</t>
  </si>
  <si>
    <t>O1294</t>
  </si>
  <si>
    <t>O1295</t>
  </si>
  <si>
    <t>O1296</t>
  </si>
  <si>
    <t>O1297</t>
  </si>
  <si>
    <t>O1298</t>
  </si>
  <si>
    <t>O1299</t>
  </si>
  <si>
    <t>C065</t>
  </si>
  <si>
    <t>O1300</t>
  </si>
  <si>
    <t>O1301</t>
  </si>
  <si>
    <t>O1302</t>
  </si>
  <si>
    <t>O1303</t>
  </si>
  <si>
    <t>C154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</si>
  <si>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</si>
  <si>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</si>
  <si>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</si>
  <si>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</si>
  <si>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</si>
  <si>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</si>
  <si>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</si>
  <si>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</si>
  <si>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</si>
  <si>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C117</t>
  </si>
  <si>
    <t>O1313</t>
  </si>
  <si>
    <t>O1314</t>
  </si>
  <si>
    <t>O1315</t>
  </si>
  <si>
    <t>O1316</t>
  </si>
  <si>
    <t>O1317</t>
  </si>
  <si>
    <t>O1318</t>
  </si>
  <si>
    <t>C149</t>
  </si>
  <si>
    <t>O1319</t>
  </si>
  <si>
    <t>O1320</t>
  </si>
  <si>
    <t>C170</t>
  </si>
  <si>
    <t>O1321</t>
  </si>
  <si>
    <t>O1322</t>
  </si>
  <si>
    <t>O1323</t>
  </si>
  <si>
    <t>O1324</t>
  </si>
  <si>
    <t>O1325</t>
  </si>
  <si>
    <t>P093</t>
  </si>
  <si>
    <t>O1326</t>
  </si>
  <si>
    <t>O1327</t>
  </si>
  <si>
    <t>C103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</si>
  <si>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</si>
  <si>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</si>
  <si>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</si>
  <si>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</si>
  <si>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</si>
  <si>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</si>
  <si>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</si>
  <si>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</si>
  <si>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</si>
  <si>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C086</t>
  </si>
  <si>
    <t>O1337</t>
  </si>
  <si>
    <t>O1338</t>
  </si>
  <si>
    <t>O1339</t>
  </si>
  <si>
    <t>O1340</t>
  </si>
  <si>
    <t>P082</t>
  </si>
  <si>
    <t>O1341</t>
  </si>
  <si>
    <t>C056</t>
  </si>
  <si>
    <t>O1342</t>
  </si>
  <si>
    <t>C064</t>
  </si>
  <si>
    <t>O1343</t>
  </si>
  <si>
    <t>O1344</t>
  </si>
  <si>
    <t>C035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</si>
  <si>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</si>
  <si>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</si>
  <si>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</si>
  <si>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</si>
  <si>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</si>
  <si>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</si>
  <si>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</si>
  <si>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</si>
  <si>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</si>
  <si>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</si>
  <si>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</si>
  <si>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C070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</si>
  <si>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</si>
  <si>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</si>
  <si>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</si>
  <si>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</si>
  <si>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</si>
  <si>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</si>
  <si>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</si>
  <si>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</si>
  <si>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</si>
  <si>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</si>
  <si>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</si>
  <si>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</si>
  <si>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</si>
  <si>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</si>
  <si>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C164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</si>
  <si>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</si>
  <si>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</si>
  <si>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</si>
  <si>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</si>
  <si>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</si>
  <si>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</si>
  <si>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</si>
  <si>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</si>
  <si>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</si>
  <si>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C017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</si>
  <si>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</si>
  <si>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</si>
  <si>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</si>
  <si>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</si>
  <si>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</si>
  <si>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</si>
  <si>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</si>
  <si>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</si>
  <si>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</si>
  <si>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C009</t>
  </si>
  <si>
    <t>O1388</t>
  </si>
  <si>
    <t>O1389</t>
  </si>
  <si>
    <t>P001</t>
  </si>
  <si>
    <t>O1390</t>
  </si>
  <si>
    <t>C084</t>
  </si>
  <si>
    <t>O1391</t>
  </si>
  <si>
    <t>O1392</t>
  </si>
  <si>
    <t>O1393</t>
  </si>
  <si>
    <t>O1394</t>
  </si>
  <si>
    <t>O1395</t>
  </si>
  <si>
    <t>O1396</t>
  </si>
  <si>
    <t>P061</t>
  </si>
  <si>
    <t>O1397</t>
  </si>
  <si>
    <t>C004</t>
  </si>
  <si>
    <t>O1398</t>
  </si>
  <si>
    <t>C005</t>
  </si>
  <si>
    <t>O1399</t>
  </si>
  <si>
    <t>O1400</t>
  </si>
  <si>
    <t>O1401</t>
  </si>
  <si>
    <t>O1402</t>
  </si>
  <si>
    <t>C014</t>
  </si>
  <si>
    <t>P084</t>
  </si>
  <si>
    <t>O1403</t>
  </si>
  <si>
    <t>O1404</t>
  </si>
  <si>
    <t>O1405</t>
  </si>
  <si>
    <t>C133</t>
  </si>
  <si>
    <t>O1406</t>
  </si>
  <si>
    <t>C071</t>
  </si>
  <si>
    <t>O1407</t>
  </si>
  <si>
    <t>O1408</t>
  </si>
  <si>
    <t>O1409</t>
  </si>
  <si>
    <t>O1410</t>
  </si>
  <si>
    <t>O1411</t>
  </si>
  <si>
    <t>C128</t>
  </si>
  <si>
    <t>O1412</t>
  </si>
  <si>
    <t>O1413</t>
  </si>
  <si>
    <t>O1414</t>
  </si>
  <si>
    <t>O1415</t>
  </si>
  <si>
    <t>O1416</t>
  </si>
  <si>
    <t>C082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</si>
  <si>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</si>
  <si>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</si>
  <si>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</si>
  <si>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</si>
  <si>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</si>
  <si>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</si>
  <si>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</si>
  <si>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</si>
  <si>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</si>
  <si>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</si>
  <si>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</si>
  <si>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C041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</si>
  <si>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</si>
  <si>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</si>
  <si>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</si>
  <si>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</si>
  <si>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</si>
  <si>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</si>
  <si>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</si>
  <si>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</si>
  <si>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</si>
  <si>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</si>
  <si>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</si>
  <si>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</si>
  <si>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</si>
  <si>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C080</t>
  </si>
  <si>
    <t>O1441</t>
  </si>
  <si>
    <t>O1442</t>
  </si>
  <si>
    <t>O1443</t>
  </si>
  <si>
    <t>P002</t>
  </si>
  <si>
    <t>O1444</t>
  </si>
  <si>
    <t>C076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</si>
  <si>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</si>
  <si>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</si>
  <si>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</si>
  <si>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</si>
  <si>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</si>
  <si>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</si>
  <si>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</si>
  <si>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</si>
  <si>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</si>
  <si>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C033</t>
  </si>
  <si>
    <t>O1454</t>
  </si>
  <si>
    <t>O1455</t>
  </si>
  <si>
    <t>O1456</t>
  </si>
  <si>
    <t>O1457</t>
  </si>
  <si>
    <t>C069</t>
  </si>
  <si>
    <t>O1458</t>
  </si>
  <si>
    <t>O1459</t>
  </si>
  <si>
    <t>O1460</t>
  </si>
  <si>
    <t>O1461</t>
  </si>
  <si>
    <t>O1462</t>
  </si>
  <si>
    <t>O1463</t>
  </si>
  <si>
    <t>C191</t>
  </si>
  <si>
    <t>O1464</t>
  </si>
  <si>
    <t>O1465</t>
  </si>
  <si>
    <t>O1466</t>
  </si>
  <si>
    <t>O1467</t>
  </si>
  <si>
    <t>O1468</t>
  </si>
  <si>
    <t>P003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</si>
  <si>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</si>
  <si>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</si>
  <si>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</si>
  <si>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</si>
  <si>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</si>
  <si>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</si>
  <si>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</si>
  <si>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</si>
  <si>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</si>
  <si>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</si>
  <si>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</si>
  <si>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</si>
  <si>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P025</t>
  </si>
  <si>
    <t>O1481</t>
  </si>
  <si>
    <t>O1482</t>
  </si>
  <si>
    <t>O1483</t>
  </si>
  <si>
    <t>O1484</t>
  </si>
  <si>
    <t>O1485</t>
  </si>
  <si>
    <t>O1486</t>
  </si>
  <si>
    <t>C180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</si>
  <si>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</si>
  <si>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</si>
  <si>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</si>
  <si>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</si>
  <si>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</si>
  <si>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</si>
  <si>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</si>
  <si>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</si>
  <si>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C055</t>
  </si>
  <si>
    <t>O1495</t>
  </si>
  <si>
    <t>O1496</t>
  </si>
  <si>
    <t>O1497</t>
  </si>
  <si>
    <t>O1498</t>
  </si>
  <si>
    <t>O1499</t>
  </si>
  <si>
    <t>O1500</t>
  </si>
  <si>
    <t>O1501</t>
  </si>
  <si>
    <t>O1502</t>
  </si>
  <si>
    <t>O1503</t>
  </si>
  <si>
    <t>O1504</t>
  </si>
  <si>
    <t>O1505</t>
  </si>
  <si>
    <t>O1506</t>
  </si>
  <si>
    <t>O1507</t>
  </si>
  <si>
    <t>C159</t>
  </si>
  <si>
    <t>O1508</t>
  </si>
  <si>
    <t>O1509</t>
  </si>
  <si>
    <t>C130</t>
  </si>
  <si>
    <t>O1510</t>
  </si>
  <si>
    <t>O1511</t>
  </si>
  <si>
    <t>O1512</t>
  </si>
  <si>
    <t>O1513</t>
  </si>
  <si>
    <t>O1514</t>
  </si>
  <si>
    <t>O1515</t>
  </si>
  <si>
    <t>O1516</t>
  </si>
  <si>
    <t>O1517</t>
  </si>
  <si>
    <t>O1518</t>
  </si>
  <si>
    <t>O1519</t>
  </si>
  <si>
    <t>O1520</t>
  </si>
  <si>
    <t>O1521</t>
  </si>
  <si>
    <t>O1522</t>
  </si>
  <si>
    <t>O1523</t>
  </si>
  <si>
    <t>O1524</t>
  </si>
  <si>
    <t>O1525</t>
  </si>
  <si>
    <t>O1526</t>
  </si>
  <si>
    <t>O1527</t>
  </si>
  <si>
    <t>O1528</t>
  </si>
  <si>
    <t>O1529</t>
  </si>
  <si>
    <t>O1530</t>
  </si>
  <si>
    <t>O1531</t>
  </si>
  <si>
    <t>O1532</t>
  </si>
  <si>
    <t>O1533</t>
  </si>
  <si>
    <t>O1534</t>
  </si>
  <si>
    <t>O1535</t>
  </si>
  <si>
    <t>O1536</t>
  </si>
  <si>
    <t>O1537</t>
  </si>
  <si>
    <t>O1538</t>
  </si>
  <si>
    <t>O1539</t>
  </si>
  <si>
    <t>C146</t>
  </si>
  <si>
    <t>O1540</t>
  </si>
  <si>
    <t>O1541</t>
  </si>
  <si>
    <t>O1542</t>
  </si>
  <si>
    <t>O1543</t>
  </si>
  <si>
    <t>O1544</t>
  </si>
  <si>
    <t>O1545</t>
  </si>
  <si>
    <t>O1546</t>
  </si>
  <si>
    <t>O1547</t>
  </si>
  <si>
    <t>C186</t>
  </si>
  <si>
    <t>O1548</t>
  </si>
  <si>
    <t>O1549</t>
  </si>
  <si>
    <t>O1550</t>
  </si>
  <si>
    <t>O1551</t>
  </si>
  <si>
    <t>O1552</t>
  </si>
  <si>
    <t>O1553</t>
  </si>
  <si>
    <t>O1554</t>
  </si>
  <si>
    <t>O1555</t>
  </si>
  <si>
    <t>O1556</t>
  </si>
  <si>
    <t>O1557</t>
  </si>
  <si>
    <t>O1558</t>
  </si>
  <si>
    <t>O1559</t>
  </si>
  <si>
    <t>O1560</t>
  </si>
  <si>
    <t>O1561</t>
  </si>
  <si>
    <t>O1562</t>
  </si>
  <si>
    <t>O1563</t>
  </si>
  <si>
    <t>O1564</t>
  </si>
  <si>
    <t>O1565</t>
  </si>
  <si>
    <t>O1566</t>
  </si>
  <si>
    <t>O1567</t>
  </si>
  <si>
    <t>O1568</t>
  </si>
  <si>
    <t>O1569</t>
  </si>
  <si>
    <t>O1570</t>
  </si>
  <si>
    <t>O1571</t>
  </si>
  <si>
    <t>O1572</t>
  </si>
  <si>
    <t>O1573</t>
  </si>
  <si>
    <t>O1574</t>
  </si>
  <si>
    <t>O1575</t>
  </si>
  <si>
    <t>O1576</t>
  </si>
  <si>
    <t>O1577</t>
  </si>
  <si>
    <t>O1578</t>
  </si>
  <si>
    <t>O1579</t>
  </si>
  <si>
    <t>O1580</t>
  </si>
  <si>
    <t>O1581</t>
  </si>
  <si>
    <t>O1582</t>
  </si>
  <si>
    <t>O1583</t>
  </si>
  <si>
    <t>O1584</t>
  </si>
  <si>
    <t>O1585</t>
  </si>
  <si>
    <t>O1586</t>
  </si>
  <si>
    <t>O1587</t>
  </si>
  <si>
    <t>O1588</t>
  </si>
  <si>
    <t>O1589</t>
  </si>
  <si>
    <t>O1590</t>
  </si>
  <si>
    <t>O1591</t>
  </si>
  <si>
    <t>O1592</t>
  </si>
  <si>
    <t>O1593</t>
  </si>
  <si>
    <t>O1594</t>
  </si>
  <si>
    <t>O1595</t>
  </si>
  <si>
    <t>O1596</t>
  </si>
  <si>
    <t>O1597</t>
  </si>
  <si>
    <t>O1598</t>
  </si>
  <si>
    <t>O1599</t>
  </si>
  <si>
    <t>O1600</t>
  </si>
  <si>
    <t>O1601</t>
  </si>
  <si>
    <t>O1602</t>
  </si>
  <si>
    <t>O1603</t>
  </si>
  <si>
    <t>O1604</t>
  </si>
  <si>
    <t>O1605</t>
  </si>
  <si>
    <t>C002</t>
  </si>
  <si>
    <t>O1606</t>
  </si>
  <si>
    <t>O1607</t>
  </si>
  <si>
    <t>O1608</t>
  </si>
  <si>
    <t>O1609</t>
  </si>
  <si>
    <t>O1610</t>
  </si>
  <si>
    <t>O1611</t>
  </si>
  <si>
    <t>O1612</t>
  </si>
  <si>
    <t>O1613</t>
  </si>
  <si>
    <t>O1614</t>
  </si>
  <si>
    <t>O1615</t>
  </si>
  <si>
    <t>O1616</t>
  </si>
  <si>
    <t>O1617</t>
  </si>
  <si>
    <t>O1618</t>
  </si>
  <si>
    <t>O1619</t>
  </si>
  <si>
    <t>O1620</t>
  </si>
  <si>
    <t>O1621</t>
  </si>
  <si>
    <t>O1622</t>
  </si>
  <si>
    <t>O1623</t>
  </si>
  <si>
    <t>O1624</t>
  </si>
  <si>
    <t>O1625</t>
  </si>
  <si>
    <t>O1626</t>
  </si>
  <si>
    <t>O1627</t>
  </si>
  <si>
    <t>O1628</t>
  </si>
  <si>
    <t>O1629</t>
  </si>
  <si>
    <t>C176</t>
  </si>
  <si>
    <t>O1630</t>
  </si>
  <si>
    <t>O1631</t>
  </si>
  <si>
    <t>O1632</t>
  </si>
  <si>
    <t>O1633</t>
  </si>
  <si>
    <t>O1634</t>
  </si>
  <si>
    <t>O1635</t>
  </si>
  <si>
    <t>O1636</t>
  </si>
  <si>
    <t>O1637</t>
  </si>
  <si>
    <t>O1638</t>
  </si>
  <si>
    <t>O1639</t>
  </si>
  <si>
    <t>O1640</t>
  </si>
  <si>
    <t>O1641</t>
  </si>
  <si>
    <t>O1642</t>
  </si>
  <si>
    <t>O1643</t>
  </si>
  <si>
    <t>O1644</t>
  </si>
  <si>
    <t>O1645</t>
  </si>
  <si>
    <t>O1646</t>
  </si>
  <si>
    <t>O1647</t>
  </si>
  <si>
    <t>C165</t>
  </si>
  <si>
    <t>O1648</t>
  </si>
  <si>
    <t>O1649</t>
  </si>
  <si>
    <t>O1650</t>
  </si>
  <si>
    <t>O1651</t>
  </si>
  <si>
    <t>O1652</t>
  </si>
  <si>
    <t>O1653</t>
  </si>
  <si>
    <t>O1654</t>
  </si>
  <si>
    <t>O1655</t>
  </si>
  <si>
    <t>O1656</t>
  </si>
  <si>
    <t>O1657</t>
  </si>
  <si>
    <t>O1658</t>
  </si>
  <si>
    <t>O1659</t>
  </si>
  <si>
    <t>O1660</t>
  </si>
  <si>
    <t>O1661</t>
  </si>
  <si>
    <t>O1662</t>
  </si>
  <si>
    <t>O1663</t>
  </si>
  <si>
    <t>O1664</t>
  </si>
  <si>
    <t>O1665</t>
  </si>
  <si>
    <t>O1666</t>
  </si>
  <si>
    <t>O1667</t>
  </si>
  <si>
    <t>O1668</t>
  </si>
  <si>
    <t>O1669</t>
  </si>
  <si>
    <t>O1670</t>
  </si>
  <si>
    <t>O1671</t>
  </si>
  <si>
    <t>O1672</t>
  </si>
  <si>
    <t>O1673</t>
  </si>
  <si>
    <t>O1674</t>
  </si>
  <si>
    <t>O1675</t>
  </si>
  <si>
    <t>O1676</t>
  </si>
  <si>
    <t>O1677</t>
  </si>
  <si>
    <t>O1678</t>
  </si>
  <si>
    <t>C031</t>
  </si>
  <si>
    <t>O1679</t>
  </si>
  <si>
    <t>C094</t>
  </si>
  <si>
    <t>O1680</t>
  </si>
  <si>
    <t>O1681</t>
  </si>
  <si>
    <t>O1682</t>
  </si>
  <si>
    <t>O1683</t>
  </si>
  <si>
    <t>O1684</t>
  </si>
  <si>
    <t>O1685</t>
  </si>
  <si>
    <t>O1686</t>
  </si>
  <si>
    <t>O1687</t>
  </si>
  <si>
    <t>O1688</t>
  </si>
  <si>
    <t>O1689</t>
  </si>
  <si>
    <t>O1690</t>
  </si>
  <si>
    <t>O1691</t>
  </si>
  <si>
    <t>O1692</t>
  </si>
  <si>
    <t>O1693</t>
  </si>
  <si>
    <t>O1694</t>
  </si>
  <si>
    <t>O1695</t>
  </si>
  <si>
    <t>O1696</t>
  </si>
  <si>
    <t>O1697</t>
  </si>
  <si>
    <t>O1698</t>
  </si>
  <si>
    <t>O1699</t>
  </si>
  <si>
    <t>O1700</t>
  </si>
  <si>
    <t>O1701</t>
  </si>
  <si>
    <t>O1702</t>
  </si>
  <si>
    <t>O1703</t>
  </si>
  <si>
    <t>O1704</t>
  </si>
  <si>
    <t>O1705</t>
  </si>
  <si>
    <t>O1706</t>
  </si>
  <si>
    <t>O1707</t>
  </si>
  <si>
    <t>O1708</t>
  </si>
  <si>
    <t>O1709</t>
  </si>
  <si>
    <t>O1710</t>
  </si>
  <si>
    <t>O1711</t>
  </si>
  <si>
    <t>O1712</t>
  </si>
  <si>
    <t>O1713</t>
  </si>
  <si>
    <t>O1714</t>
  </si>
  <si>
    <t>O1715</t>
  </si>
  <si>
    <t>O1716</t>
  </si>
  <si>
    <t>O1717</t>
  </si>
  <si>
    <t>O1718</t>
  </si>
  <si>
    <t>O1719</t>
  </si>
  <si>
    <t>O1720</t>
  </si>
  <si>
    <t>O1721</t>
  </si>
  <si>
    <t>O1722</t>
  </si>
  <si>
    <t>O1723</t>
  </si>
  <si>
    <t>O1724</t>
  </si>
  <si>
    <t>O1725</t>
  </si>
  <si>
    <t>O1726</t>
  </si>
  <si>
    <t>O1727</t>
  </si>
  <si>
    <t>O1728</t>
  </si>
  <si>
    <t>O1729</t>
  </si>
  <si>
    <t>O1730</t>
  </si>
  <si>
    <t>O1731</t>
  </si>
  <si>
    <t>O1732</t>
  </si>
  <si>
    <t>O1733</t>
  </si>
  <si>
    <t>O1734</t>
  </si>
  <si>
    <t>O1735</t>
  </si>
  <si>
    <t>O1736</t>
  </si>
  <si>
    <t>O1737</t>
  </si>
  <si>
    <t>O1738</t>
  </si>
  <si>
    <t>O1739</t>
  </si>
  <si>
    <t>O1740</t>
  </si>
  <si>
    <t>O1741</t>
  </si>
  <si>
    <t>C021</t>
  </si>
  <si>
    <t>O1742</t>
  </si>
  <si>
    <t>O1743</t>
  </si>
  <si>
    <t>O1744</t>
  </si>
  <si>
    <t>O1745</t>
  </si>
  <si>
    <t>O1746</t>
  </si>
  <si>
    <t>O1747</t>
  </si>
  <si>
    <t>O1748</t>
  </si>
  <si>
    <t>O1749</t>
  </si>
  <si>
    <t>O1750</t>
  </si>
  <si>
    <t>O1751</t>
  </si>
  <si>
    <t>O1752</t>
  </si>
  <si>
    <t>O1753</t>
  </si>
  <si>
    <t>C089</t>
  </si>
  <si>
    <t>O1754</t>
  </si>
  <si>
    <t>O1755</t>
  </si>
  <si>
    <t>O1756</t>
  </si>
  <si>
    <t>O1757</t>
  </si>
  <si>
    <t>C144</t>
  </si>
  <si>
    <t>O1758</t>
  </si>
  <si>
    <t>O1759</t>
  </si>
  <si>
    <t>O1760</t>
  </si>
  <si>
    <t>O1761</t>
  </si>
  <si>
    <t>O1762</t>
  </si>
  <si>
    <t>O1763</t>
  </si>
  <si>
    <t>O1764</t>
  </si>
  <si>
    <t>O1765</t>
  </si>
  <si>
    <t>O1766</t>
  </si>
  <si>
    <t>O1767</t>
  </si>
  <si>
    <t>O1768</t>
  </si>
  <si>
    <t>O1769</t>
  </si>
  <si>
    <t>O1770</t>
  </si>
  <si>
    <t>O1771</t>
  </si>
  <si>
    <t>O1772</t>
  </si>
  <si>
    <t>O1773</t>
  </si>
  <si>
    <t>O1774</t>
  </si>
  <si>
    <t>O1775</t>
  </si>
  <si>
    <t>O1776</t>
  </si>
  <si>
    <t>C156</t>
  </si>
  <si>
    <t>O1777</t>
  </si>
  <si>
    <t>O1778</t>
  </si>
  <si>
    <t>O1779</t>
  </si>
  <si>
    <t>O1780</t>
  </si>
  <si>
    <t>O1781</t>
  </si>
  <si>
    <t>O1782</t>
  </si>
  <si>
    <t>O1783</t>
  </si>
  <si>
    <t>O1784</t>
  </si>
  <si>
    <t>O1785</t>
  </si>
  <si>
    <t>O1786</t>
  </si>
  <si>
    <t>O1787</t>
  </si>
  <si>
    <t>C030</t>
  </si>
  <si>
    <t>O1788</t>
  </si>
  <si>
    <t>O1789</t>
  </si>
  <si>
    <t>O1790</t>
  </si>
  <si>
    <t>O1791</t>
  </si>
  <si>
    <t>O1792</t>
  </si>
  <si>
    <t>O1793</t>
  </si>
  <si>
    <t>O1794</t>
  </si>
  <si>
    <t>O1795</t>
  </si>
  <si>
    <t>O1796</t>
  </si>
  <si>
    <t>O1797</t>
  </si>
  <si>
    <t>O1798</t>
  </si>
  <si>
    <t>O1799</t>
  </si>
  <si>
    <t>O1800</t>
  </si>
  <si>
    <t>O1801</t>
  </si>
  <si>
    <t>O1802</t>
  </si>
  <si>
    <t>O1803</t>
  </si>
  <si>
    <t>O1804</t>
  </si>
  <si>
    <t>O1805</t>
  </si>
  <si>
    <t>O1806</t>
  </si>
  <si>
    <t>O1807</t>
  </si>
  <si>
    <t>O1808</t>
  </si>
  <si>
    <t>O1809</t>
  </si>
  <si>
    <t>O1810</t>
  </si>
  <si>
    <t>O1811</t>
  </si>
  <si>
    <t>O1812</t>
  </si>
  <si>
    <t>O1813</t>
  </si>
  <si>
    <t>O1814</t>
  </si>
  <si>
    <t>O1815</t>
  </si>
  <si>
    <t>O1816</t>
  </si>
  <si>
    <t>O1817</t>
  </si>
  <si>
    <t>O1818</t>
  </si>
  <si>
    <t>O1819</t>
  </si>
  <si>
    <t>O1820</t>
  </si>
  <si>
    <t>O1821</t>
  </si>
  <si>
    <t>O1822</t>
  </si>
  <si>
    <t>O1823</t>
  </si>
  <si>
    <t>O1824</t>
  </si>
  <si>
    <t>O1825</t>
  </si>
  <si>
    <t>O1826</t>
  </si>
  <si>
    <t>O1827</t>
  </si>
  <si>
    <t>O1828</t>
  </si>
  <si>
    <t>O1829</t>
  </si>
  <si>
    <t>O1830</t>
  </si>
  <si>
    <t>O1831</t>
  </si>
  <si>
    <t>O1832</t>
  </si>
  <si>
    <t>O1833</t>
  </si>
  <si>
    <t>O1834</t>
  </si>
  <si>
    <t>O1835</t>
  </si>
  <si>
    <t>O1836</t>
  </si>
  <si>
    <t>C026</t>
  </si>
  <si>
    <t>O1837</t>
  </si>
  <si>
    <t>O1838</t>
  </si>
  <si>
    <t>O1839</t>
  </si>
  <si>
    <t>O1840</t>
  </si>
  <si>
    <t>O1841</t>
  </si>
  <si>
    <t>O1842</t>
  </si>
  <si>
    <t>O1843</t>
  </si>
  <si>
    <t>O1844</t>
  </si>
  <si>
    <t>O1845</t>
  </si>
  <si>
    <t>O1846</t>
  </si>
  <si>
    <t>O1847</t>
  </si>
  <si>
    <t>O1848</t>
  </si>
  <si>
    <t>O1849</t>
  </si>
  <si>
    <t>O1850</t>
  </si>
  <si>
    <t>O1851</t>
  </si>
  <si>
    <t>O1852</t>
  </si>
  <si>
    <t>O1853</t>
  </si>
  <si>
    <t>O1854</t>
  </si>
  <si>
    <t>O1855</t>
  </si>
  <si>
    <t>O1856</t>
  </si>
  <si>
    <t>O1857</t>
  </si>
  <si>
    <t>O1858</t>
  </si>
  <si>
    <t>O1859</t>
  </si>
  <si>
    <t>O1860</t>
  </si>
  <si>
    <t>O1861</t>
  </si>
  <si>
    <t>O1862</t>
  </si>
  <si>
    <t>O1863</t>
  </si>
  <si>
    <t>O1864</t>
  </si>
  <si>
    <t>O1865</t>
  </si>
  <si>
    <t>O1866</t>
  </si>
  <si>
    <t>O1867</t>
  </si>
  <si>
    <t>O1868</t>
  </si>
  <si>
    <t>O1869</t>
  </si>
  <si>
    <t>O1870</t>
  </si>
  <si>
    <t>O1871</t>
  </si>
  <si>
    <t>O1872</t>
  </si>
  <si>
    <t>O1873</t>
  </si>
  <si>
    <t>C184</t>
  </si>
  <si>
    <t>O1874</t>
  </si>
  <si>
    <t>O1875</t>
  </si>
  <si>
    <t>O1876</t>
  </si>
  <si>
    <t>O1877</t>
  </si>
  <si>
    <t>O1878</t>
  </si>
  <si>
    <t>O1879</t>
  </si>
  <si>
    <t>O1880</t>
  </si>
  <si>
    <t>O1881</t>
  </si>
  <si>
    <t>O1882</t>
  </si>
  <si>
    <t>O1883</t>
  </si>
  <si>
    <t>O1884</t>
  </si>
  <si>
    <t>O1885</t>
  </si>
  <si>
    <t>O1886</t>
  </si>
  <si>
    <t>O1887</t>
  </si>
  <si>
    <t>O1888</t>
  </si>
  <si>
    <t>O1889</t>
  </si>
  <si>
    <t>O1890</t>
  </si>
  <si>
    <t>O1891</t>
  </si>
  <si>
    <t>O1892</t>
  </si>
  <si>
    <t>O1893</t>
  </si>
  <si>
    <t>O1894</t>
  </si>
  <si>
    <t>O1895</t>
  </si>
  <si>
    <t>O1896</t>
  </si>
  <si>
    <t>O1897</t>
  </si>
  <si>
    <t>O1898</t>
  </si>
  <si>
    <t>O1899</t>
  </si>
  <si>
    <t>O1900</t>
  </si>
  <si>
    <t>O1901</t>
  </si>
  <si>
    <t>O1902</t>
  </si>
  <si>
    <t>O1903</t>
  </si>
  <si>
    <t>O1904</t>
  </si>
  <si>
    <t>O1905</t>
  </si>
  <si>
    <t>O1906</t>
  </si>
  <si>
    <t>O1907</t>
  </si>
  <si>
    <t>O1908</t>
  </si>
  <si>
    <t>O1909</t>
  </si>
  <si>
    <t>O1910</t>
  </si>
  <si>
    <t>O1911</t>
  </si>
  <si>
    <t>O1912</t>
  </si>
  <si>
    <t>O1913</t>
  </si>
  <si>
    <t>O1914</t>
  </si>
  <si>
    <t>O1915</t>
  </si>
  <si>
    <t>O1916</t>
  </si>
  <si>
    <t>O1917</t>
  </si>
  <si>
    <t>O1918</t>
  </si>
  <si>
    <t>O1919</t>
  </si>
  <si>
    <t>O1920</t>
  </si>
  <si>
    <t>O1921</t>
  </si>
  <si>
    <t>O1922</t>
  </si>
  <si>
    <t>O1923</t>
  </si>
  <si>
    <t>O1924</t>
  </si>
  <si>
    <t>O1925</t>
  </si>
  <si>
    <t>O1926</t>
  </si>
  <si>
    <t>O1927</t>
  </si>
  <si>
    <t>O1928</t>
  </si>
  <si>
    <t>O1929</t>
  </si>
  <si>
    <t>O1930</t>
  </si>
  <si>
    <t>O1931</t>
  </si>
  <si>
    <t>O1932</t>
  </si>
  <si>
    <t>O1933</t>
  </si>
  <si>
    <t>O1934</t>
  </si>
  <si>
    <t>O1935</t>
  </si>
  <si>
    <t>O1936</t>
  </si>
  <si>
    <t>O1937</t>
  </si>
  <si>
    <t>O1938</t>
  </si>
  <si>
    <t>O1939</t>
  </si>
  <si>
    <t>O1940</t>
  </si>
  <si>
    <t>O1941</t>
  </si>
  <si>
    <t>O1942</t>
  </si>
  <si>
    <t>O1943</t>
  </si>
  <si>
    <t>O1944</t>
  </si>
  <si>
    <t>O1945</t>
  </si>
  <si>
    <t>O1946</t>
  </si>
  <si>
    <t>O1947</t>
  </si>
  <si>
    <t>O1948</t>
  </si>
  <si>
    <t>O1949</t>
  </si>
  <si>
    <t>O1950</t>
  </si>
  <si>
    <t>O1951</t>
  </si>
  <si>
    <t>O1952</t>
  </si>
  <si>
    <t>O1953</t>
  </si>
  <si>
    <t>O1954</t>
  </si>
  <si>
    <t>O1955</t>
  </si>
  <si>
    <t>O1956</t>
  </si>
  <si>
    <t>O1957</t>
  </si>
  <si>
    <t>O1958</t>
  </si>
  <si>
    <t>O1959</t>
  </si>
  <si>
    <t>O1960</t>
  </si>
  <si>
    <t>O1961</t>
  </si>
  <si>
    <t>O1962</t>
  </si>
  <si>
    <t>O1963</t>
  </si>
  <si>
    <t>O1964</t>
  </si>
  <si>
    <t>O1965</t>
  </si>
  <si>
    <t>O1966</t>
  </si>
  <si>
    <t>O1967</t>
  </si>
  <si>
    <t>O1968</t>
  </si>
  <si>
    <t>O1969</t>
  </si>
  <si>
    <t>O1970</t>
  </si>
  <si>
    <t>O1971</t>
  </si>
  <si>
    <t>O1972</t>
  </si>
  <si>
    <t>O1973</t>
  </si>
  <si>
    <t>O1974</t>
  </si>
  <si>
    <t>O1975</t>
  </si>
  <si>
    <t>O1976</t>
  </si>
  <si>
    <t>O1977</t>
  </si>
  <si>
    <t>O1978</t>
  </si>
  <si>
    <t>O1979</t>
  </si>
  <si>
    <t>O1980</t>
  </si>
  <si>
    <t>O1981</t>
  </si>
  <si>
    <t>O1982</t>
  </si>
  <si>
    <t>O1983</t>
  </si>
  <si>
    <t>O1984</t>
  </si>
  <si>
    <t>O1985</t>
  </si>
  <si>
    <t>O1986</t>
  </si>
  <si>
    <t>O1987</t>
  </si>
  <si>
    <t>O1988</t>
  </si>
  <si>
    <t>O1989</t>
  </si>
  <si>
    <t>O1990</t>
  </si>
  <si>
    <t>O1991</t>
  </si>
  <si>
    <t>O1992</t>
  </si>
  <si>
    <t>O1993</t>
  </si>
  <si>
    <t>O1994</t>
  </si>
  <si>
    <t>O1995</t>
  </si>
  <si>
    <t>O1996</t>
  </si>
  <si>
    <t>O1997</t>
  </si>
  <si>
    <t>O1998</t>
  </si>
  <si>
    <t>O1999</t>
  </si>
  <si>
    <t>O2000</t>
  </si>
  <si>
    <t>O2001</t>
  </si>
  <si>
    <t>O2002</t>
  </si>
  <si>
    <t>O2003</t>
  </si>
  <si>
    <t>O2004</t>
  </si>
  <si>
    <t>O2005</t>
  </si>
  <si>
    <t>O2006</t>
  </si>
  <si>
    <t>O2007</t>
  </si>
  <si>
    <t>O2008</t>
  </si>
  <si>
    <t>O2009</t>
  </si>
  <si>
    <t>O2010</t>
  </si>
  <si>
    <t>O2011</t>
  </si>
  <si>
    <t>O2012</t>
  </si>
  <si>
    <t>O2013</t>
  </si>
  <si>
    <t>O2014</t>
  </si>
  <si>
    <t>O2015</t>
  </si>
  <si>
    <t>O2016</t>
  </si>
  <si>
    <t>O2017</t>
  </si>
  <si>
    <t>O2018</t>
  </si>
  <si>
    <t>O2019</t>
  </si>
  <si>
    <t>O2020</t>
  </si>
  <si>
    <t>O2021</t>
  </si>
  <si>
    <t>O2022</t>
  </si>
  <si>
    <t>O2023</t>
  </si>
  <si>
    <t>O2024</t>
  </si>
  <si>
    <t>O2025</t>
  </si>
  <si>
    <t>O2026</t>
  </si>
  <si>
    <t>O2027</t>
  </si>
  <si>
    <t>O2028</t>
  </si>
  <si>
    <t>O2029</t>
  </si>
  <si>
    <t>O2030</t>
  </si>
  <si>
    <t>O2031</t>
  </si>
  <si>
    <t>O2032</t>
  </si>
  <si>
    <t>O2033</t>
  </si>
  <si>
    <t>O2034</t>
  </si>
  <si>
    <t>O2035</t>
  </si>
  <si>
    <t>O2036</t>
  </si>
  <si>
    <t>O2037</t>
  </si>
  <si>
    <t>O2038</t>
  </si>
  <si>
    <t>O2039</t>
  </si>
  <si>
    <t>O2040</t>
  </si>
  <si>
    <t>O2041</t>
  </si>
  <si>
    <t>O2042</t>
  </si>
  <si>
    <t>O2043</t>
  </si>
  <si>
    <t>O2044</t>
  </si>
  <si>
    <t>O2045</t>
  </si>
  <si>
    <t>O2046</t>
  </si>
  <si>
    <t>O2047</t>
  </si>
  <si>
    <t>O2048</t>
  </si>
  <si>
    <t>O2049</t>
  </si>
  <si>
    <t>O2050</t>
  </si>
  <si>
    <t>O2051</t>
  </si>
  <si>
    <t>O2052</t>
  </si>
  <si>
    <t>O2053</t>
  </si>
  <si>
    <t>O2054</t>
  </si>
  <si>
    <t>O2055</t>
  </si>
  <si>
    <t>O2056</t>
  </si>
  <si>
    <t>O2057</t>
  </si>
  <si>
    <t>O2058</t>
  </si>
  <si>
    <t>O2059</t>
  </si>
  <si>
    <t>O2060</t>
  </si>
  <si>
    <t>O2061</t>
  </si>
  <si>
    <t>O2062</t>
  </si>
  <si>
    <t>O2063</t>
  </si>
  <si>
    <t>O2064</t>
  </si>
  <si>
    <t>O2065</t>
  </si>
  <si>
    <t>O2066</t>
  </si>
  <si>
    <t>O2067</t>
  </si>
  <si>
    <t>O2068</t>
  </si>
  <si>
    <t>O2069</t>
  </si>
  <si>
    <t>O2070</t>
  </si>
  <si>
    <t>O2071</t>
  </si>
  <si>
    <t>O2072</t>
  </si>
  <si>
    <t>O2073</t>
  </si>
  <si>
    <t>O2074</t>
  </si>
  <si>
    <t>O2075</t>
  </si>
  <si>
    <t>O2076</t>
  </si>
  <si>
    <t>O2077</t>
  </si>
  <si>
    <t>O2078</t>
  </si>
  <si>
    <t>O2079</t>
  </si>
  <si>
    <t>O2080</t>
  </si>
  <si>
    <t>O2081</t>
  </si>
  <si>
    <t>O2082</t>
  </si>
  <si>
    <t>O2083</t>
  </si>
  <si>
    <t>O2084</t>
  </si>
  <si>
    <t>O2085</t>
  </si>
  <si>
    <t>O2086</t>
  </si>
  <si>
    <t>O2087</t>
  </si>
  <si>
    <t>O2088</t>
  </si>
  <si>
    <t>O2089</t>
  </si>
  <si>
    <t>O2090</t>
  </si>
  <si>
    <t>O2091</t>
  </si>
  <si>
    <t>O2092</t>
  </si>
  <si>
    <t>O2093</t>
  </si>
  <si>
    <t>O2094</t>
  </si>
  <si>
    <t>O2095</t>
  </si>
  <si>
    <t>O2096</t>
  </si>
  <si>
    <t>O2097</t>
  </si>
  <si>
    <t>O2098</t>
  </si>
  <si>
    <t>O2099</t>
  </si>
  <si>
    <t>O2100</t>
  </si>
  <si>
    <t>O2101</t>
  </si>
  <si>
    <t>O2102</t>
  </si>
  <si>
    <t>O2103</t>
  </si>
  <si>
    <t>O2104</t>
  </si>
  <si>
    <t>O2105</t>
  </si>
  <si>
    <t>O2106</t>
  </si>
  <si>
    <t>O2107</t>
  </si>
  <si>
    <t>O2108</t>
  </si>
  <si>
    <t>O2109</t>
  </si>
  <si>
    <t>O2110</t>
  </si>
  <si>
    <t>O2111</t>
  </si>
  <si>
    <t>O2112</t>
  </si>
  <si>
    <t>O2113</t>
  </si>
  <si>
    <t>O2114</t>
  </si>
  <si>
    <t>O2115</t>
  </si>
  <si>
    <t>O2116</t>
  </si>
  <si>
    <t>O2117</t>
  </si>
  <si>
    <t>O2118</t>
  </si>
  <si>
    <t>O2119</t>
  </si>
  <si>
    <t>O2120</t>
  </si>
  <si>
    <t>O2121</t>
  </si>
  <si>
    <t>O2122</t>
  </si>
  <si>
    <t>O2123</t>
  </si>
  <si>
    <t>O2124</t>
  </si>
  <si>
    <t>O2125</t>
  </si>
  <si>
    <t>O2126</t>
  </si>
  <si>
    <t>O2127</t>
  </si>
  <si>
    <t>O2128</t>
  </si>
  <si>
    <t>O2129</t>
  </si>
  <si>
    <t>O2130</t>
  </si>
  <si>
    <t>O2131</t>
  </si>
  <si>
    <t>O2132</t>
  </si>
  <si>
    <t>O2133</t>
  </si>
  <si>
    <t>O2134</t>
  </si>
  <si>
    <t>O2135</t>
  </si>
  <si>
    <t>O2136</t>
  </si>
  <si>
    <t>O2137</t>
  </si>
  <si>
    <t>O2138</t>
  </si>
  <si>
    <t>O2139</t>
  </si>
  <si>
    <t>O2140</t>
  </si>
  <si>
    <t>O2141</t>
  </si>
  <si>
    <t>O2142</t>
  </si>
  <si>
    <t>O2143</t>
  </si>
  <si>
    <t>O2144</t>
  </si>
  <si>
    <t>O2145</t>
  </si>
  <si>
    <t>O2146</t>
  </si>
  <si>
    <t>O2147</t>
  </si>
  <si>
    <t>O2148</t>
  </si>
  <si>
    <t>O2149</t>
  </si>
  <si>
    <t>O2150</t>
  </si>
  <si>
    <t>O2151</t>
  </si>
  <si>
    <t>O2152</t>
  </si>
  <si>
    <t>O2153</t>
  </si>
  <si>
    <t>O2154</t>
  </si>
  <si>
    <t>O2155</t>
  </si>
  <si>
    <t>O2156</t>
  </si>
  <si>
    <t>O2157</t>
  </si>
  <si>
    <t>O2158</t>
  </si>
  <si>
    <t>O2159</t>
  </si>
  <si>
    <t>O2160</t>
  </si>
  <si>
    <t>O2161</t>
  </si>
  <si>
    <t>O2162</t>
  </si>
  <si>
    <t>O2163</t>
  </si>
  <si>
    <t>O2164</t>
  </si>
  <si>
    <t>O2165</t>
  </si>
  <si>
    <t>O2166</t>
  </si>
  <si>
    <t>O2167</t>
  </si>
  <si>
    <t>O2168</t>
  </si>
  <si>
    <t>O2169</t>
  </si>
  <si>
    <t>O2170</t>
  </si>
  <si>
    <t>O2171</t>
  </si>
  <si>
    <t>O2172</t>
  </si>
  <si>
    <t>O2173</t>
  </si>
  <si>
    <t>O2174</t>
  </si>
  <si>
    <t>O2175</t>
  </si>
  <si>
    <t>O2176</t>
  </si>
  <si>
    <t>O2177</t>
  </si>
  <si>
    <t>O2178</t>
  </si>
  <si>
    <t>O2179</t>
  </si>
  <si>
    <t>O2180</t>
  </si>
  <si>
    <t>O2181</t>
  </si>
  <si>
    <t>O2182</t>
  </si>
  <si>
    <t>O2183</t>
  </si>
  <si>
    <t>O2184</t>
  </si>
  <si>
    <t>O2185</t>
  </si>
  <si>
    <t>O2186</t>
  </si>
  <si>
    <t>O2187</t>
  </si>
  <si>
    <t>O2188</t>
  </si>
  <si>
    <t>O2189</t>
  </si>
  <si>
    <t>O2190</t>
  </si>
  <si>
    <t>O2191</t>
  </si>
  <si>
    <t>O2192</t>
  </si>
  <si>
    <t>O2193</t>
  </si>
  <si>
    <t>O2194</t>
  </si>
  <si>
    <t>O2195</t>
  </si>
  <si>
    <t>O2196</t>
  </si>
  <si>
    <t>O2197</t>
  </si>
  <si>
    <t>O2198</t>
  </si>
  <si>
    <t>O2199</t>
  </si>
  <si>
    <t>O2200</t>
  </si>
  <si>
    <t>O2201</t>
  </si>
  <si>
    <t>O2202</t>
  </si>
  <si>
    <t>O2203</t>
  </si>
  <si>
    <t>O2204</t>
  </si>
  <si>
    <t>O2205</t>
  </si>
  <si>
    <t>O2206</t>
  </si>
  <si>
    <t>O2207</t>
  </si>
  <si>
    <t>O2208</t>
  </si>
  <si>
    <t>O2209</t>
  </si>
  <si>
    <t>O2210</t>
  </si>
  <si>
    <t>O2211</t>
  </si>
  <si>
    <t>O2212</t>
  </si>
  <si>
    <t>O2213</t>
  </si>
  <si>
    <t>O2214</t>
  </si>
  <si>
    <t>O2215</t>
  </si>
  <si>
    <t>O2216</t>
  </si>
  <si>
    <t>O2217</t>
  </si>
  <si>
    <t>O2218</t>
  </si>
  <si>
    <t>O2219</t>
  </si>
  <si>
    <t>O2220</t>
  </si>
  <si>
    <t>O2221</t>
  </si>
  <si>
    <t>O2222</t>
  </si>
  <si>
    <t>O2223</t>
  </si>
  <si>
    <t>O2224</t>
  </si>
  <si>
    <t>O2225</t>
  </si>
  <si>
    <t>O2226</t>
  </si>
  <si>
    <t>O2227</t>
  </si>
  <si>
    <t>O2228</t>
  </si>
  <si>
    <t>O2229</t>
  </si>
  <si>
    <t>O2230</t>
  </si>
  <si>
    <t>O2231</t>
  </si>
  <si>
    <t>O2232</t>
  </si>
  <si>
    <t>O2233</t>
  </si>
  <si>
    <t>O2234</t>
  </si>
  <si>
    <t>O2235</t>
  </si>
  <si>
    <t>O2236</t>
  </si>
  <si>
    <t>O2237</t>
  </si>
  <si>
    <t>O2238</t>
  </si>
  <si>
    <t>O2239</t>
  </si>
  <si>
    <t>O2240</t>
  </si>
  <si>
    <t>O2241</t>
  </si>
  <si>
    <t>O2242</t>
  </si>
  <si>
    <t>O2243</t>
  </si>
  <si>
    <t>O2244</t>
  </si>
  <si>
    <t>O2245</t>
  </si>
  <si>
    <t>O2246</t>
  </si>
  <si>
    <t>O2247</t>
  </si>
  <si>
    <t>O2248</t>
  </si>
  <si>
    <t>O2249</t>
  </si>
  <si>
    <t>O2250</t>
  </si>
  <si>
    <t>O2251</t>
  </si>
  <si>
    <t>O2252</t>
  </si>
  <si>
    <t>O2253</t>
  </si>
  <si>
    <t>O2254</t>
  </si>
  <si>
    <t>O2255</t>
  </si>
  <si>
    <t>O2256</t>
  </si>
  <si>
    <t>O2257</t>
  </si>
  <si>
    <t>O2258</t>
  </si>
  <si>
    <t>O2259</t>
  </si>
  <si>
    <t>O2260</t>
  </si>
  <si>
    <t>O2261</t>
  </si>
  <si>
    <t>O2262</t>
  </si>
  <si>
    <t>O2263</t>
  </si>
  <si>
    <t>O2264</t>
  </si>
  <si>
    <t>O2265</t>
  </si>
  <si>
    <t>O2266</t>
  </si>
  <si>
    <t>O2267</t>
  </si>
  <si>
    <t>O2268</t>
  </si>
  <si>
    <t>O2269</t>
  </si>
  <si>
    <t>O2270</t>
  </si>
  <si>
    <t>O2271</t>
  </si>
  <si>
    <t>O2272</t>
  </si>
  <si>
    <t>O2273</t>
  </si>
  <si>
    <t>O2274</t>
  </si>
  <si>
    <t>O2275</t>
  </si>
  <si>
    <t>O2276</t>
  </si>
  <si>
    <t>O2277</t>
  </si>
  <si>
    <t>O2278</t>
  </si>
  <si>
    <t>O2279</t>
  </si>
  <si>
    <t>O2280</t>
  </si>
  <si>
    <t>O2281</t>
  </si>
  <si>
    <t>O2282</t>
  </si>
  <si>
    <t>O2283</t>
  </si>
  <si>
    <t>O2284</t>
  </si>
  <si>
    <t>O2285</t>
  </si>
  <si>
    <t>O2286</t>
  </si>
  <si>
    <t>O2287</t>
  </si>
  <si>
    <t>O2288</t>
  </si>
  <si>
    <t>O2289</t>
  </si>
  <si>
    <t>O2290</t>
  </si>
  <si>
    <t>O2291</t>
  </si>
  <si>
    <t>O2292</t>
  </si>
  <si>
    <t>O2293</t>
  </si>
  <si>
    <t>O2294</t>
  </si>
  <si>
    <t>O2295</t>
  </si>
  <si>
    <t>O2296</t>
  </si>
  <si>
    <t>O2297</t>
  </si>
  <si>
    <t>O2298</t>
  </si>
  <si>
    <t>O2299</t>
  </si>
  <si>
    <t>O2300</t>
  </si>
  <si>
    <t>O2301</t>
  </si>
  <si>
    <t>O2302</t>
  </si>
  <si>
    <t>O2303</t>
  </si>
  <si>
    <t>O2304</t>
  </si>
  <si>
    <t>O2305</t>
  </si>
  <si>
    <t>O2306</t>
  </si>
  <si>
    <t>O2307</t>
  </si>
  <si>
    <t>O2308</t>
  </si>
  <si>
    <t>O2309</t>
  </si>
  <si>
    <t>O2310</t>
  </si>
  <si>
    <t>O2311</t>
  </si>
  <si>
    <t>O2312</t>
  </si>
  <si>
    <t>O2313</t>
  </si>
  <si>
    <t>O2314</t>
  </si>
  <si>
    <t>O2315</t>
  </si>
  <si>
    <t>O2316</t>
  </si>
  <si>
    <t>O2317</t>
  </si>
  <si>
    <t>O2318</t>
  </si>
  <si>
    <t>O2319</t>
  </si>
  <si>
    <t>O2320</t>
  </si>
  <si>
    <t>O2321</t>
  </si>
  <si>
    <t>O2322</t>
  </si>
  <si>
    <t>O2323</t>
  </si>
  <si>
    <t>O2324</t>
  </si>
  <si>
    <t>O2325</t>
  </si>
  <si>
    <t>O2326</t>
  </si>
  <si>
    <t>O2327</t>
  </si>
  <si>
    <t>O2328</t>
  </si>
  <si>
    <t>O2329</t>
  </si>
  <si>
    <t>O2330</t>
  </si>
  <si>
    <t>O2331</t>
  </si>
  <si>
    <t>O2332</t>
  </si>
  <si>
    <t>O2333</t>
  </si>
  <si>
    <t>O2334</t>
  </si>
  <si>
    <t>O2335</t>
  </si>
  <si>
    <t>O2336</t>
  </si>
  <si>
    <t>O2337</t>
  </si>
  <si>
    <t>O2338</t>
  </si>
  <si>
    <t>O2339</t>
  </si>
  <si>
    <t>O2340</t>
  </si>
  <si>
    <t>O2341</t>
  </si>
  <si>
    <t>O2342</t>
  </si>
  <si>
    <t>O2343</t>
  </si>
  <si>
    <t>O2344</t>
  </si>
  <si>
    <t>O2345</t>
  </si>
  <si>
    <t>O2346</t>
  </si>
  <si>
    <t>O2347</t>
  </si>
  <si>
    <t>O2348</t>
  </si>
  <si>
    <t>O2349</t>
  </si>
  <si>
    <t>O2350</t>
  </si>
  <si>
    <t>O2351</t>
  </si>
  <si>
    <t>O2352</t>
  </si>
  <si>
    <t>O2353</t>
  </si>
  <si>
    <t>O2354</t>
  </si>
  <si>
    <t>O2355</t>
  </si>
  <si>
    <t>O2356</t>
  </si>
  <si>
    <t>O2357</t>
  </si>
  <si>
    <t>O2358</t>
  </si>
  <si>
    <t>O2359</t>
  </si>
  <si>
    <t>O2360</t>
  </si>
  <si>
    <t>O2361</t>
  </si>
  <si>
    <t>O2362</t>
  </si>
  <si>
    <t>O2363</t>
  </si>
  <si>
    <t>O2364</t>
  </si>
  <si>
    <t>O2365</t>
  </si>
  <si>
    <t>O2366</t>
  </si>
  <si>
    <t>O2367</t>
  </si>
  <si>
    <t>O2368</t>
  </si>
  <si>
    <t>O2369</t>
  </si>
  <si>
    <t>O2370</t>
  </si>
  <si>
    <t>O2371</t>
  </si>
  <si>
    <t>O2372</t>
  </si>
  <si>
    <t>O2373</t>
  </si>
  <si>
    <t>O2374</t>
  </si>
  <si>
    <t>O2375</t>
  </si>
  <si>
    <t>O2376</t>
  </si>
  <si>
    <t>O2377</t>
  </si>
  <si>
    <t>O2378</t>
  </si>
  <si>
    <t>O2379</t>
  </si>
  <si>
    <t>O2380</t>
  </si>
  <si>
    <t>O2381</t>
  </si>
  <si>
    <t>O2382</t>
  </si>
  <si>
    <t>O2383</t>
  </si>
  <si>
    <t>O2384</t>
  </si>
  <si>
    <t>O2385</t>
  </si>
  <si>
    <t>O2386</t>
  </si>
  <si>
    <t>O2387</t>
  </si>
  <si>
    <t>O2388</t>
  </si>
  <si>
    <t>O2389</t>
  </si>
  <si>
    <t>O2390</t>
  </si>
  <si>
    <t>O2391</t>
  </si>
  <si>
    <t>O2392</t>
  </si>
  <si>
    <t>O2393</t>
  </si>
  <si>
    <t>O2394</t>
  </si>
  <si>
    <t>O2395</t>
  </si>
  <si>
    <t>O2396</t>
  </si>
  <si>
    <t>O2397</t>
  </si>
  <si>
    <t>O2398</t>
  </si>
  <si>
    <t>O2399</t>
  </si>
  <si>
    <t>O2400</t>
  </si>
  <si>
    <t>O2401</t>
  </si>
  <si>
    <t>O2402</t>
  </si>
  <si>
    <t>O2403</t>
  </si>
  <si>
    <t>O2404</t>
  </si>
  <si>
    <t>O2405</t>
  </si>
  <si>
    <t>O2406</t>
  </si>
  <si>
    <t>O2407</t>
  </si>
  <si>
    <t>O2408</t>
  </si>
  <si>
    <t>O2409</t>
  </si>
  <si>
    <t>O2410</t>
  </si>
  <si>
    <t>O2411</t>
  </si>
  <si>
    <t>O2412</t>
  </si>
  <si>
    <t>O2413</t>
  </si>
  <si>
    <t>O2414</t>
  </si>
  <si>
    <t>O2415</t>
  </si>
  <si>
    <t>O2416</t>
  </si>
  <si>
    <t>O2417</t>
  </si>
  <si>
    <t>O2418</t>
  </si>
  <si>
    <t>O2419</t>
  </si>
  <si>
    <t>O2420</t>
  </si>
  <si>
    <t>O2421</t>
  </si>
  <si>
    <t>O2422</t>
  </si>
  <si>
    <t>O2423</t>
  </si>
  <si>
    <t>O2424</t>
  </si>
  <si>
    <t>O2425</t>
  </si>
  <si>
    <t>O2426</t>
  </si>
  <si>
    <t>O2427</t>
  </si>
  <si>
    <t>O2428</t>
  </si>
  <si>
    <t>O2429</t>
  </si>
  <si>
    <t>O2430</t>
  </si>
  <si>
    <t>O2431</t>
  </si>
  <si>
    <t>O2432</t>
  </si>
  <si>
    <t>O2433</t>
  </si>
  <si>
    <t>O2434</t>
  </si>
  <si>
    <t>O2435</t>
  </si>
  <si>
    <t>O2436</t>
  </si>
  <si>
    <t>O2437</t>
  </si>
  <si>
    <t>O2438</t>
  </si>
  <si>
    <t>O2439</t>
  </si>
  <si>
    <t>O2440</t>
  </si>
  <si>
    <t>O2441</t>
  </si>
  <si>
    <t>O2442</t>
  </si>
  <si>
    <t>O2443</t>
  </si>
  <si>
    <t>O2444</t>
  </si>
  <si>
    <t>O2445</t>
  </si>
  <si>
    <t>O2446</t>
  </si>
  <si>
    <t>O2447</t>
  </si>
  <si>
    <t>O2448</t>
  </si>
  <si>
    <t>O2449</t>
  </si>
  <si>
    <t>O2450</t>
  </si>
  <si>
    <t>O2451</t>
  </si>
  <si>
    <t>O2452</t>
  </si>
  <si>
    <t>O2453</t>
  </si>
  <si>
    <t>O2454</t>
  </si>
  <si>
    <t>O2455</t>
  </si>
  <si>
    <t>O2456</t>
  </si>
  <si>
    <t>O2457</t>
  </si>
  <si>
    <t>O2458</t>
  </si>
  <si>
    <t>O2459</t>
  </si>
  <si>
    <t>O2460</t>
  </si>
  <si>
    <t>O2461</t>
  </si>
  <si>
    <t>O2462</t>
  </si>
  <si>
    <t>O2463</t>
  </si>
  <si>
    <t>O2464</t>
  </si>
  <si>
    <t>O2465</t>
  </si>
  <si>
    <t>O2466</t>
  </si>
  <si>
    <t>O2467</t>
  </si>
  <si>
    <t>O2468</t>
  </si>
  <si>
    <t>O2469</t>
  </si>
  <si>
    <t>O2470</t>
  </si>
  <si>
    <t>O2471</t>
  </si>
  <si>
    <t>O2472</t>
  </si>
  <si>
    <t>O2473</t>
  </si>
  <si>
    <t>O2474</t>
  </si>
  <si>
    <t>O2475</t>
  </si>
  <si>
    <t>O2476</t>
  </si>
  <si>
    <t>O2477</t>
  </si>
  <si>
    <t>O2478</t>
  </si>
  <si>
    <t>O2479</t>
  </si>
  <si>
    <t>O2480</t>
  </si>
  <si>
    <t>O2481</t>
  </si>
  <si>
    <t>O2482</t>
  </si>
  <si>
    <t>O2483</t>
  </si>
  <si>
    <t>O2484</t>
  </si>
  <si>
    <t>O2485</t>
  </si>
  <si>
    <t>O2486</t>
  </si>
  <si>
    <t>O2487</t>
  </si>
  <si>
    <t>O2488</t>
  </si>
  <si>
    <t>O2489</t>
  </si>
  <si>
    <t>O2490</t>
  </si>
  <si>
    <t>O2491</t>
  </si>
  <si>
    <t>O2492</t>
  </si>
  <si>
    <t>O2493</t>
  </si>
  <si>
    <t>O2494</t>
  </si>
  <si>
    <t>O2495</t>
  </si>
  <si>
    <t>O2496</t>
  </si>
  <si>
    <t>O2497</t>
  </si>
  <si>
    <t>O2498</t>
  </si>
  <si>
    <t>O2499</t>
  </si>
  <si>
    <t>O2500</t>
  </si>
  <si>
    <t>O2501</t>
  </si>
  <si>
    <t>O2502</t>
  </si>
  <si>
    <t>O2503</t>
  </si>
  <si>
    <t>O2504</t>
  </si>
  <si>
    <t>O2505</t>
  </si>
  <si>
    <t>O2506</t>
  </si>
  <si>
    <t>O2507</t>
  </si>
  <si>
    <t>O2508</t>
  </si>
  <si>
    <t>O2509</t>
  </si>
  <si>
    <t>O2510</t>
  </si>
  <si>
    <t>O2511</t>
  </si>
  <si>
    <t>O2512</t>
  </si>
  <si>
    <t>O2513</t>
  </si>
  <si>
    <t>O2514</t>
  </si>
  <si>
    <t>O2515</t>
  </si>
  <si>
    <t>O2516</t>
  </si>
  <si>
    <t>O2517</t>
  </si>
  <si>
    <t>O2518</t>
  </si>
  <si>
    <t>O2519</t>
  </si>
  <si>
    <t>O2520</t>
  </si>
  <si>
    <t>O2521</t>
  </si>
  <si>
    <t>O2522</t>
  </si>
  <si>
    <t>O2523</t>
  </si>
  <si>
    <t>O2524</t>
  </si>
  <si>
    <t>O2525</t>
  </si>
  <si>
    <t>O2526</t>
  </si>
  <si>
    <t>O2527</t>
  </si>
  <si>
    <t>O2528</t>
  </si>
  <si>
    <t>O2529</t>
  </si>
  <si>
    <t>O2530</t>
  </si>
  <si>
    <t>O2531</t>
  </si>
  <si>
    <t>O2532</t>
  </si>
  <si>
    <t>O2533</t>
  </si>
  <si>
    <t>O2534</t>
  </si>
  <si>
    <t>O2535</t>
  </si>
  <si>
    <t>O2536</t>
  </si>
  <si>
    <t>O2537</t>
  </si>
  <si>
    <t>O2538</t>
  </si>
  <si>
    <t>O2539</t>
  </si>
  <si>
    <t>O2540</t>
  </si>
  <si>
    <t>O2541</t>
  </si>
  <si>
    <t>O2542</t>
  </si>
  <si>
    <t>O2543</t>
  </si>
  <si>
    <t>O2544</t>
  </si>
  <si>
    <t>O2545</t>
  </si>
  <si>
    <t>O2546</t>
  </si>
  <si>
    <t>O2547</t>
  </si>
  <si>
    <t>O2548</t>
  </si>
  <si>
    <t>O2549</t>
  </si>
  <si>
    <t>O2550</t>
  </si>
  <si>
    <t>O2551</t>
  </si>
  <si>
    <t>O2552</t>
  </si>
  <si>
    <t>O2553</t>
  </si>
  <si>
    <t>O2554</t>
  </si>
  <si>
    <t>O2555</t>
  </si>
  <si>
    <t>O2556</t>
  </si>
  <si>
    <t>O2557</t>
  </si>
  <si>
    <t>O2558</t>
  </si>
  <si>
    <t>O2559</t>
  </si>
  <si>
    <t>O2560</t>
  </si>
  <si>
    <t>O2561</t>
  </si>
  <si>
    <t>O2562</t>
  </si>
  <si>
    <t>O2563</t>
  </si>
  <si>
    <t>O2564</t>
  </si>
  <si>
    <t>O2565</t>
  </si>
  <si>
    <t>O2566</t>
  </si>
  <si>
    <t>O2567</t>
  </si>
  <si>
    <t>O2568</t>
  </si>
  <si>
    <t>O2569</t>
  </si>
  <si>
    <t>O2570</t>
  </si>
  <si>
    <t>O2571</t>
  </si>
  <si>
    <t>O2572</t>
  </si>
  <si>
    <t>O2573</t>
  </si>
  <si>
    <t>O2574</t>
  </si>
  <si>
    <t>O2575</t>
  </si>
  <si>
    <t>O2576</t>
  </si>
  <si>
    <t>O2577</t>
  </si>
  <si>
    <t>O2578</t>
  </si>
  <si>
    <t>O2579</t>
  </si>
  <si>
    <t>O2580</t>
  </si>
  <si>
    <t>O2581</t>
  </si>
  <si>
    <t>O2582</t>
  </si>
  <si>
    <t>O2583</t>
  </si>
  <si>
    <t>O2584</t>
  </si>
  <si>
    <t>O2585</t>
  </si>
  <si>
    <t>O2586</t>
  </si>
  <si>
    <t>O2587</t>
  </si>
  <si>
    <t>O2588</t>
  </si>
  <si>
    <t>O2589</t>
  </si>
  <si>
    <t>O2590</t>
  </si>
  <si>
    <t>O2591</t>
  </si>
  <si>
    <t>O2592</t>
  </si>
  <si>
    <t>O2593</t>
  </si>
  <si>
    <t>O2594</t>
  </si>
  <si>
    <t>O2595</t>
  </si>
  <si>
    <t>O2596</t>
  </si>
  <si>
    <t>O2597</t>
  </si>
  <si>
    <t>O2598</t>
  </si>
  <si>
    <t>O2599</t>
  </si>
  <si>
    <t>O2600</t>
  </si>
  <si>
    <t>O2601</t>
  </si>
  <si>
    <t>O2602</t>
  </si>
  <si>
    <t>O2603</t>
  </si>
  <si>
    <t>O2604</t>
  </si>
  <si>
    <t>O2605</t>
  </si>
  <si>
    <t>O2606</t>
  </si>
  <si>
    <t>O2607</t>
  </si>
  <si>
    <t>O2608</t>
  </si>
  <si>
    <t>O2609</t>
  </si>
  <si>
    <t>O2610</t>
  </si>
  <si>
    <t>O2611</t>
  </si>
  <si>
    <t>O2612</t>
  </si>
  <si>
    <t>O2613</t>
  </si>
  <si>
    <t>O2614</t>
  </si>
  <si>
    <t>O2615</t>
  </si>
  <si>
    <t>O2616</t>
  </si>
  <si>
    <t>O2617</t>
  </si>
  <si>
    <t>O2618</t>
  </si>
  <si>
    <t>O2619</t>
  </si>
  <si>
    <t>O2620</t>
  </si>
  <si>
    <t>O2621</t>
  </si>
  <si>
    <t>O2622</t>
  </si>
  <si>
    <t>O2623</t>
  </si>
  <si>
    <t>O2624</t>
  </si>
  <si>
    <t>O2625</t>
  </si>
  <si>
    <t>O2626</t>
  </si>
  <si>
    <t>O2627</t>
  </si>
  <si>
    <t>O2628</t>
  </si>
  <si>
    <t>O2629</t>
  </si>
  <si>
    <t>O2630</t>
  </si>
  <si>
    <t>O2631</t>
  </si>
  <si>
    <t>O2632</t>
  </si>
  <si>
    <t>O2633</t>
  </si>
  <si>
    <t>O2634</t>
  </si>
  <si>
    <t>O2635</t>
  </si>
  <si>
    <t>O2636</t>
  </si>
  <si>
    <t>O2637</t>
  </si>
  <si>
    <t>O2638</t>
  </si>
  <si>
    <t>O2639</t>
  </si>
  <si>
    <t>O2640</t>
  </si>
  <si>
    <t>O2641</t>
  </si>
  <si>
    <t>O2642</t>
  </si>
  <si>
    <t>O2643</t>
  </si>
  <si>
    <t>O2644</t>
  </si>
  <si>
    <t>O2645</t>
  </si>
  <si>
    <t>O2646</t>
  </si>
  <si>
    <t>O2647</t>
  </si>
  <si>
    <t>O2648</t>
  </si>
  <si>
    <t>O2649</t>
  </si>
  <si>
    <t>O2650</t>
  </si>
  <si>
    <t>O2651</t>
  </si>
  <si>
    <t>O2652</t>
  </si>
  <si>
    <t>O2653</t>
  </si>
  <si>
    <t>O2654</t>
  </si>
  <si>
    <t>O2655</t>
  </si>
  <si>
    <t>O2656</t>
  </si>
  <si>
    <t>O2657</t>
  </si>
  <si>
    <t>O2658</t>
  </si>
  <si>
    <t>O2659</t>
  </si>
  <si>
    <t>O2660</t>
  </si>
  <si>
    <t>O2661</t>
  </si>
  <si>
    <t>O2662</t>
  </si>
  <si>
    <t>O2663</t>
  </si>
  <si>
    <t>O2664</t>
  </si>
  <si>
    <t>O2665</t>
  </si>
  <si>
    <t>O2666</t>
  </si>
  <si>
    <t>O2667</t>
  </si>
  <si>
    <t>O2668</t>
  </si>
  <si>
    <t>O2669</t>
  </si>
  <si>
    <t>O2670</t>
  </si>
  <si>
    <t>O2671</t>
  </si>
  <si>
    <t>O2672</t>
  </si>
  <si>
    <t>O2673</t>
  </si>
  <si>
    <t>O2674</t>
  </si>
  <si>
    <t>O2675</t>
  </si>
  <si>
    <t>O2676</t>
  </si>
  <si>
    <t>O2677</t>
  </si>
  <si>
    <t>O2678</t>
  </si>
  <si>
    <t>O2679</t>
  </si>
  <si>
    <t>O2680</t>
  </si>
  <si>
    <t>O2681</t>
  </si>
  <si>
    <t>O2682</t>
  </si>
  <si>
    <t>O2683</t>
  </si>
  <si>
    <t>O2684</t>
  </si>
  <si>
    <t>O2685</t>
  </si>
  <si>
    <t>O2686</t>
  </si>
  <si>
    <t>O2687</t>
  </si>
  <si>
    <t>O2688</t>
  </si>
  <si>
    <t>O2689</t>
  </si>
  <si>
    <t>O2690</t>
  </si>
  <si>
    <t>O2691</t>
  </si>
  <si>
    <t>O2692</t>
  </si>
  <si>
    <t>O2693</t>
  </si>
  <si>
    <t>O2694</t>
  </si>
  <si>
    <t>O2695</t>
  </si>
  <si>
    <t>O2696</t>
  </si>
  <si>
    <t>O2697</t>
  </si>
  <si>
    <t>O2698</t>
  </si>
  <si>
    <t>O2699</t>
  </si>
  <si>
    <t>O2700</t>
  </si>
  <si>
    <t>O2701</t>
  </si>
  <si>
    <t>O2702</t>
  </si>
  <si>
    <t>O2703</t>
  </si>
  <si>
    <t>O2704</t>
  </si>
  <si>
    <t>O2705</t>
  </si>
  <si>
    <t>O2706</t>
  </si>
  <si>
    <t>O2707</t>
  </si>
  <si>
    <t>O2708</t>
  </si>
  <si>
    <t>O2709</t>
  </si>
  <si>
    <t>O2710</t>
  </si>
  <si>
    <t>O2711</t>
  </si>
  <si>
    <t>O2712</t>
  </si>
  <si>
    <t>O2713</t>
  </si>
  <si>
    <t>O2714</t>
  </si>
  <si>
    <t>O2715</t>
  </si>
  <si>
    <t>O2716</t>
  </si>
  <si>
    <t>O2717</t>
  </si>
  <si>
    <t>O2718</t>
  </si>
  <si>
    <t>O2719</t>
  </si>
  <si>
    <t>O2720</t>
  </si>
  <si>
    <t>O2721</t>
  </si>
  <si>
    <t>O2722</t>
  </si>
  <si>
    <t>O2723</t>
  </si>
  <si>
    <t>O2724</t>
  </si>
  <si>
    <t>O2725</t>
  </si>
  <si>
    <t>O2726</t>
  </si>
  <si>
    <t>O2727</t>
  </si>
  <si>
    <t>O2728</t>
  </si>
  <si>
    <t>O2729</t>
  </si>
  <si>
    <t>O2730</t>
  </si>
  <si>
    <t>O2731</t>
  </si>
  <si>
    <t>O2732</t>
  </si>
  <si>
    <t>O2733</t>
  </si>
  <si>
    <t>O2734</t>
  </si>
  <si>
    <t>O2735</t>
  </si>
  <si>
    <t>O2736</t>
  </si>
  <si>
    <t>O2737</t>
  </si>
  <si>
    <t>O2738</t>
  </si>
  <si>
    <t>O2739</t>
  </si>
  <si>
    <t>O2740</t>
  </si>
  <si>
    <t>O2741</t>
  </si>
  <si>
    <t>O2742</t>
  </si>
  <si>
    <t>O2743</t>
  </si>
  <si>
    <t>O2744</t>
  </si>
  <si>
    <t>O2745</t>
  </si>
  <si>
    <t>O2746</t>
  </si>
  <si>
    <t>O2747</t>
  </si>
  <si>
    <t>O2748</t>
  </si>
  <si>
    <t>O2749</t>
  </si>
  <si>
    <t>O2750</t>
  </si>
  <si>
    <t>O2751</t>
  </si>
  <si>
    <t>O2752</t>
  </si>
  <si>
    <t>O2753</t>
  </si>
  <si>
    <t>O2754</t>
  </si>
  <si>
    <t>O2755</t>
  </si>
  <si>
    <t>O2756</t>
  </si>
  <si>
    <t>O2757</t>
  </si>
  <si>
    <t>O2758</t>
  </si>
  <si>
    <t>O2759</t>
  </si>
  <si>
    <t>O2760</t>
  </si>
  <si>
    <t>O2761</t>
  </si>
  <si>
    <t>O2762</t>
  </si>
  <si>
    <t>O2763</t>
  </si>
  <si>
    <t>O2764</t>
  </si>
  <si>
    <t>O2765</t>
  </si>
  <si>
    <t>O2766</t>
  </si>
  <si>
    <t>O2767</t>
  </si>
  <si>
    <t>O2768</t>
  </si>
  <si>
    <t>O2769</t>
  </si>
  <si>
    <t>O2770</t>
  </si>
  <si>
    <t>O2771</t>
  </si>
  <si>
    <t>O2772</t>
  </si>
  <si>
    <t>O2773</t>
  </si>
  <si>
    <t>O2774</t>
  </si>
  <si>
    <t>O2775</t>
  </si>
  <si>
    <t>O2776</t>
  </si>
  <si>
    <t>O2777</t>
  </si>
  <si>
    <t>O2778</t>
  </si>
  <si>
    <t>O2779</t>
  </si>
  <si>
    <t>O2780</t>
  </si>
  <si>
    <t>O2781</t>
  </si>
  <si>
    <t>O2782</t>
  </si>
  <si>
    <t>O2783</t>
  </si>
  <si>
    <t>O2784</t>
  </si>
  <si>
    <t>O2785</t>
  </si>
  <si>
    <t>O2786</t>
  </si>
  <si>
    <t>O2787</t>
  </si>
  <si>
    <t>O2788</t>
  </si>
  <si>
    <t>O2789</t>
  </si>
  <si>
    <t>O2790</t>
  </si>
  <si>
    <t>O2791</t>
  </si>
  <si>
    <t>O2792</t>
  </si>
  <si>
    <t>O2793</t>
  </si>
  <si>
    <t>O2794</t>
  </si>
  <si>
    <t>O2795</t>
  </si>
  <si>
    <t>O2796</t>
  </si>
  <si>
    <t>O2797</t>
  </si>
  <si>
    <t>O2798</t>
  </si>
  <si>
    <t>O2799</t>
  </si>
  <si>
    <t>O2800</t>
  </si>
  <si>
    <t>O2801</t>
  </si>
  <si>
    <t>O2802</t>
  </si>
  <si>
    <t>O2803</t>
  </si>
  <si>
    <t>O2804</t>
  </si>
  <si>
    <t>O2805</t>
  </si>
  <si>
    <t>O2806</t>
  </si>
  <si>
    <t>O2807</t>
  </si>
  <si>
    <t>O2808</t>
  </si>
  <si>
    <t>O2809</t>
  </si>
  <si>
    <t>O2810</t>
  </si>
  <si>
    <t>O2811</t>
  </si>
  <si>
    <t>O2812</t>
  </si>
  <si>
    <t>O2813</t>
  </si>
  <si>
    <t>O2814</t>
  </si>
  <si>
    <t>O2815</t>
  </si>
  <si>
    <t>O2816</t>
  </si>
  <si>
    <t>O2817</t>
  </si>
  <si>
    <t>O2818</t>
  </si>
  <si>
    <t>O2819</t>
  </si>
  <si>
    <t>O2820</t>
  </si>
  <si>
    <t>O2821</t>
  </si>
  <si>
    <t>O2822</t>
  </si>
  <si>
    <t>O2823</t>
  </si>
  <si>
    <t>O2824</t>
  </si>
  <si>
    <t>O2825</t>
  </si>
  <si>
    <t>O2826</t>
  </si>
  <si>
    <t>O2827</t>
  </si>
  <si>
    <t>O2828</t>
  </si>
  <si>
    <t>O2829</t>
  </si>
  <si>
    <t>O2830</t>
  </si>
  <si>
    <t>O2831</t>
  </si>
  <si>
    <t>O2832</t>
  </si>
  <si>
    <t>O2833</t>
  </si>
  <si>
    <t>O2834</t>
  </si>
  <si>
    <t>O2835</t>
  </si>
  <si>
    <t>O2836</t>
  </si>
  <si>
    <t>O2837</t>
  </si>
  <si>
    <t>O2838</t>
  </si>
  <si>
    <t>O2839</t>
  </si>
  <si>
    <t>O2840</t>
  </si>
  <si>
    <t>O2841</t>
  </si>
  <si>
    <t>O2842</t>
  </si>
  <si>
    <t>O2843</t>
  </si>
  <si>
    <t>O2844</t>
  </si>
  <si>
    <t>O2845</t>
  </si>
  <si>
    <t>O2846</t>
  </si>
  <si>
    <t>O2847</t>
  </si>
  <si>
    <t>O2848</t>
  </si>
  <si>
    <t>O2849</t>
  </si>
  <si>
    <t>O2850</t>
  </si>
  <si>
    <t>O2851</t>
  </si>
  <si>
    <t>O2852</t>
  </si>
  <si>
    <t>O2853</t>
  </si>
  <si>
    <t>O2854</t>
  </si>
  <si>
    <t>O2855</t>
  </si>
  <si>
    <t>O2856</t>
  </si>
  <si>
    <t>O2857</t>
  </si>
  <si>
    <t>O2858</t>
  </si>
  <si>
    <t>O2859</t>
  </si>
  <si>
    <t>O2860</t>
  </si>
  <si>
    <t>O2861</t>
  </si>
  <si>
    <t>O2862</t>
  </si>
  <si>
    <t>O2863</t>
  </si>
  <si>
    <t>O2864</t>
  </si>
  <si>
    <t>O2865</t>
  </si>
  <si>
    <t>O2866</t>
  </si>
  <si>
    <t>O2867</t>
  </si>
  <si>
    <t>O2868</t>
  </si>
  <si>
    <t>O2869</t>
  </si>
  <si>
    <t>O2870</t>
  </si>
  <si>
    <t>O2871</t>
  </si>
  <si>
    <t>O2872</t>
  </si>
  <si>
    <t>O2873</t>
  </si>
  <si>
    <t>O2874</t>
  </si>
  <si>
    <t>O2875</t>
  </si>
  <si>
    <t>O2876</t>
  </si>
  <si>
    <t>O2877</t>
  </si>
  <si>
    <t>O2878</t>
  </si>
  <si>
    <t>O2879</t>
  </si>
  <si>
    <t>O2880</t>
  </si>
  <si>
    <t>O2881</t>
  </si>
  <si>
    <t>O2882</t>
  </si>
  <si>
    <t>O2883</t>
  </si>
  <si>
    <t>O2884</t>
  </si>
  <si>
    <t>O2885</t>
  </si>
  <si>
    <t>O2886</t>
  </si>
  <si>
    <t>O2887</t>
  </si>
  <si>
    <t>O2888</t>
  </si>
  <si>
    <t>O2889</t>
  </si>
  <si>
    <t>O2890</t>
  </si>
  <si>
    <t>O2891</t>
  </si>
  <si>
    <t>O2892</t>
  </si>
  <si>
    <t>O2893</t>
  </si>
  <si>
    <t>O2894</t>
  </si>
  <si>
    <t>O2895</t>
  </si>
  <si>
    <t>O2896</t>
  </si>
  <si>
    <t>O2897</t>
  </si>
  <si>
    <t>O2898</t>
  </si>
  <si>
    <t>O2899</t>
  </si>
  <si>
    <t>O2900</t>
  </si>
  <si>
    <t>O2901</t>
  </si>
  <si>
    <t>O2902</t>
  </si>
  <si>
    <t>O2903</t>
  </si>
  <si>
    <t>O2904</t>
  </si>
  <si>
    <t>O2905</t>
  </si>
  <si>
    <t>O2906</t>
  </si>
  <si>
    <t>O2907</t>
  </si>
  <si>
    <t>O2908</t>
  </si>
  <si>
    <t>O2909</t>
  </si>
  <si>
    <t>O2910</t>
  </si>
  <si>
    <t>O2911</t>
  </si>
  <si>
    <t>O2912</t>
  </si>
  <si>
    <t>O2913</t>
  </si>
  <si>
    <t>O2914</t>
  </si>
  <si>
    <t>O2915</t>
  </si>
  <si>
    <t>O2916</t>
  </si>
  <si>
    <t>O2917</t>
  </si>
  <si>
    <t>O2918</t>
  </si>
  <si>
    <t>O2919</t>
  </si>
  <si>
    <t>O2920</t>
  </si>
  <si>
    <t>O2921</t>
  </si>
  <si>
    <t>O2922</t>
  </si>
  <si>
    <t>O2923</t>
  </si>
  <si>
    <t>O2924</t>
  </si>
  <si>
    <t>O2925</t>
  </si>
  <si>
    <t>O2926</t>
  </si>
  <si>
    <t>O2927</t>
  </si>
  <si>
    <t>O2928</t>
  </si>
  <si>
    <t>O2929</t>
  </si>
  <si>
    <t>O2930</t>
  </si>
  <si>
    <t>O2931</t>
  </si>
  <si>
    <t>O2932</t>
  </si>
  <si>
    <t>O2933</t>
  </si>
  <si>
    <t>O2934</t>
  </si>
  <si>
    <t>O2935</t>
  </si>
  <si>
    <t>O2936</t>
  </si>
  <si>
    <t>O2937</t>
  </si>
  <si>
    <t>O2938</t>
  </si>
  <si>
    <t>O2939</t>
  </si>
  <si>
    <t>O2940</t>
  </si>
  <si>
    <t>O2941</t>
  </si>
  <si>
    <t>O2942</t>
  </si>
  <si>
    <t>O2943</t>
  </si>
  <si>
    <t>O2944</t>
  </si>
  <si>
    <t>O2945</t>
  </si>
  <si>
    <t>O2946</t>
  </si>
  <si>
    <t>O2947</t>
  </si>
  <si>
    <t>O2948</t>
  </si>
  <si>
    <t>O2949</t>
  </si>
  <si>
    <t>O2950</t>
  </si>
  <si>
    <t>O2951</t>
  </si>
  <si>
    <t>O2952</t>
  </si>
  <si>
    <t>O2953</t>
  </si>
  <si>
    <t>O2954</t>
  </si>
  <si>
    <t>O2955</t>
  </si>
  <si>
    <t>O2956</t>
  </si>
  <si>
    <t>O2957</t>
  </si>
  <si>
    <t>O2958</t>
  </si>
  <si>
    <t>O2959</t>
  </si>
  <si>
    <t>O2960</t>
  </si>
  <si>
    <t>O2961</t>
  </si>
  <si>
    <t>O2962</t>
  </si>
  <si>
    <t>O2963</t>
  </si>
  <si>
    <t>O2964</t>
  </si>
  <si>
    <t>O2965</t>
  </si>
  <si>
    <t>O2966</t>
  </si>
  <si>
    <t>O2967</t>
  </si>
  <si>
    <t>O2968</t>
  </si>
  <si>
    <t>O2969</t>
  </si>
  <si>
    <t>O2970</t>
  </si>
  <si>
    <t>O2971</t>
  </si>
  <si>
    <t>O2972</t>
  </si>
  <si>
    <t>O2973</t>
  </si>
  <si>
    <t>O2974</t>
  </si>
  <si>
    <t>O2975</t>
  </si>
  <si>
    <t>O2976</t>
  </si>
  <si>
    <t>O2977</t>
  </si>
  <si>
    <t>O2978</t>
  </si>
  <si>
    <t>O2979</t>
  </si>
  <si>
    <t>O2980</t>
  </si>
  <si>
    <t>O2981</t>
  </si>
  <si>
    <t>O2982</t>
  </si>
  <si>
    <t>O2983</t>
  </si>
  <si>
    <t>O2984</t>
  </si>
  <si>
    <t>O2985</t>
  </si>
  <si>
    <t>O2986</t>
  </si>
  <si>
    <t>O2987</t>
  </si>
  <si>
    <t>O2988</t>
  </si>
  <si>
    <t>O2989</t>
  </si>
  <si>
    <t>O2990</t>
  </si>
  <si>
    <t>O2991</t>
  </si>
  <si>
    <t>O2992</t>
  </si>
  <si>
    <t>O2993</t>
  </si>
  <si>
    <t>O2994</t>
  </si>
  <si>
    <t>O2995</t>
  </si>
  <si>
    <t>O2996</t>
  </si>
  <si>
    <t>O2997</t>
  </si>
  <si>
    <t>O2998</t>
  </si>
  <si>
    <t>O2999</t>
  </si>
  <si>
    <t>Customer_Name</t>
  </si>
  <si>
    <t>Region</t>
  </si>
  <si>
    <t>Segment</t>
  </si>
  <si>
    <t>Customer_1</t>
  </si>
  <si>
    <t>South</t>
  </si>
  <si>
    <t>Consumer</t>
  </si>
  <si>
    <t>Customer_2</t>
  </si>
  <si>
    <t>West</t>
  </si>
  <si>
    <t>Home Office</t>
  </si>
  <si>
    <t>Customer_3</t>
  </si>
  <si>
    <t>East</t>
  </si>
  <si>
    <t>Customer_4</t>
  </si>
  <si>
    <t>North</t>
  </si>
  <si>
    <t>Corporate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</si>
  <si>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</si>
  <si>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</si>
  <si>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</si>
  <si>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</si>
  <si>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</si>
  <si>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</si>
  <si>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</si>
  <si>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</si>
  <si>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</si>
  <si>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</si>
  <si>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</si>
  <si>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</si>
  <si>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</si>
  <si>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</si>
  <si>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</si>
  <si>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</si>
  <si>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</si>
  <si>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</si>
  <si>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</si>
  <si>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</si>
  <si>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</si>
  <si>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</si>
  <si>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</si>
  <si>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</si>
  <si>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</si>
  <si>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</si>
  <si>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</si>
  <si>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</si>
  <si>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</si>
  <si>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</si>
  <si>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</si>
  <si>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</si>
  <si>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</si>
  <si>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</si>
  <si>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</si>
  <si>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</si>
  <si>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</si>
  <si>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</si>
  <si>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</si>
  <si>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</si>
  <si>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</si>
  <si>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</si>
  <si>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</si>
  <si>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</si>
  <si>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</si>
  <si>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</si>
  <si>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</si>
  <si>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</si>
  <si>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</si>
  <si>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</si>
  <si>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</si>
  <si>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</si>
  <si>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</si>
  <si>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</si>
  <si>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</si>
  <si>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</si>
  <si>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</si>
  <si>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</si>
  <si>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</si>
  <si>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</si>
  <si>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</si>
  <si>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</si>
  <si>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</si>
  <si>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</si>
  <si>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</si>
  <si>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</si>
  <si>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</si>
  <si>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</si>
  <si>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</si>
  <si>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</si>
  <si>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</si>
  <si>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</si>
  <si>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</si>
  <si>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</si>
  <si>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</si>
  <si>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</si>
  <si>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</si>
  <si>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</si>
  <si>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</si>
  <si>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</si>
  <si>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</si>
  <si>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</si>
  <si>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</si>
  <si>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</si>
  <si>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</si>
  <si>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</si>
  <si>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</si>
  <si>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</si>
  <si>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</si>
  <si>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</si>
  <si>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</si>
  <si>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</si>
  <si>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</si>
  <si>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</si>
  <si>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</si>
  <si>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</si>
  <si>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</si>
  <si>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</si>
  <si>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</si>
  <si>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</si>
  <si>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</si>
  <si>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</si>
  <si>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</si>
  <si>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</si>
  <si>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</si>
  <si>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</si>
  <si>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</si>
  <si>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</si>
  <si>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</si>
  <si>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</si>
  <si>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</si>
  <si>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</si>
  <si>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</si>
  <si>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</si>
  <si>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</si>
  <si>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</si>
  <si>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</si>
  <si>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</si>
  <si>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</si>
  <si>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</si>
  <si>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</si>
  <si>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</si>
  <si>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</si>
  <si>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</si>
  <si>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</si>
  <si>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</si>
  <si>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</si>
  <si>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</si>
  <si>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</si>
  <si>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</si>
  <si>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</si>
  <si>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</si>
  <si>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</si>
  <si>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</si>
  <si>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</si>
  <si>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</si>
  <si>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</si>
  <si>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</si>
  <si>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</si>
  <si>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</si>
  <si>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</si>
  <si>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</si>
  <si>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</si>
  <si>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</si>
  <si>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</si>
  <si>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</si>
  <si>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</si>
  <si>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</si>
  <si>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</si>
  <si>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</si>
  <si>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</si>
  <si>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</si>
  <si>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</si>
  <si>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</si>
  <si>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</si>
  <si>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</si>
  <si>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</si>
  <si>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</si>
  <si>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</si>
  <si>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</si>
  <si>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</si>
  <si>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</si>
  <si>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</si>
  <si>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</si>
  <si>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</si>
  <si>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</si>
  <si>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</si>
  <si>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</si>
  <si>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</si>
  <si>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</si>
  <si>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</si>
  <si>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</si>
  <si>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</si>
  <si>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</si>
  <si>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</si>
  <si>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</si>
  <si>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</si>
  <si>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</si>
  <si>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</si>
  <si>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</si>
  <si>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</si>
  <si>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</si>
  <si>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</si>
  <si>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</si>
  <si>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</si>
  <si>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</si>
  <si>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</si>
  <si>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</si>
  <si>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</si>
  <si>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</si>
  <si>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</si>
  <si>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</si>
  <si>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</si>
  <si>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</si>
  <si>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</si>
  <si>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</si>
  <si>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Product_Name</t>
  </si>
  <si>
    <t>Category</t>
  </si>
  <si>
    <t>Sub_Category</t>
  </si>
  <si>
    <t>Storage_1</t>
  </si>
  <si>
    <t>Office Supplies</t>
  </si>
  <si>
    <t>Storage</t>
  </si>
  <si>
    <t>Chair_2</t>
  </si>
  <si>
    <t>Furniture</t>
  </si>
  <si>
    <t>Chair</t>
  </si>
  <si>
    <t>Pen_3</t>
  </si>
  <si>
    <t>Pen</t>
  </si>
  <si>
    <t>Laptop_4</t>
  </si>
  <si>
    <t>Technology</t>
  </si>
  <si>
    <t>Laptop</t>
  </si>
  <si>
    <t>Paper_5</t>
  </si>
  <si>
    <t>Paper</t>
  </si>
  <si>
    <t>Chair_6</t>
  </si>
  <si>
    <t>Desk_7</t>
  </si>
  <si>
    <t>Desk</t>
  </si>
  <si>
    <t>Accessories_8</t>
  </si>
  <si>
    <t>Accessories</t>
  </si>
  <si>
    <t>Chair_9</t>
  </si>
  <si>
    <t>Paper_10</t>
  </si>
  <si>
    <t>Accessories_11</t>
  </si>
  <si>
    <t>Laptop_12</t>
  </si>
  <si>
    <t>Laptop_13</t>
  </si>
  <si>
    <t>Shelf_14</t>
  </si>
  <si>
    <t>Shelf</t>
  </si>
  <si>
    <t>Tablet_15</t>
  </si>
  <si>
    <t>Tablet</t>
  </si>
  <si>
    <t>Chair_16</t>
  </si>
  <si>
    <t>Pen_17</t>
  </si>
  <si>
    <t>Storage_18</t>
  </si>
  <si>
    <t>Phone_19</t>
  </si>
  <si>
    <t>Phone</t>
  </si>
  <si>
    <t>Pen_20</t>
  </si>
  <si>
    <t>Desk_21</t>
  </si>
  <si>
    <t>Tablet_22</t>
  </si>
  <si>
    <t>Shelf_23</t>
  </si>
  <si>
    <t>Desk_24</t>
  </si>
  <si>
    <t>Accessories_25</t>
  </si>
  <si>
    <t>Phone_26</t>
  </si>
  <si>
    <t>Storage_27</t>
  </si>
  <si>
    <t>Laptop_28</t>
  </si>
  <si>
    <t>Shelf_29</t>
  </si>
  <si>
    <t>Shelf_30</t>
  </si>
  <si>
    <t>Storage_31</t>
  </si>
  <si>
    <t>Paper_32</t>
  </si>
  <si>
    <t>Table_33</t>
  </si>
  <si>
    <t>Table</t>
  </si>
  <si>
    <t>Storage_34</t>
  </si>
  <si>
    <t>Chair_35</t>
  </si>
  <si>
    <t>Shelf_36</t>
  </si>
  <si>
    <t>Storage_37</t>
  </si>
  <si>
    <t>Accessories_38</t>
  </si>
  <si>
    <t>Pen_39</t>
  </si>
  <si>
    <t>Binder_40</t>
  </si>
  <si>
    <t>Binder</t>
  </si>
  <si>
    <t>Tablet_41</t>
  </si>
  <si>
    <t>Tablet_42</t>
  </si>
  <si>
    <t>Table_43</t>
  </si>
  <si>
    <t>Table_44</t>
  </si>
  <si>
    <t>Tablet_45</t>
  </si>
  <si>
    <t>Chair_46</t>
  </si>
  <si>
    <t>Pen_47</t>
  </si>
  <si>
    <t>Table_48</t>
  </si>
  <si>
    <t>Paper_49</t>
  </si>
  <si>
    <t>Pen_50</t>
  </si>
  <si>
    <t>Tablet_51</t>
  </si>
  <si>
    <t>Chair_52</t>
  </si>
  <si>
    <t>Accessories_53</t>
  </si>
  <si>
    <t>Shelf_54</t>
  </si>
  <si>
    <t>Binder_55</t>
  </si>
  <si>
    <t>Paper_56</t>
  </si>
  <si>
    <t>Laptop_57</t>
  </si>
  <si>
    <t>Paper_58</t>
  </si>
  <si>
    <t>Table_59</t>
  </si>
  <si>
    <t>Chair_60</t>
  </si>
  <si>
    <t>Pen_61</t>
  </si>
  <si>
    <t>Shelf_62</t>
  </si>
  <si>
    <t>Pen_63</t>
  </si>
  <si>
    <t>Binder_64</t>
  </si>
  <si>
    <t>Chair_65</t>
  </si>
  <si>
    <t>Desk_66</t>
  </si>
  <si>
    <t>Binder_67</t>
  </si>
  <si>
    <t>Table_68</t>
  </si>
  <si>
    <t>Pen_69</t>
  </si>
  <si>
    <t>Paper_70</t>
  </si>
  <si>
    <t>Laptop_71</t>
  </si>
  <si>
    <t>Chair_72</t>
  </si>
  <si>
    <t>Table_73</t>
  </si>
  <si>
    <t>Table_74</t>
  </si>
  <si>
    <t>Pen_75</t>
  </si>
  <si>
    <t>Shelf_76</t>
  </si>
  <si>
    <t>Accessories_77</t>
  </si>
  <si>
    <t>Storage_78</t>
  </si>
  <si>
    <t>Chair_79</t>
  </si>
  <si>
    <t>Pen_80</t>
  </si>
  <si>
    <t>Pen_81</t>
  </si>
  <si>
    <t>Accessories_82</t>
  </si>
  <si>
    <t>Paper_83</t>
  </si>
  <si>
    <t>Paper_84</t>
  </si>
  <si>
    <t>Tablet_85</t>
  </si>
  <si>
    <t>Shelf_86</t>
  </si>
  <si>
    <t>Phone_87</t>
  </si>
  <si>
    <t>Laptop_88</t>
  </si>
  <si>
    <t>Phone_89</t>
  </si>
  <si>
    <t>Accessories_90</t>
  </si>
  <si>
    <t>Shelf_91</t>
  </si>
  <si>
    <t>Phone_92</t>
  </si>
  <si>
    <t>Storage_93</t>
  </si>
  <si>
    <t>Table_94</t>
  </si>
  <si>
    <t>Phone_95</t>
  </si>
  <si>
    <t>Laptop_96</t>
  </si>
  <si>
    <t>Paper_97</t>
  </si>
  <si>
    <t>Shelf_98</t>
  </si>
  <si>
    <t>Desk_99</t>
  </si>
  <si>
    <t>Phone_100</t>
  </si>
  <si>
    <t>Returned</t>
  </si>
  <si>
    <t>No</t>
  </si>
  <si>
    <t>Yes</t>
  </si>
  <si>
    <t>Segement</t>
  </si>
  <si>
    <t>Return_status</t>
  </si>
  <si>
    <t>Row Labels</t>
  </si>
  <si>
    <t>Grand Total</t>
  </si>
  <si>
    <t>Sum of Sales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</si>
  <si>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</si>
  <si>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</si>
  <si>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</si>
  <si>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</si>
  <si>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</si>
  <si>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</si>
  <si>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</si>
  <si>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</si>
  <si>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</si>
  <si>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</si>
  <si>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</si>
  <si>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</si>
  <si>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</si>
  <si>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Return_status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</si>
</sst>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9" fontId="0" fillId="0" borderId="0" xfId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2">
    <cellStyle name="Normal" xfId="0" builtinId="0"/>
    <cellStyle name="Percent" xfId="1" builtinId="5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46.433808217589" createdVersion="6" refreshedVersion="6" minRefreshableVersion="3" recordCount="2000" xr:uid="{B401DFE2-B18F-46B6-A043-DCEB45005701}">
  <cacheSource type="worksheet">
    <worksheetSource name="orders__17"/>
  </cacheSource>
  <cacheFields count="15">
    <cacheField name="Order_ID" numFmtId="0">
      <sharedItems/>
    </cacheField>
    <cacheField name="Order_Date" numFmtId="14">
      <sharedItems containsSemiMixedTypes="0" containsNonDate="0" containsDate="1" containsString="0" minDate="2022-01-01T00:00:00" maxDate="2024-06-20T00:00:00" count="792">
        <d v="2024-04-21T00:00:00"/>
        <d v="2022-05-01T00:00:00"/>
        <d v="2024-04-22T00:00:00"/>
        <d v="2023-05-01T00:00:00"/>
        <d v="2023-05-06T00:00:00"/>
        <d v="2022-07-25T00:00:00"/>
        <d v="2023-02-26T00:00:00"/>
        <d v="2024-03-02T00:00:00"/>
        <d v="2024-05-01T00:00:00"/>
        <d v="2024-01-11T00:00:00"/>
        <d v="2022-12-09T00:00:00"/>
        <d v="2023-01-08T00:00:00"/>
        <d v="2023-09-26T00:00:00"/>
        <d v="2023-04-16T00:00:00"/>
        <d v="2022-11-07T00:00:00"/>
        <d v="2022-01-21T00:00:00"/>
        <d v="2022-11-20T00:00:00"/>
        <d v="2022-09-13T00:00:00"/>
        <d v="2023-10-17T00:00:00"/>
        <d v="2024-03-26T00:00:00"/>
        <d v="2023-07-25T00:00:00"/>
        <d v="2022-05-02T00:00:00"/>
        <d v="2023-12-07T00:00:00"/>
        <d v="2024-06-07T00:00:00"/>
        <d v="2024-04-14T00:00:00"/>
        <d v="2023-12-27T00:00:00"/>
        <d v="2022-02-19T00:00:00"/>
        <d v="2023-01-15T00:00:00"/>
        <d v="2022-02-05T00:00:00"/>
        <d v="2024-01-21T00:00:00"/>
        <d v="2022-03-17T00:00:00"/>
        <d v="2024-01-19T00:00:00"/>
        <d v="2023-11-10T00:00:00"/>
        <d v="2023-07-09T00:00:00"/>
        <d v="2022-11-12T00:00:00"/>
        <d v="2022-12-18T00:00:00"/>
        <d v="2024-02-04T00:00:00"/>
        <d v="2023-12-31T00:00:00"/>
        <d v="2022-02-11T00:00:00"/>
        <d v="2024-03-22T00:00:00"/>
        <d v="2024-03-23T00:00:00"/>
        <d v="2022-02-23T00:00:00"/>
        <d v="2024-02-28T00:00:00"/>
        <d v="2022-07-04T00:00:00"/>
        <d v="2022-01-01T00:00:00"/>
        <d v="2022-08-28T00:00:00"/>
        <d v="2022-11-29T00:00:00"/>
        <d v="2023-10-16T00:00:00"/>
        <d v="2023-08-22T00:00:00"/>
        <d v="2022-08-24T00:00:00"/>
        <d v="2022-04-24T00:00:00"/>
        <d v="2022-01-16T00:00:00"/>
        <d v="2023-11-12T00:00:00"/>
        <d v="2024-05-02T00:00:00"/>
        <d v="2023-07-13T00:00:00"/>
        <d v="2023-09-08T00:00:00"/>
        <d v="2022-03-25T00:00:00"/>
        <d v="2024-03-24T00:00:00"/>
        <d v="2022-08-29T00:00:00"/>
        <d v="2023-04-05T00:00:00"/>
        <d v="2022-07-19T00:00:00"/>
        <d v="2022-01-26T00:00:00"/>
        <d v="2022-05-20T00:00:00"/>
        <d v="2023-10-30T00:00:00"/>
        <d v="2022-04-22T00:00:00"/>
        <d v="2022-06-25T00:00:00"/>
        <d v="2023-05-11T00:00:00"/>
        <d v="2022-08-14T00:00:00"/>
        <d v="2022-12-12T00:00:00"/>
        <d v="2022-05-17T00:00:00"/>
        <d v="2022-06-26T00:00:00"/>
        <d v="2022-11-16T00:00:00"/>
        <d v="2023-03-05T00:00:00"/>
        <d v="2022-03-16T00:00:00"/>
        <d v="2023-10-14T00:00:00"/>
        <d v="2022-10-07T00:00:00"/>
        <d v="2022-08-23T00:00:00"/>
        <d v="2022-06-05T00:00:00"/>
        <d v="2022-11-18T00:00:00"/>
        <d v="2022-03-19T00:00:00"/>
        <d v="2023-12-13T00:00:00"/>
        <d v="2023-10-05T00:00:00"/>
        <d v="2023-01-27T00:00:00"/>
        <d v="2022-06-18T00:00:00"/>
        <d v="2023-03-12T00:00:00"/>
        <d v="2024-06-06T00:00:00"/>
        <d v="2022-01-25T00:00:00"/>
        <d v="2023-05-04T00:00:00"/>
        <d v="2023-08-07T00:00:00"/>
        <d v="2023-02-22T00:00:00"/>
        <d v="2024-04-29T00:00:00"/>
        <d v="2023-05-05T00:00:00"/>
        <d v="2023-06-26T00:00:00"/>
        <d v="2024-03-20T00:00:00"/>
        <d v="2022-02-25T00:00:00"/>
        <d v="2024-06-10T00:00:00"/>
        <d v="2022-03-04T00:00:00"/>
        <d v="2023-06-12T00:00:00"/>
        <d v="2022-01-27T00:00:00"/>
        <d v="2022-03-10T00:00:00"/>
        <d v="2023-08-25T00:00:00"/>
        <d v="2023-03-26T00:00:00"/>
        <d v="2022-03-15T00:00:00"/>
        <d v="2023-11-28T00:00:00"/>
        <d v="2023-08-15T00:00:00"/>
        <d v="2023-01-20T00:00:00"/>
        <d v="2024-05-03T00:00:00"/>
        <d v="2022-01-31T00:00:00"/>
        <d v="2023-04-23T00:00:00"/>
        <d v="2022-07-27T00:00:00"/>
        <d v="2023-06-05T00:00:00"/>
        <d v="2022-06-28T00:00:00"/>
        <d v="2022-04-27T00:00:00"/>
        <d v="2023-10-07T00:00:00"/>
        <d v="2024-01-10T00:00:00"/>
        <d v="2022-12-16T00:00:00"/>
        <d v="2023-10-23T00:00:00"/>
        <d v="2024-06-16T00:00:00"/>
        <d v="2023-12-29T00:00:00"/>
        <d v="2022-05-09T00:00:00"/>
        <d v="2024-05-14T00:00:00"/>
        <d v="2023-02-25T00:00:00"/>
        <d v="2023-11-30T00:00:00"/>
        <d v="2022-12-23T00:00:00"/>
        <d v="2024-04-07T00:00:00"/>
        <d v="2024-01-02T00:00:00"/>
        <d v="2023-01-30T00:00:00"/>
        <d v="2024-04-15T00:00:00"/>
        <d v="2022-06-12T00:00:00"/>
        <d v="2024-05-18T00:00:00"/>
        <d v="2023-12-25T00:00:00"/>
        <d v="2024-03-06T00:00:00"/>
        <d v="2024-04-03T00:00:00"/>
        <d v="2022-05-24T00:00:00"/>
        <d v="2022-03-26T00:00:00"/>
        <d v="2022-09-25T00:00:00"/>
        <d v="2024-02-29T00:00:00"/>
        <d v="2022-10-30T00:00:00"/>
        <d v="2022-05-30T00:00:00"/>
        <d v="2024-03-29T00:00:00"/>
        <d v="2024-02-03T00:00:00"/>
        <d v="2022-02-10T00:00:00"/>
        <d v="2022-05-07T00:00:00"/>
        <d v="2023-11-02T00:00:00"/>
        <d v="2023-07-16T00:00:00"/>
        <d v="2022-12-31T00:00:00"/>
        <d v="2022-07-08T00:00:00"/>
        <d v="2023-12-18T00:00:00"/>
        <d v="2022-05-27T00:00:00"/>
        <d v="2023-07-18T00:00:00"/>
        <d v="2023-08-18T00:00:00"/>
        <d v="2023-11-17T00:00:00"/>
        <d v="2024-03-04T00:00:00"/>
        <d v="2022-06-20T00:00:00"/>
        <d v="2024-06-18T00:00:00"/>
        <d v="2022-05-23T00:00:00"/>
        <d v="2023-06-18T00:00:00"/>
        <d v="2024-02-08T00:00:00"/>
        <d v="2023-06-28T00:00:00"/>
        <d v="2024-02-21T00:00:00"/>
        <d v="2022-02-16T00:00:00"/>
        <d v="2023-04-11T00:00:00"/>
        <d v="2023-11-07T00:00:00"/>
        <d v="2022-06-03T00:00:00"/>
        <d v="2022-11-22T00:00:00"/>
        <d v="2022-08-26T00:00:00"/>
        <d v="2022-01-29T00:00:00"/>
        <d v="2023-04-08T00:00:00"/>
        <d v="2022-11-01T00:00:00"/>
        <d v="2023-12-06T00:00:00"/>
        <d v="2022-03-05T00:00:00"/>
        <d v="2023-05-16T00:00:00"/>
        <d v="2024-01-27T00:00:00"/>
        <d v="2023-01-07T00:00:00"/>
        <d v="2023-12-16T00:00:00"/>
        <d v="2022-08-30T00:00:00"/>
        <d v="2024-02-22T00:00:00"/>
        <d v="2022-01-05T00:00:00"/>
        <d v="2022-03-08T00:00:00"/>
        <d v="2024-03-03T00:00:00"/>
        <d v="2023-05-25T00:00:00"/>
        <d v="2022-10-29T00:00:00"/>
        <d v="2022-09-11T00:00:00"/>
        <d v="2022-01-23T00:00:00"/>
        <d v="2022-12-04T00:00:00"/>
        <d v="2022-12-07T00:00:00"/>
        <d v="2023-10-26T00:00:00"/>
        <d v="2023-07-11T00:00:00"/>
        <d v="2023-09-01T00:00:00"/>
        <d v="2022-01-15T00:00:00"/>
        <d v="2024-05-24T00:00:00"/>
        <d v="2023-03-09T00:00:00"/>
        <d v="2023-02-06T00:00:00"/>
        <d v="2024-02-19T00:00:00"/>
        <d v="2022-10-19T00:00:00"/>
        <d v="2022-02-04T00:00:00"/>
        <d v="2022-06-19T00:00:00"/>
        <d v="2023-08-20T00:00:00"/>
        <d v="2022-01-14T00:00:00"/>
        <d v="2023-08-16T00:00:00"/>
        <d v="2022-08-15T00:00:00"/>
        <d v="2023-04-13T00:00:00"/>
        <d v="2022-01-13T00:00:00"/>
        <d v="2023-10-01T00:00:00"/>
        <d v="2022-07-20T00:00:00"/>
        <d v="2023-02-12T00:00:00"/>
        <d v="2022-08-01T00:00:00"/>
        <d v="2022-11-23T00:00:00"/>
        <d v="2023-07-06T00:00:00"/>
        <d v="2024-04-13T00:00:00"/>
        <d v="2022-02-12T00:00:00"/>
        <d v="2023-01-06T00:00:00"/>
        <d v="2023-11-22T00:00:00"/>
        <d v="2023-04-24T00:00:00"/>
        <d v="2023-11-13T00:00:00"/>
        <d v="2024-01-01T00:00:00"/>
        <d v="2023-06-01T00:00:00"/>
        <d v="2022-09-03T00:00:00"/>
        <d v="2022-09-27T00:00:00"/>
        <d v="2023-08-12T00:00:00"/>
        <d v="2023-11-18T00:00:00"/>
        <d v="2023-08-21T00:00:00"/>
        <d v="2023-09-12T00:00:00"/>
        <d v="2024-05-16T00:00:00"/>
        <d v="2024-04-26T00:00:00"/>
        <d v="2022-11-27T00:00:00"/>
        <d v="2024-06-03T00:00:00"/>
        <d v="2022-04-03T00:00:00"/>
        <d v="2022-09-07T00:00:00"/>
        <d v="2023-02-17T00:00:00"/>
        <d v="2022-05-29T00:00:00"/>
        <d v="2023-07-04T00:00:00"/>
        <d v="2024-05-10T00:00:00"/>
        <d v="2023-03-02T00:00:00"/>
        <d v="2023-12-02T00:00:00"/>
        <d v="2024-05-26T00:00:00"/>
        <d v="2022-12-22T00:00:00"/>
        <d v="2023-07-01T00:00:00"/>
        <d v="2024-03-14T00:00:00"/>
        <d v="2023-04-28T00:00:00"/>
        <d v="2022-06-01T00:00:00"/>
        <d v="2024-03-12T00:00:00"/>
        <d v="2023-09-22T00:00:00"/>
        <d v="2022-05-18T00:00:00"/>
        <d v="2022-03-22T00:00:00"/>
        <d v="2023-03-06T00:00:00"/>
        <d v="2023-10-28T00:00:00"/>
        <d v="2024-03-19T00:00:00"/>
        <d v="2023-07-27T00:00:00"/>
        <d v="2022-10-22T00:00:00"/>
        <d v="2022-07-22T00:00:00"/>
        <d v="2023-09-17T00:00:00"/>
        <d v="2022-03-12T00:00:00"/>
        <d v="2023-09-16T00:00:00"/>
        <d v="2024-04-20T00:00:00"/>
        <d v="2022-07-01T00:00:00"/>
        <d v="2024-06-19T00:00:00"/>
        <d v="2022-05-15T00:00:00"/>
        <d v="2023-09-18T00:00:00"/>
        <d v="2022-01-04T00:00:00"/>
        <d v="2023-05-17T00:00:00"/>
        <d v="2024-05-08T00:00:00"/>
        <d v="2022-10-27T00:00:00"/>
        <d v="2023-11-15T00:00:00"/>
        <d v="2023-06-25T00:00:00"/>
        <d v="2023-03-21T00:00:00"/>
        <d v="2023-11-20T00:00:00"/>
        <d v="2023-08-03T00:00:00"/>
        <d v="2024-03-16T00:00:00"/>
        <d v="2022-07-03T00:00:00"/>
        <d v="2022-07-07T00:00:00"/>
        <d v="2024-06-11T00:00:00"/>
        <d v="2022-08-27T00:00:00"/>
        <d v="2023-05-09T00:00:00"/>
        <d v="2023-02-05T00:00:00"/>
        <d v="2022-03-18T00:00:00"/>
        <d v="2023-08-23T00:00:00"/>
        <d v="2024-06-01T00:00:00"/>
        <d v="2024-04-24T00:00:00"/>
        <d v="2022-04-16T00:00:00"/>
        <d v="2023-02-13T00:00:00"/>
        <d v="2022-05-22T00:00:00"/>
        <d v="2022-11-08T00:00:00"/>
        <d v="2022-07-30T00:00:00"/>
        <d v="2023-11-06T00:00:00"/>
        <d v="2023-05-13T00:00:00"/>
        <d v="2023-04-06T00:00:00"/>
        <d v="2024-04-11T00:00:00"/>
        <d v="2023-04-09T00:00:00"/>
        <d v="2023-03-30T00:00:00"/>
        <d v="2023-08-24T00:00:00"/>
        <d v="2022-02-17T00:00:00"/>
        <d v="2023-06-15T00:00:00"/>
        <d v="2023-07-15T00:00:00"/>
        <d v="2022-12-15T00:00:00"/>
        <d v="2024-05-12T00:00:00"/>
        <d v="2022-04-25T00:00:00"/>
        <d v="2022-08-21T00:00:00"/>
        <d v="2023-01-02T00:00:00"/>
        <d v="2023-08-30T00:00:00"/>
        <d v="2022-08-09T00:00:00"/>
        <d v="2024-01-30T00:00:00"/>
        <d v="2022-12-11T00:00:00"/>
        <d v="2024-02-07T00:00:00"/>
        <d v="2023-09-09T00:00:00"/>
        <d v="2022-02-02T00:00:00"/>
        <d v="2024-03-21T00:00:00"/>
        <d v="2023-05-12T00:00:00"/>
        <d v="2022-06-10T00:00:00"/>
        <d v="2023-07-14T00:00:00"/>
        <d v="2022-08-05T00:00:00"/>
        <d v="2022-01-08T00:00:00"/>
        <d v="2022-09-04T00:00:00"/>
        <d v="2022-01-20T00:00:00"/>
        <d v="2023-07-22T00:00:00"/>
        <d v="2022-07-16T00:00:00"/>
        <d v="2023-03-18T00:00:00"/>
        <d v="2023-12-23T00:00:00"/>
        <d v="2023-11-05T00:00:00"/>
        <d v="2024-03-15T00:00:00"/>
        <d v="2023-07-26T00:00:00"/>
        <d v="2022-08-12T00:00:00"/>
        <d v="2023-12-04T00:00:00"/>
        <d v="2023-05-20T00:00:00"/>
        <d v="2022-10-08T00:00:00"/>
        <d v="2022-11-25T00:00:00"/>
        <d v="2022-12-08T00:00:00"/>
        <d v="2023-11-01T00:00:00"/>
        <d v="2022-09-22T00:00:00"/>
        <d v="2022-06-17T00:00:00"/>
        <d v="2024-05-13T00:00:00"/>
        <d v="2022-11-17T00:00:00"/>
        <d v="2022-03-20T00:00:00"/>
        <d v="2022-09-23T00:00:00"/>
        <d v="2023-11-23T00:00:00"/>
        <d v="2022-09-02T00:00:00"/>
        <d v="2022-07-05T00:00:00"/>
        <d v="2023-07-17T00:00:00"/>
        <d v="2024-05-17T00:00:00"/>
        <d v="2024-01-18T00:00:00"/>
        <d v="2022-07-13T00:00:00"/>
        <d v="2023-03-10T00:00:00"/>
        <d v="2023-01-21T00:00:00"/>
        <d v="2023-02-02T00:00:00"/>
        <d v="2022-07-15T00:00:00"/>
        <d v="2022-08-10T00:00:00"/>
        <d v="2024-01-08T00:00:00"/>
        <d v="2023-07-07T00:00:00"/>
        <d v="2024-05-27T00:00:00"/>
        <d v="2022-05-05T00:00:00"/>
        <d v="2024-02-25T00:00:00"/>
        <d v="2024-03-07T00:00:00"/>
        <d v="2022-10-31T00:00:00"/>
        <d v="2022-05-04T00:00:00"/>
        <d v="2023-10-19T00:00:00"/>
        <d v="2023-08-29T00:00:00"/>
        <d v="2023-03-14T00:00:00"/>
        <d v="2023-10-11T00:00:00"/>
        <d v="2022-04-15T00:00:00"/>
        <d v="2023-03-27T00:00:00"/>
        <d v="2022-03-27T00:00:00"/>
        <d v="2022-07-17T00:00:00"/>
        <d v="2024-02-12T00:00:00"/>
        <d v="2023-06-06T00:00:00"/>
        <d v="2022-07-02T00:00:00"/>
        <d v="2023-08-31T00:00:00"/>
        <d v="2022-11-13T00:00:00"/>
        <d v="2022-07-11T00:00:00"/>
        <d v="2023-07-30T00:00:00"/>
        <d v="2022-12-01T00:00:00"/>
        <d v="2023-03-13T00:00:00"/>
        <d v="2023-10-09T00:00:00"/>
        <d v="2023-05-18T00:00:00"/>
        <d v="2023-03-01T00:00:00"/>
        <d v="2023-03-04T00:00:00"/>
        <d v="2022-02-09T00:00:00"/>
        <d v="2022-05-26T00:00:00"/>
        <d v="2023-05-24T00:00:00"/>
        <d v="2022-06-14T00:00:00"/>
        <d v="2023-05-19T00:00:00"/>
        <d v="2023-12-15T00:00:00"/>
        <d v="2022-02-14T00:00:00"/>
        <d v="2024-05-30T00:00:00"/>
        <d v="2022-05-19T00:00:00"/>
        <d v="2022-04-12T00:00:00"/>
        <d v="2024-05-09T00:00:00"/>
        <d v="2024-04-28T00:00:00"/>
        <d v="2022-07-18T00:00:00"/>
        <d v="2023-05-22T00:00:00"/>
        <d v="2022-07-23T00:00:00"/>
        <d v="2023-02-16T00:00:00"/>
        <d v="2023-05-15T00:00:00"/>
        <d v="2022-01-19T00:00:00"/>
        <d v="2023-03-29T00:00:00"/>
        <d v="2022-02-01T00:00:00"/>
        <d v="2024-01-16T00:00:00"/>
        <d v="2022-12-25T00:00:00"/>
        <d v="2022-04-11T00:00:00"/>
        <d v="2023-10-02T00:00:00"/>
        <d v="2022-03-13T00:00:00"/>
        <d v="2024-03-10T00:00:00"/>
        <d v="2023-01-05T00:00:00"/>
        <d v="2023-01-17T00:00:00"/>
        <d v="2023-08-01T00:00:00"/>
        <d v="2023-07-29T00:00:00"/>
        <d v="2022-11-03T00:00:00"/>
        <d v="2022-08-17T00:00:00"/>
        <d v="2022-11-05T00:00:00"/>
        <d v="2024-01-26T00:00:00"/>
        <d v="2024-06-08T00:00:00"/>
        <d v="2023-08-02T00:00:00"/>
        <d v="2022-04-06T00:00:00"/>
        <d v="2023-02-15T00:00:00"/>
        <d v="2023-08-17T00:00:00"/>
        <d v="2022-04-07T00:00:00"/>
        <d v="2022-04-28T00:00:00"/>
        <d v="2022-11-21T00:00:00"/>
        <d v="2023-11-21T00:00:00"/>
        <d v="2023-02-19T00:00:00"/>
        <d v="2022-01-09T00:00:00"/>
        <d v="2022-10-16T00:00:00"/>
        <d v="2022-02-27T00:00:00"/>
        <d v="2022-07-10T00:00:00"/>
        <d v="2023-09-15T00:00:00"/>
        <d v="2024-06-12T00:00:00"/>
        <d v="2022-06-09T00:00:00"/>
        <d v="2022-05-16T00:00:00"/>
        <d v="2023-04-30T00:00:00"/>
        <d v="2023-08-27T00:00:00"/>
        <d v="2022-02-06T00:00:00"/>
        <d v="2022-10-04T00:00:00"/>
        <d v="2023-04-04T00:00:00"/>
        <d v="2022-09-24T00:00:00"/>
        <d v="2022-06-29T00:00:00"/>
        <d v="2022-09-09T00:00:00"/>
        <d v="2023-03-20T00:00:00"/>
        <d v="2024-06-04T00:00:00"/>
        <d v="2024-04-30T00:00:00"/>
        <d v="2023-06-04T00:00:00"/>
        <d v="2023-02-03T00:00:00"/>
        <d v="2024-06-09T00:00:00"/>
        <d v="2023-05-27T00:00:00"/>
        <d v="2022-06-27T00:00:00"/>
        <d v="2022-10-03T00:00:00"/>
        <d v="2022-03-24T00:00:00"/>
        <d v="2023-04-15T00:00:00"/>
        <d v="2024-01-07T00:00:00"/>
        <d v="2023-03-16T00:00:00"/>
        <d v="2024-06-15T00:00:00"/>
        <d v="2024-03-17T00:00:00"/>
        <d v="2022-03-29T00:00:00"/>
        <d v="2022-12-21T00:00:00"/>
        <d v="2023-03-15T00:00:00"/>
        <d v="2024-04-04T00:00:00"/>
        <d v="2022-08-18T00:00:00"/>
        <d v="2022-09-06T00:00:00"/>
        <d v="2023-08-26T00:00:00"/>
        <d v="2024-05-05T00:00:00"/>
        <d v="2023-02-20T00:00:00"/>
        <d v="2022-03-07T00:00:00"/>
        <d v="2024-03-11T00:00:00"/>
        <d v="2022-05-06T00:00:00"/>
        <d v="2022-05-14T00:00:00"/>
        <d v="2022-02-20T00:00:00"/>
        <d v="2024-01-06T00:00:00"/>
        <d v="2022-04-29T00:00:00"/>
        <d v="2023-06-03T00:00:00"/>
        <d v="2023-10-29T00:00:00"/>
        <d v="2023-07-24T00:00:00"/>
        <d v="2024-02-23T00:00:00"/>
        <d v="2022-11-26T00:00:00"/>
        <d v="2022-11-24T00:00:00"/>
        <d v="2024-01-17T00:00:00"/>
        <d v="2023-08-05T00:00:00"/>
        <d v="2023-08-08T00:00:00"/>
        <d v="2024-02-11T00:00:00"/>
        <d v="2022-01-24T00:00:00"/>
        <d v="2022-02-07T00:00:00"/>
        <d v="2024-04-27T00:00:00"/>
        <d v="2024-05-22T00:00:00"/>
        <d v="2023-09-29T00:00:00"/>
        <d v="2023-06-27T00:00:00"/>
        <d v="2022-02-24T00:00:00"/>
        <d v="2022-08-03T00:00:00"/>
        <d v="2022-06-08T00:00:00"/>
        <d v="2022-05-21T00:00:00"/>
        <d v="2022-02-08T00:00:00"/>
        <d v="2024-05-04T00:00:00"/>
        <d v="2023-09-20T00:00:00"/>
        <d v="2022-02-22T00:00:00"/>
        <d v="2024-06-13T00:00:00"/>
        <d v="2023-11-09T00:00:00"/>
        <d v="2023-10-03T00:00:00"/>
        <d v="2024-02-06T00:00:00"/>
        <d v="2022-08-04T00:00:00"/>
        <d v="2023-10-31T00:00:00"/>
        <d v="2024-04-09T00:00:00"/>
        <d v="2022-06-06T00:00:00"/>
        <d v="2022-09-08T00:00:00"/>
        <d v="2023-03-25T00:00:00"/>
        <d v="2022-05-13T00:00:00"/>
        <d v="2022-12-24T00:00:00"/>
        <d v="2022-01-11T00:00:00"/>
        <d v="2022-06-24T00:00:00"/>
        <d v="2023-04-12T00:00:00"/>
        <d v="2022-10-13T00:00:00"/>
        <d v="2023-01-19T00:00:00"/>
        <d v="2023-09-05T00:00:00"/>
        <d v="2022-09-21T00:00:00"/>
        <d v="2022-10-18T00:00:00"/>
        <d v="2022-12-14T00:00:00"/>
        <d v="2023-12-17T00:00:00"/>
        <d v="2022-07-26T00:00:00"/>
        <d v="2022-12-30T00:00:00"/>
        <d v="2024-04-25T00:00:00"/>
        <d v="2023-01-12T00:00:00"/>
        <d v="2024-06-17T00:00:00"/>
        <d v="2022-08-25T00:00:00"/>
        <d v="2023-05-03T00:00:00"/>
        <d v="2023-09-27T00:00:00"/>
        <d v="2022-04-21T00:00:00"/>
        <d v="2022-03-09T00:00:00"/>
        <d v="2023-01-31T00:00:00"/>
        <d v="2024-01-09T00:00:00"/>
        <d v="2024-05-07T00:00:00"/>
        <d v="2023-02-04T00:00:00"/>
        <d v="2023-10-06T00:00:00"/>
        <d v="2024-01-12T00:00:00"/>
        <d v="2023-11-08T00:00:00"/>
        <d v="2022-01-12T00:00:00"/>
        <d v="2022-05-28T00:00:00"/>
        <d v="2024-01-25T00:00:00"/>
        <d v="2022-01-06T00:00:00"/>
        <d v="2023-12-08T00:00:00"/>
        <d v="2024-02-26T00:00:00"/>
        <d v="2022-05-12T00:00:00"/>
        <d v="2023-04-21T00:00:00"/>
        <d v="2024-02-16T00:00:00"/>
        <d v="2023-02-07T00:00:00"/>
        <d v="2022-03-30T00:00:00"/>
        <d v="2023-07-21T00:00:00"/>
        <d v="2022-06-22T00:00:00"/>
        <d v="2022-09-17T00:00:00"/>
        <d v="2024-03-05T00:00:00"/>
        <d v="2024-03-01T00:00:00"/>
        <d v="2022-11-06T00:00:00"/>
        <d v="2022-07-12T00:00:00"/>
        <d v="2024-04-06T00:00:00"/>
        <d v="2023-08-11T00:00:00"/>
        <d v="2022-05-11T00:00:00"/>
        <d v="2023-01-22T00:00:00"/>
        <d v="2022-03-23T00:00:00"/>
        <d v="2022-04-17T00:00:00"/>
        <d v="2023-11-29T00:00:00"/>
        <d v="2023-05-26T00:00:00"/>
        <d v="2022-04-18T00:00:00"/>
        <d v="2023-06-29T00:00:00"/>
        <d v="2022-08-16T00:00:00"/>
        <d v="2022-04-10T00:00:00"/>
        <d v="2022-12-17T00:00:00"/>
        <d v="2024-05-28T00:00:00"/>
        <d v="2024-04-19T00:00:00"/>
        <d v="2024-02-17T00:00:00"/>
        <d v="2023-05-28T00:00:00"/>
        <d v="2022-03-31T00:00:00"/>
        <d v="2023-12-19T00:00:00"/>
        <d v="2024-06-02T00:00:00"/>
        <d v="2022-09-20T00:00:00"/>
        <d v="2024-01-03T00:00:00"/>
        <d v="2022-06-11T00:00:00"/>
        <d v="2023-01-25T00:00:00"/>
        <d v="2024-02-15T00:00:00"/>
        <d v="2023-02-01T00:00:00"/>
        <d v="2023-09-07T00:00:00"/>
        <d v="2024-03-18T00:00:00"/>
        <d v="2023-12-11T00:00:00"/>
        <d v="2023-04-18T00:00:00"/>
        <d v="2023-02-21T00:00:00"/>
        <d v="2023-05-21T00:00:00"/>
        <d v="2023-12-01T00:00:00"/>
        <d v="2024-04-17T00:00:00"/>
        <d v="2023-01-24T00:00:00"/>
        <d v="2023-10-10T00:00:00"/>
        <d v="2023-12-05T00:00:00"/>
        <d v="2023-12-22T00:00:00"/>
        <d v="2023-01-23T00:00:00"/>
        <d v="2024-04-12T00:00:00"/>
        <d v="2022-10-20T00:00:00"/>
        <d v="2023-12-20T00:00:00"/>
        <d v="2024-02-13T00:00:00"/>
        <d v="2022-11-15T00:00:00"/>
        <d v="2022-09-18T00:00:00"/>
        <d v="2022-10-17T00:00:00"/>
        <d v="2023-10-24T00:00:00"/>
        <d v="2023-09-14T00:00:00"/>
        <d v="2023-09-19T00:00:00"/>
        <d v="2022-04-09T00:00:00"/>
        <d v="2023-02-27T00:00:00"/>
        <d v="2023-09-23T00:00:00"/>
        <d v="2023-04-17T00:00:00"/>
        <d v="2023-03-23T00:00:00"/>
        <d v="2022-04-26T00:00:00"/>
        <d v="2022-10-23T00:00:00"/>
        <d v="2022-12-27T00:00:00"/>
        <d v="2023-07-19T00:00:00"/>
        <d v="2024-03-25T00:00:00"/>
        <d v="2023-10-18T00:00:00"/>
        <d v="2023-04-14T00:00:00"/>
        <d v="2024-01-20T00:00:00"/>
        <d v="2022-10-10T00:00:00"/>
        <d v="2023-10-21T00:00:00"/>
        <d v="2023-02-24T00:00:00"/>
        <d v="2024-02-18T00:00:00"/>
        <d v="2023-10-15T00:00:00"/>
        <d v="2023-04-22T00:00:00"/>
        <d v="2023-06-30T00:00:00"/>
        <d v="2023-04-02T00:00:00"/>
        <d v="2022-12-03T00:00:00"/>
        <d v="2023-05-08T00:00:00"/>
        <d v="2023-04-19T00:00:00"/>
        <d v="2024-02-09T00:00:00"/>
        <d v="2022-12-29T00:00:00"/>
        <d v="2022-10-06T00:00:00"/>
        <d v="2022-09-26T00:00:00"/>
        <d v="2023-02-09T00:00:00"/>
        <d v="2023-04-25T00:00:00"/>
        <d v="2024-01-05T00:00:00"/>
        <d v="2024-04-10T00:00:00"/>
        <d v="2023-10-13T00:00:00"/>
        <d v="2023-12-21T00:00:00"/>
        <d v="2022-06-16T00:00:00"/>
        <d v="2022-07-29T00:00:00"/>
        <d v="2022-01-02T00:00:00"/>
        <d v="2022-03-14T00:00:00"/>
        <d v="2023-06-13T00:00:00"/>
        <d v="2022-01-03T00:00:00"/>
        <d v="2024-02-05T00:00:00"/>
        <d v="2022-02-18T00:00:00"/>
        <d v="2023-03-22T00:00:00"/>
        <d v="2023-11-14T00:00:00"/>
        <d v="2024-05-25T00:00:00"/>
        <d v="2022-01-18T00:00:00"/>
        <d v="2022-12-13T00:00:00"/>
        <d v="2022-06-30T00:00:00"/>
        <d v="2024-02-02T00:00:00"/>
        <d v="2022-02-15T00:00:00"/>
        <d v="2023-05-10T00:00:00"/>
        <d v="2024-03-08T00:00:00"/>
        <d v="2023-11-16T00:00:00"/>
        <d v="2022-09-12T00:00:00"/>
        <d v="2023-02-10T00:00:00"/>
        <d v="2023-09-02T00:00:00"/>
        <d v="2022-10-11T00:00:00"/>
        <d v="2023-06-11T00:00:00"/>
        <d v="2023-03-17T00:00:00"/>
        <d v="2022-12-20T00:00:00"/>
        <d v="2023-10-12T00:00:00"/>
        <d v="2024-03-27T00:00:00"/>
        <d v="2024-06-05T00:00:00"/>
        <d v="2023-02-28T00:00:00"/>
        <d v="2023-07-31T00:00:00"/>
        <d v="2023-01-13T00:00:00"/>
        <d v="2022-12-19T00:00:00"/>
        <d v="2024-01-29T00:00:00"/>
        <d v="2023-09-10T00:00:00"/>
        <d v="2022-06-23T00:00:00"/>
        <d v="2022-12-06T00:00:00"/>
        <d v="2023-07-03T00:00:00"/>
        <d v="2023-06-17T00:00:00"/>
        <d v="2023-07-23T00:00:00"/>
        <d v="2024-05-31T00:00:00"/>
        <d v="2023-04-27T00:00:00"/>
        <d v="2022-07-09T00:00:00"/>
        <d v="2023-06-22T00:00:00"/>
        <d v="2022-09-19T00:00:00"/>
        <d v="2023-11-19T00:00:00"/>
        <d v="2022-06-02T00:00:00"/>
        <d v="2024-05-20T00:00:00"/>
        <d v="2023-07-08T00:00:00"/>
        <d v="2023-10-22T00:00:00"/>
        <d v="2022-12-02T00:00:00"/>
        <d v="2022-03-11T00:00:00"/>
        <d v="2024-03-09T00:00:00"/>
        <d v="2023-12-09T00:00:00"/>
        <d v="2022-05-25T00:00:00"/>
        <d v="2022-07-31T00:00:00"/>
        <d v="2022-09-30T00:00:00"/>
        <d v="2022-10-26T00:00:00"/>
        <d v="2022-04-30T00:00:00"/>
        <d v="2023-06-20T00:00:00"/>
        <d v="2023-02-11T00:00:00"/>
        <d v="2023-05-07T00:00:00"/>
        <d v="2022-12-28T00:00:00"/>
        <d v="2022-03-28T00:00:00"/>
        <d v="2022-08-31T00:00:00"/>
        <d v="2024-04-02T00:00:00"/>
        <d v="2023-10-08T00:00:00"/>
        <d v="2024-01-22T00:00:00"/>
        <d v="2023-02-08T00:00:00"/>
        <d v="2022-11-11T00:00:00"/>
        <d v="2022-07-21T00:00:00"/>
        <d v="2022-04-05T00:00:00"/>
        <d v="2022-11-10T00:00:00"/>
        <d v="2022-08-20T00:00:00"/>
        <d v="2024-04-23T00:00:00"/>
        <d v="2023-03-31T00:00:00"/>
        <d v="2022-12-05T00:00:00"/>
        <d v="2023-04-07T00:00:00"/>
        <d v="2023-08-10T00:00:00"/>
        <d v="2022-11-04T00:00:00"/>
        <d v="2022-08-19T00:00:00"/>
        <d v="2023-09-11T00:00:00"/>
        <d v="2023-04-20T00:00:00"/>
        <d v="2022-02-13T00:00:00"/>
        <d v="2022-10-12T00:00:00"/>
        <d v="2022-10-15T00:00:00"/>
        <d v="2023-01-09T00:00:00"/>
        <d v="2023-05-02T00:00:00"/>
        <d v="2023-09-28T00:00:00"/>
        <d v="2022-07-24T00:00:00"/>
        <d v="2022-11-02T00:00:00"/>
        <d v="2022-03-21T00:00:00"/>
        <d v="2023-09-06T00:00:00"/>
        <d v="2023-06-14T00:00:00"/>
        <d v="2022-01-17T00:00:00"/>
        <d v="2022-09-14T00:00:00"/>
        <d v="2023-12-28T00:00:00"/>
        <d v="2023-03-19T00:00:00"/>
        <d v="2023-11-24T00:00:00"/>
        <d v="2023-04-29T00:00:00"/>
        <d v="2023-05-31T00:00:00"/>
        <d v="2023-03-07T00:00:00"/>
        <d v="2022-12-26T00:00:00"/>
        <d v="2023-09-24T00:00:00"/>
        <d v="2023-12-03T00:00:00"/>
        <d v="2022-07-14T00:00:00"/>
        <d v="2022-04-01T00:00:00"/>
        <d v="2022-06-15T00:00:00"/>
        <d v="2024-03-13T00:00:00"/>
        <d v="2024-05-19T00:00:00"/>
        <d v="2024-02-14T00:00:00"/>
        <d v="2024-04-08T00:00:00"/>
        <d v="2022-06-04T00:00:00"/>
        <d v="2023-10-27T00:00:00"/>
        <d v="2022-09-29T00:00:00"/>
        <d v="2024-04-05T00:00:00"/>
        <d v="2024-02-27T00:00:00"/>
        <d v="2024-03-30T00:00:00"/>
        <d v="2023-06-08T00:00:00"/>
        <d v="2023-06-07T00:00:00"/>
        <d v="2022-08-07T00:00:00"/>
        <d v="2024-02-24T00:00:00"/>
        <d v="2023-06-23T00:00:00"/>
        <d v="2023-10-04T00:00:00"/>
        <d v="2022-08-02T00:00:00"/>
        <d v="2022-05-08T00:00:00"/>
        <d v="2023-01-11T00:00:00"/>
        <d v="2024-02-20T00:00:00"/>
        <d v="2023-09-25T00:00:00"/>
        <d v="2023-05-14T00:00:00"/>
        <d v="2022-11-09T00:00:00"/>
        <d v="2023-04-03T00:00:00"/>
        <d v="2022-08-11T00:00:00"/>
        <d v="2022-12-10T00:00:00"/>
        <d v="2023-08-09T00:00:00"/>
        <d v="2023-05-30T00:00:00"/>
        <d v="2022-04-02T00:00:00"/>
        <d v="2023-11-11T00:00:00"/>
        <d v="2023-07-28T00:00:00"/>
        <d v="2023-04-10T00:00:00"/>
        <d v="2022-05-31T00:00:00"/>
        <d v="2024-02-10T00:00:00"/>
        <d v="2022-05-10T00:00:00"/>
        <d v="2022-08-22T00:00:00"/>
        <d v="2022-02-26T00:00:00"/>
        <d v="2022-10-05T00:00:00"/>
        <d v="2022-08-06T00:00:00"/>
        <d v="2023-06-02T00:00:00"/>
        <d v="2022-04-13T00:00:00"/>
        <d v="2023-03-11T00:00:00"/>
        <d v="2023-01-29T00:00:00"/>
        <d v="2023-09-04T00:00:00"/>
        <d v="2023-08-19T00:00:00"/>
        <d v="2022-11-30T00:00:00"/>
        <d v="2023-12-30T00:00:00"/>
        <d v="2022-04-04T00:00:00"/>
        <d v="2023-12-12T00:00:00"/>
        <d v="2024-06-14T00:00:00"/>
        <d v="2022-01-28T00:00:00"/>
        <d v="2022-08-08T00:00:00"/>
        <d v="2024-05-21T00:00:00"/>
        <d v="2023-09-30T00:00:00"/>
      </sharedItems>
      <fieldGroup par="14" base="1">
        <rangePr groupBy="months" startDate="2022-01-01T00:00:00" endDate="2024-06-20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-06-2024"/>
        </groupItems>
      </fieldGroup>
    </cacheField>
    <cacheField name="Customer_ID" numFmtId="0">
      <sharedItems/>
    </cacheField>
    <cacheField name="Product_ID" numFmtId="0">
      <sharedItems/>
    </cacheField>
    <cacheField name="Quantity" numFmtId="0">
      <sharedItems containsSemiMixedTypes="0" containsString="0" containsNumber="1" containsInteger="1" minValue="1" maxValue="5"/>
    </cacheField>
    <cacheField name="Sales" numFmtId="2">
      <sharedItems containsSemiMixedTypes="0" containsString="0" containsNumber="1" minValue="100.02" maxValue="1997.9" count="1987">
        <n v="1253.48"/>
        <n v="1138.73"/>
        <n v="540.70000000000005"/>
        <n v="842.72"/>
        <n v="1229.51"/>
        <n v="1043.8599999999999"/>
        <n v="1976.79"/>
        <n v="359.24"/>
        <n v="1420.77"/>
        <n v="868.21"/>
        <n v="913.58"/>
        <n v="1463.44"/>
        <n v="1415.63"/>
        <n v="1983.39"/>
        <n v="343.95"/>
        <n v="297.81"/>
        <n v="1476.24"/>
        <n v="1198.94"/>
        <n v="620.91"/>
        <n v="250.9"/>
        <n v="262.75"/>
        <n v="1798.96"/>
        <n v="464.55"/>
        <n v="714.41"/>
        <n v="530.65"/>
        <n v="774.49"/>
        <n v="231.91"/>
        <n v="1086.21"/>
        <n v="228.46"/>
        <n v="1620.68"/>
        <n v="544.04999999999995"/>
        <n v="1126.02"/>
        <n v="1772.15"/>
        <n v="1336.67"/>
        <n v="1112.6199999999999"/>
        <n v="716.23"/>
        <n v="732.7"/>
        <n v="1372.03"/>
        <n v="1988.86"/>
        <n v="1357.49"/>
        <n v="1159.79"/>
        <n v="1488.24"/>
        <n v="983.89"/>
        <n v="214.27"/>
        <n v="1168.3599999999999"/>
        <n v="1919.49"/>
        <n v="433.08"/>
        <n v="1411.01"/>
        <n v="481.77"/>
        <n v="1118.07"/>
        <n v="283.69"/>
        <n v="955.7"/>
        <n v="1536.71"/>
        <n v="760.39"/>
        <n v="1363.33"/>
        <n v="1611.35"/>
        <n v="1861.64"/>
        <n v="545.82000000000005"/>
        <n v="858.7"/>
        <n v="389.59"/>
        <n v="1985.72"/>
        <n v="1861.3"/>
        <n v="1125.92"/>
        <n v="1699.86"/>
        <n v="1089.82"/>
        <n v="1284.81"/>
        <n v="269.33999999999997"/>
        <n v="1535.01"/>
        <n v="342.66"/>
        <n v="1669.53"/>
        <n v="1585.85"/>
        <n v="1446.61"/>
        <n v="168.7"/>
        <n v="675.94"/>
        <n v="599.91"/>
        <n v="784.26"/>
        <n v="266.52"/>
        <n v="1880.22"/>
        <n v="1152.22"/>
        <n v="680.5"/>
        <n v="854.26"/>
        <n v="949.68"/>
        <n v="1241.1300000000001"/>
        <n v="1079.79"/>
        <n v="1846.84"/>
        <n v="1044.23"/>
        <n v="1985.1"/>
        <n v="1717.71"/>
        <n v="496.17"/>
        <n v="1868.13"/>
        <n v="321.10000000000002"/>
        <n v="1653.15"/>
        <n v="823.18"/>
        <n v="1768.15"/>
        <n v="1749.31"/>
        <n v="1631.26"/>
        <n v="1601.06"/>
        <n v="678.89"/>
        <n v="253.75"/>
        <n v="865.66"/>
        <n v="429.7"/>
        <n v="1420.41"/>
        <n v="757.59"/>
        <n v="1953.66"/>
        <n v="1317.85"/>
        <n v="1662.71"/>
        <n v="351.8"/>
        <n v="1737.83"/>
        <n v="1853.24"/>
        <n v="1025.42"/>
        <n v="1251.8800000000001"/>
        <n v="1553.14"/>
        <n v="432.19"/>
        <n v="1054.8800000000001"/>
        <n v="857.46"/>
        <n v="378.11"/>
        <n v="798.32"/>
        <n v="229.53"/>
        <n v="149.04"/>
        <n v="356.82"/>
        <n v="1929.92"/>
        <n v="1144.1099999999999"/>
        <n v="1935.06"/>
        <n v="921.75"/>
        <n v="692.45"/>
        <n v="1061.67"/>
        <n v="935.07"/>
        <n v="300.76"/>
        <n v="1317.57"/>
        <n v="510.47"/>
        <n v="1277.22"/>
        <n v="1335.38"/>
        <n v="388.85"/>
        <n v="216.56"/>
        <n v="1583.45"/>
        <n v="973.62"/>
        <n v="210.51"/>
        <n v="1990.25"/>
        <n v="209.78"/>
        <n v="1420.57"/>
        <n v="1968.99"/>
        <n v="554.44000000000005"/>
        <n v="370.27"/>
        <n v="330.63"/>
        <n v="676.22"/>
        <n v="291.99"/>
        <n v="1415.11"/>
        <n v="218.35"/>
        <n v="1067.9000000000001"/>
        <n v="1993.72"/>
        <n v="1646.54"/>
        <n v="1268.92"/>
        <n v="681.88"/>
        <n v="1285.4000000000001"/>
        <n v="1101.3800000000001"/>
        <n v="909.56"/>
        <n v="348.35"/>
        <n v="1784.55"/>
        <n v="954.59"/>
        <n v="469.78"/>
        <n v="798.74"/>
        <n v="886.85"/>
        <n v="1672.32"/>
        <n v="1493.87"/>
        <n v="1561.68"/>
        <n v="120.96"/>
        <n v="890.69"/>
        <n v="1014.55"/>
        <n v="136.47"/>
        <n v="593.65"/>
        <n v="1544.55"/>
        <n v="360.51"/>
        <n v="1117.0899999999999"/>
        <n v="508.88"/>
        <n v="123.03"/>
        <n v="558.28"/>
        <n v="1954.16"/>
        <n v="1622.92"/>
        <n v="1923.2"/>
        <n v="1026.92"/>
        <n v="308.5"/>
        <n v="1141.1199999999999"/>
        <n v="963.32"/>
        <n v="1704.28"/>
        <n v="286.36"/>
        <n v="1027.6600000000001"/>
        <n v="385.09"/>
        <n v="716.88"/>
        <n v="1500.98"/>
        <n v="1004.43"/>
        <n v="814.19"/>
        <n v="849.5"/>
        <n v="972.95"/>
        <n v="1591.53"/>
        <n v="1794.96"/>
        <n v="1915.14"/>
        <n v="1595.12"/>
        <n v="699.27"/>
        <n v="1407.46"/>
        <n v="931.45"/>
        <n v="583.87"/>
        <n v="1697.66"/>
        <n v="173.01"/>
        <n v="1813.35"/>
        <n v="976.81"/>
        <n v="1310.68"/>
        <n v="1352.77"/>
        <n v="1800.72"/>
        <n v="1309.67"/>
        <n v="1266.47"/>
        <n v="226.64"/>
        <n v="1084.98"/>
        <n v="385.32"/>
        <n v="1501.12"/>
        <n v="1073.22"/>
        <n v="1392.43"/>
        <n v="179.18"/>
        <n v="261.10000000000002"/>
        <n v="1461.01"/>
        <n v="236.96"/>
        <n v="235.39"/>
        <n v="123.01"/>
        <n v="1917.35"/>
        <n v="1501.27"/>
        <n v="771.18"/>
        <n v="663.42"/>
        <n v="764.44"/>
        <n v="1571.84"/>
        <n v="1356.6"/>
        <n v="451.87"/>
        <n v="430.81"/>
        <n v="286.95"/>
        <n v="1354.58"/>
        <n v="1552.31"/>
        <n v="603.59"/>
        <n v="139.80000000000001"/>
        <n v="256.13"/>
        <n v="1938.93"/>
        <n v="661.35"/>
        <n v="1561.52"/>
        <n v="1286.8599999999999"/>
        <n v="825.69"/>
        <n v="490.81"/>
        <n v="1268.52"/>
        <n v="1571.8"/>
        <n v="1323.42"/>
        <n v="1107.57"/>
        <n v="179.71"/>
        <n v="1940.13"/>
        <n v="1617.56"/>
        <n v="656.36"/>
        <n v="1961.94"/>
        <n v="1243.58"/>
        <n v="1206.5999999999999"/>
        <n v="1521.34"/>
        <n v="1642.36"/>
        <n v="1347.31"/>
        <n v="343.38"/>
        <n v="742.71"/>
        <n v="1863.36"/>
        <n v="526.77"/>
        <n v="807.12"/>
        <n v="920.95"/>
        <n v="934.87"/>
        <n v="1264.5899999999999"/>
        <n v="1891.84"/>
        <n v="557.32000000000005"/>
        <n v="330.85"/>
        <n v="475.19"/>
        <n v="1785.16"/>
        <n v="1327.04"/>
        <n v="643.22"/>
        <n v="1650.3"/>
        <n v="1736.6"/>
        <n v="1708.38"/>
        <n v="1845.96"/>
        <n v="579.26"/>
        <n v="1534.58"/>
        <n v="975.03"/>
        <n v="1699.8"/>
        <n v="1484.13"/>
        <n v="1575.25"/>
        <n v="1346.71"/>
        <n v="437.11"/>
        <n v="1135.55"/>
        <n v="1970.87"/>
        <n v="1881.04"/>
        <n v="182.03"/>
        <n v="413.15"/>
        <n v="350.28"/>
        <n v="1479.36"/>
        <n v="1653.79"/>
        <n v="505.67"/>
        <n v="1061.1199999999999"/>
        <n v="1697.34"/>
        <n v="1492.32"/>
        <n v="1130.25"/>
        <n v="1221.6600000000001"/>
        <n v="1065.8900000000001"/>
        <n v="665.34"/>
        <n v="1173.54"/>
        <n v="1408.88"/>
        <n v="1759.31"/>
        <n v="1308.95"/>
        <n v="1546.13"/>
        <n v="404.14"/>
        <n v="976.96"/>
        <n v="117.73"/>
        <n v="568.69000000000005"/>
        <n v="1480.28"/>
        <n v="1984.44"/>
        <n v="288.44"/>
        <n v="862.84"/>
        <n v="1620.13"/>
        <n v="487.67"/>
        <n v="1154.6600000000001"/>
        <n v="1492.84"/>
        <n v="1270.3699999999999"/>
        <n v="457.25"/>
        <n v="775.23"/>
        <n v="1589.2"/>
        <n v="1153.03"/>
        <n v="109.94"/>
        <n v="1545.88"/>
        <n v="167.09"/>
        <n v="1516.89"/>
        <n v="484.71"/>
        <n v="1920.34"/>
        <n v="799.09"/>
        <n v="721.17"/>
        <n v="382.89"/>
        <n v="680.65"/>
        <n v="1765.64"/>
        <n v="1993.04"/>
        <n v="799.79"/>
        <n v="952.36"/>
        <n v="1471.93"/>
        <n v="1783.77"/>
        <n v="1226.78"/>
        <n v="843.9"/>
        <n v="883.98"/>
        <n v="1421.67"/>
        <n v="106.11"/>
        <n v="775.44"/>
        <n v="1608.97"/>
        <n v="276.68"/>
        <n v="1217.58"/>
        <n v="1013.85"/>
        <n v="1320.42"/>
        <n v="223.22"/>
        <n v="1201.97"/>
        <n v="1166.82"/>
        <n v="1165.25"/>
        <n v="1246.6300000000001"/>
        <n v="1385.29"/>
        <n v="1629.48"/>
        <n v="612.66"/>
        <n v="1667.59"/>
        <n v="1046.69"/>
        <n v="246.41"/>
        <n v="211.25"/>
        <n v="735.05"/>
        <n v="1591.3"/>
        <n v="1444.59"/>
        <n v="1598.37"/>
        <n v="1082.81"/>
        <n v="936.38"/>
        <n v="380.16"/>
        <n v="723.57"/>
        <n v="924.64"/>
        <n v="268.33999999999997"/>
        <n v="519.16"/>
        <n v="1236.6300000000001"/>
        <n v="1497.76"/>
        <n v="1996.86"/>
        <n v="1872.92"/>
        <n v="1320.87"/>
        <n v="900.37"/>
        <n v="1308.74"/>
        <n v="1592.74"/>
        <n v="324.83999999999997"/>
        <n v="878.82"/>
        <n v="1695.62"/>
        <n v="829.28"/>
        <n v="1186.56"/>
        <n v="1216.76"/>
        <n v="450.5"/>
        <n v="788.25"/>
        <n v="735.57"/>
        <n v="149.77000000000001"/>
        <n v="145.96"/>
        <n v="1680.22"/>
        <n v="618.83000000000004"/>
        <n v="1084.3499999999999"/>
        <n v="667.58"/>
        <n v="1887.29"/>
        <n v="592.66"/>
        <n v="916.35"/>
        <n v="1758.19"/>
        <n v="1699.67"/>
        <n v="453.59"/>
        <n v="1625.02"/>
        <n v="970.56"/>
        <n v="1017.64"/>
        <n v="353.61"/>
        <n v="253.14"/>
        <n v="1483.08"/>
        <n v="1043.28"/>
        <n v="930.02"/>
        <n v="1486.07"/>
        <n v="1554.47"/>
        <n v="401.93"/>
        <n v="1259.43"/>
        <n v="357.17"/>
        <n v="1527.61"/>
        <n v="1348.21"/>
        <n v="1917.57"/>
        <n v="231.02"/>
        <n v="208.4"/>
        <n v="636.16"/>
        <n v="597.24"/>
        <n v="569.26"/>
        <n v="1821.88"/>
        <n v="574.14"/>
        <n v="616.70000000000005"/>
        <n v="1542.86"/>
        <n v="954.51"/>
        <n v="1575.75"/>
        <n v="224.2"/>
        <n v="1026.3900000000001"/>
        <n v="163.87"/>
        <n v="219.04"/>
        <n v="1822.23"/>
        <n v="364.57"/>
        <n v="1111.5999999999999"/>
        <n v="881.08"/>
        <n v="759.95"/>
        <n v="1809.68"/>
        <n v="141.46"/>
        <n v="1361.2"/>
        <n v="1930.45"/>
        <n v="1164.32"/>
        <n v="1879.96"/>
        <n v="199.29"/>
        <n v="895.71"/>
        <n v="594.29999999999995"/>
        <n v="1488.56"/>
        <n v="1964.46"/>
        <n v="587.41"/>
        <n v="1342.93"/>
        <n v="476.39"/>
        <n v="1174.1300000000001"/>
        <n v="981.47"/>
        <n v="1946.81"/>
        <n v="1256.2"/>
        <n v="764.06"/>
        <n v="316.77999999999997"/>
        <n v="387.37"/>
        <n v="528.1"/>
        <n v="576.84"/>
        <n v="1716.17"/>
        <n v="1166.32"/>
        <n v="1094.44"/>
        <n v="318.06"/>
        <n v="1734.27"/>
        <n v="1473.35"/>
        <n v="228.57"/>
        <n v="1444.89"/>
        <n v="1132.72"/>
        <n v="255.28"/>
        <n v="970.77"/>
        <n v="1020.92"/>
        <n v="414.97"/>
        <n v="1896.83"/>
        <n v="1714.95"/>
        <n v="1371.14"/>
        <n v="978.36"/>
        <n v="882.35"/>
        <n v="1336.85"/>
        <n v="1136.32"/>
        <n v="218.32"/>
        <n v="1073.76"/>
        <n v="1632.17"/>
        <n v="972.56"/>
        <n v="198.72"/>
        <n v="1593.93"/>
        <n v="482.59"/>
        <n v="591.38"/>
        <n v="412.94"/>
        <n v="727.41"/>
        <n v="1537.83"/>
        <n v="1086.83"/>
        <n v="489.27"/>
        <n v="1767.88"/>
        <n v="1771.21"/>
        <n v="1754.1"/>
        <n v="553.71"/>
        <n v="957.35"/>
        <n v="1971.48"/>
        <n v="1566.82"/>
        <n v="151.62"/>
        <n v="223.89"/>
        <n v="1827.52"/>
        <n v="1123.53"/>
        <n v="1045.8399999999999"/>
        <n v="300.39999999999998"/>
        <n v="1347.88"/>
        <n v="1662"/>
        <n v="822.8"/>
        <n v="1573.66"/>
        <n v="1932.51"/>
        <n v="487.16"/>
        <n v="1094.33"/>
        <n v="645.55999999999995"/>
        <n v="1606.42"/>
        <n v="1197.43"/>
        <n v="1305.71"/>
        <n v="1616.04"/>
        <n v="852.34"/>
        <n v="1838.67"/>
        <n v="1112.75"/>
        <n v="400.11"/>
        <n v="1422.21"/>
        <n v="1607.2"/>
        <n v="701.85"/>
        <n v="1728.64"/>
        <n v="1821.67"/>
        <n v="626.12"/>
        <n v="1968.69"/>
        <n v="367.35"/>
        <n v="483.83"/>
        <n v="450.03"/>
        <n v="1798.58"/>
        <n v="1343.16"/>
        <n v="389"/>
        <n v="936.61"/>
        <n v="1269.07"/>
        <n v="258.58"/>
        <n v="1776.59"/>
        <n v="1626.85"/>
        <n v="1059.8900000000001"/>
        <n v="1937.54"/>
        <n v="893.75"/>
        <n v="1969.81"/>
        <n v="1369.05"/>
        <n v="1305.8800000000001"/>
        <n v="415.31"/>
        <n v="1775.66"/>
        <n v="912.23"/>
        <n v="408.24"/>
        <n v="123.95"/>
        <n v="1163.54"/>
        <n v="1102.06"/>
        <n v="1466.77"/>
        <n v="1791.49"/>
        <n v="250.87"/>
        <n v="1489.84"/>
        <n v="456.08"/>
        <n v="1730.54"/>
        <n v="1656.22"/>
        <n v="1127.51"/>
        <n v="1449.46"/>
        <n v="697.27"/>
        <n v="995.22"/>
        <n v="1661.11"/>
        <n v="972.6"/>
        <n v="779.82"/>
        <n v="1039"/>
        <n v="1673.67"/>
        <n v="736.9"/>
        <n v="430.15"/>
        <n v="1452.83"/>
        <n v="1669.36"/>
        <n v="291.20999999999998"/>
        <n v="555.76"/>
        <n v="369.75"/>
        <n v="761.09"/>
        <n v="955.67"/>
        <n v="1522.77"/>
        <n v="1337.18"/>
        <n v="1279.76"/>
        <n v="769.51"/>
        <n v="1698.75"/>
        <n v="995.45"/>
        <n v="1960.3"/>
        <n v="1304.8699999999999"/>
        <n v="339.9"/>
        <n v="1384.74"/>
        <n v="717.7"/>
        <n v="1404.02"/>
        <n v="232.32"/>
        <n v="432.27"/>
        <n v="1725.9"/>
        <n v="531.64"/>
        <n v="1690.38"/>
        <n v="630.62"/>
        <n v="1321.48"/>
        <n v="1418.89"/>
        <n v="1074.04"/>
        <n v="680.09"/>
        <n v="504.02"/>
        <n v="163.06"/>
        <n v="677.5"/>
        <n v="1341.01"/>
        <n v="1882.78"/>
        <n v="1755.29"/>
        <n v="1555.52"/>
        <n v="1598.05"/>
        <n v="1363.47"/>
        <n v="594.54999999999995"/>
        <n v="1823.67"/>
        <n v="1374.39"/>
        <n v="1164.8399999999999"/>
        <n v="310.88"/>
        <n v="949.41"/>
        <n v="974.68"/>
        <n v="1742.67"/>
        <n v="1138.6300000000001"/>
        <n v="822.76"/>
        <n v="1955.92"/>
        <n v="310.37"/>
        <n v="902.84"/>
        <n v="179.85"/>
        <n v="1505.82"/>
        <n v="1844.35"/>
        <n v="632.07000000000005"/>
        <n v="1730.85"/>
        <n v="655.21"/>
        <n v="1830.46"/>
        <n v="1532.53"/>
        <n v="1629.32"/>
        <n v="134.21"/>
        <n v="1929.34"/>
        <n v="1480.67"/>
        <n v="679.03"/>
        <n v="1675.85"/>
        <n v="634.89"/>
        <n v="1758.23"/>
        <n v="313.89999999999998"/>
        <n v="1437"/>
        <n v="1127.33"/>
        <n v="283.42"/>
        <n v="559.6"/>
        <n v="123.57"/>
        <n v="990.66"/>
        <n v="672.4"/>
        <n v="1236.8800000000001"/>
        <n v="664.75"/>
        <n v="669.85"/>
        <n v="1512.07"/>
        <n v="191.47"/>
        <n v="1815.5"/>
        <n v="1719.3"/>
        <n v="1368.83"/>
        <n v="1227.1199999999999"/>
        <n v="1795.37"/>
        <n v="452.13"/>
        <n v="250.04"/>
        <n v="555.07000000000005"/>
        <n v="1609.7"/>
        <n v="165.87"/>
        <n v="1207.33"/>
        <n v="1991.33"/>
        <n v="1725.82"/>
        <n v="1090.75"/>
        <n v="220.92"/>
        <n v="1679.61"/>
        <n v="1238.06"/>
        <n v="318.37"/>
        <n v="278.33"/>
        <n v="1828.29"/>
        <n v="1371.48"/>
        <n v="1675.64"/>
        <n v="1770.06"/>
        <n v="1186.3699999999999"/>
        <n v="1083.1500000000001"/>
        <n v="917.81"/>
        <n v="702.2"/>
        <n v="925.73"/>
        <n v="1570.37"/>
        <n v="1243.6500000000001"/>
        <n v="1795.79"/>
        <n v="942.42"/>
        <n v="1253.47"/>
        <n v="1299.48"/>
        <n v="1224.22"/>
        <n v="1435"/>
        <n v="551.12"/>
        <n v="1073.49"/>
        <n v="298.02999999999997"/>
        <n v="830.57"/>
        <n v="1026.57"/>
        <n v="1339.23"/>
        <n v="1906.01"/>
        <n v="1241.24"/>
        <n v="1512.83"/>
        <n v="1061.9100000000001"/>
        <n v="1304.8"/>
        <n v="234.77"/>
        <n v="583.34"/>
        <n v="787.52"/>
        <n v="997.74"/>
        <n v="186.73"/>
        <n v="366.05"/>
        <n v="625.95000000000005"/>
        <n v="1945.91"/>
        <n v="729.56"/>
        <n v="1015.88"/>
        <n v="472.59"/>
        <n v="1260.48"/>
        <n v="633.29999999999995"/>
        <n v="493.29"/>
        <n v="1081.49"/>
        <n v="110.46"/>
        <n v="114.56"/>
        <n v="516.23"/>
        <n v="169.77"/>
        <n v="305.25"/>
        <n v="743.84"/>
        <n v="1624.91"/>
        <n v="1186.8900000000001"/>
        <n v="1074.07"/>
        <n v="657.63"/>
        <n v="1870.33"/>
        <n v="854.33"/>
        <n v="265.48"/>
        <n v="1272.43"/>
        <n v="316.29000000000002"/>
        <n v="755.92"/>
        <n v="1064.08"/>
        <n v="1761.02"/>
        <n v="1037.74"/>
        <n v="1434.29"/>
        <n v="1986.35"/>
        <n v="349.83"/>
        <n v="621.99"/>
        <n v="849.69"/>
        <n v="901.47"/>
        <n v="880.94"/>
        <n v="1824.46"/>
        <n v="1456.66"/>
        <n v="1255.02"/>
        <n v="687.81"/>
        <n v="1665.2"/>
        <n v="1914.61"/>
        <n v="1660.28"/>
        <n v="102.97"/>
        <n v="1309.1600000000001"/>
        <n v="197.16"/>
        <n v="589.45000000000005"/>
        <n v="213.1"/>
        <n v="1247.21"/>
        <n v="1404.52"/>
        <n v="317.52999999999997"/>
        <n v="829.29"/>
        <n v="966.85"/>
        <n v="801.2"/>
        <n v="329.95"/>
        <n v="896"/>
        <n v="1527.24"/>
        <n v="234.91"/>
        <n v="252.34"/>
        <n v="774.07"/>
        <n v="1889.28"/>
        <n v="1370.29"/>
        <n v="1389.47"/>
        <n v="787.65"/>
        <n v="1227.96"/>
        <n v="119.25"/>
        <n v="1308.58"/>
        <n v="1835.25"/>
        <n v="1263.8900000000001"/>
        <n v="1760.03"/>
        <n v="1475.55"/>
        <n v="329.06"/>
        <n v="1814.66"/>
        <n v="226.24"/>
        <n v="1114.54"/>
        <n v="370.06"/>
        <n v="122.24"/>
        <n v="901.87"/>
        <n v="660.58"/>
        <n v="1023.4"/>
        <n v="1196.68"/>
        <n v="183.1"/>
        <n v="333.71"/>
        <n v="1161.42"/>
        <n v="752.02"/>
        <n v="1485.43"/>
        <n v="1339.35"/>
        <n v="1706.65"/>
        <n v="1415.74"/>
        <n v="916.87"/>
        <n v="1378.64"/>
        <n v="623.22"/>
        <n v="682"/>
        <n v="1599.07"/>
        <n v="948.2"/>
        <n v="1616.92"/>
        <n v="1662.6"/>
        <n v="1729.37"/>
        <n v="1841.61"/>
        <n v="918.87"/>
        <n v="705.85"/>
        <n v="1206.18"/>
        <n v="805.23"/>
        <n v="1242.04"/>
        <n v="1440.61"/>
        <n v="1407.97"/>
        <n v="811.65"/>
        <n v="417.03"/>
        <n v="918.01"/>
        <n v="370.93"/>
        <n v="1791.18"/>
        <n v="757.17"/>
        <n v="393.47"/>
        <n v="148.35"/>
        <n v="1327.06"/>
        <n v="1310.1099999999999"/>
        <n v="747.15"/>
        <n v="236.25"/>
        <n v="878.29"/>
        <n v="691.31"/>
        <n v="1386.53"/>
        <n v="1250.98"/>
        <n v="792.73"/>
        <n v="514"/>
        <n v="1977.27"/>
        <n v="962.6"/>
        <n v="1407.72"/>
        <n v="367.05"/>
        <n v="1022.62"/>
        <n v="152.32"/>
        <n v="1060.3599999999999"/>
        <n v="1931.63"/>
        <n v="829.99"/>
        <n v="174.09"/>
        <n v="158.82"/>
        <n v="837.17"/>
        <n v="404.05"/>
        <n v="144.37"/>
        <n v="1536.81"/>
        <n v="971.19"/>
        <n v="649.57000000000005"/>
        <n v="1810.16"/>
        <n v="320.66000000000003"/>
        <n v="1916.25"/>
        <n v="696.54"/>
        <n v="1787.97"/>
        <n v="1245.5899999999999"/>
        <n v="1670.74"/>
        <n v="1969.63"/>
        <n v="647.97"/>
        <n v="1926.16"/>
        <n v="840.02"/>
        <n v="832.47"/>
        <n v="746.74"/>
        <n v="1128.67"/>
        <n v="392.88"/>
        <n v="1152.05"/>
        <n v="1129.24"/>
        <n v="1547.61"/>
        <n v="1683.93"/>
        <n v="936.84"/>
        <n v="674.43"/>
        <n v="592.74"/>
        <n v="469.79"/>
        <n v="209.53"/>
        <n v="750.65"/>
        <n v="613.47"/>
        <n v="1936.19"/>
        <n v="1159.6500000000001"/>
        <n v="759.83"/>
        <n v="1202.8900000000001"/>
        <n v="364.47"/>
        <n v="943.68"/>
        <n v="1289.8499999999999"/>
        <n v="1028.9100000000001"/>
        <n v="863.38"/>
        <n v="1988.31"/>
        <n v="1772.6"/>
        <n v="1284.47"/>
        <n v="1181.82"/>
        <n v="1279.25"/>
        <n v="482.49"/>
        <n v="850.76"/>
        <n v="174.97"/>
        <n v="1003.54"/>
        <n v="1131.75"/>
        <n v="532.72"/>
        <n v="1931.65"/>
        <n v="1827.96"/>
        <n v="1472.07"/>
        <n v="1113.43"/>
        <n v="1752.94"/>
        <n v="348.24"/>
        <n v="1601.97"/>
        <n v="337.16"/>
        <n v="1609"/>
        <n v="623.96"/>
        <n v="1766.47"/>
        <n v="1893.68"/>
        <n v="382.71"/>
        <n v="979.08"/>
        <n v="1963.88"/>
        <n v="1018.47"/>
        <n v="1740.74"/>
        <n v="1218.5899999999999"/>
        <n v="813.13"/>
        <n v="642.99"/>
        <n v="486.12"/>
        <n v="1547.42"/>
        <n v="834.43"/>
        <n v="1071.42"/>
        <n v="1035.42"/>
        <n v="1196.83"/>
        <n v="1744.6"/>
        <n v="1963.4"/>
        <n v="874.41"/>
        <n v="1672.29"/>
        <n v="1552.6"/>
        <n v="1189.71"/>
        <n v="1916.49"/>
        <n v="480.9"/>
        <n v="307.60000000000002"/>
        <n v="1722.53"/>
        <n v="934.38"/>
        <n v="1709.24"/>
        <n v="1796.87"/>
        <n v="218.67"/>
        <n v="1778.58"/>
        <n v="951.81"/>
        <n v="1069.82"/>
        <n v="1290.53"/>
        <n v="1860.13"/>
        <n v="136.32"/>
        <n v="1006"/>
        <n v="1406.67"/>
        <n v="1473.14"/>
        <n v="1415.81"/>
        <n v="355.43"/>
        <n v="668.85"/>
        <n v="781.56"/>
        <n v="1628.43"/>
        <n v="629.64"/>
        <n v="500.34"/>
        <n v="1919.15"/>
        <n v="116.84"/>
        <n v="1995.86"/>
        <n v="1385.96"/>
        <n v="1674.09"/>
        <n v="659.78"/>
        <n v="127.2"/>
        <n v="1501.95"/>
        <n v="1684.87"/>
        <n v="1506.9"/>
        <n v="371.42"/>
        <n v="1531.51"/>
        <n v="1560.95"/>
        <n v="1351.23"/>
        <n v="1555.62"/>
        <n v="1707.25"/>
        <n v="1265.8499999999999"/>
        <n v="268.35000000000002"/>
        <n v="1026.49"/>
        <n v="247.53"/>
        <n v="874.33"/>
        <n v="873.5"/>
        <n v="225.42"/>
        <n v="762.76"/>
        <n v="310.89999999999998"/>
        <n v="1635.65"/>
        <n v="1900.61"/>
        <n v="237.4"/>
        <n v="1914.72"/>
        <n v="1092.9000000000001"/>
        <n v="669.17"/>
        <n v="246.04"/>
        <n v="1051.19"/>
        <n v="1609.58"/>
        <n v="1443.46"/>
        <n v="195.43"/>
        <n v="238.51"/>
        <n v="865.46"/>
        <n v="661.05"/>
        <n v="541.53"/>
        <n v="633.91"/>
        <n v="1626.62"/>
        <n v="1865.53"/>
        <n v="869.7"/>
        <n v="1821.61"/>
        <n v="710.84"/>
        <n v="1005.23"/>
        <n v="529.46"/>
        <n v="1316.9"/>
        <n v="1960.06"/>
        <n v="1246.6400000000001"/>
        <n v="779.85"/>
        <n v="1330.85"/>
        <n v="333.55"/>
        <n v="1788.45"/>
        <n v="1055.8599999999999"/>
        <n v="953.76"/>
        <n v="1213.1400000000001"/>
        <n v="1287.0899999999999"/>
        <n v="236.37"/>
        <n v="1396.97"/>
        <n v="559.66999999999996"/>
        <n v="1456.51"/>
        <n v="1662.82"/>
        <n v="1627.52"/>
        <n v="1149.75"/>
        <n v="1088.32"/>
        <n v="371.46"/>
        <n v="1573.16"/>
        <n v="615.67999999999995"/>
        <n v="1043.72"/>
        <n v="640.12"/>
        <n v="354.27"/>
        <n v="1296.1600000000001"/>
        <n v="203.23"/>
        <n v="1522.43"/>
        <n v="703.41"/>
        <n v="100.26"/>
        <n v="1071.1500000000001"/>
        <n v="189.02"/>
        <n v="624.72"/>
        <n v="1443.26"/>
        <n v="219.11"/>
        <n v="1694.74"/>
        <n v="107.26"/>
        <n v="568.97"/>
        <n v="1507.72"/>
        <n v="700.91"/>
        <n v="293.60000000000002"/>
        <n v="784.44"/>
        <n v="613.75"/>
        <n v="1701.15"/>
        <n v="695.36"/>
        <n v="1598.97"/>
        <n v="1794.56"/>
        <n v="924.25"/>
        <n v="1828.89"/>
        <n v="816.9"/>
        <n v="1931.75"/>
        <n v="269.64999999999998"/>
        <n v="1405.34"/>
        <n v="1038.25"/>
        <n v="836.53"/>
        <n v="1302.1500000000001"/>
        <n v="1437.33"/>
        <n v="108.29"/>
        <n v="417.21"/>
        <n v="1454.79"/>
        <n v="1366.13"/>
        <n v="1935.49"/>
        <n v="1545.97"/>
        <n v="1906.47"/>
        <n v="1434.83"/>
        <n v="666.3"/>
        <n v="300.19"/>
        <n v="1585.47"/>
        <n v="1323.88"/>
        <n v="191.55"/>
        <n v="784.1"/>
        <n v="1917.92"/>
        <n v="1050.76"/>
        <n v="922.19"/>
        <n v="969.63"/>
        <n v="496.88"/>
        <n v="800.54"/>
        <n v="802.65"/>
        <n v="199.47"/>
        <n v="1558.38"/>
        <n v="891.36"/>
        <n v="1662.14"/>
        <n v="1715.66"/>
        <n v="502.79"/>
        <n v="1348.97"/>
        <n v="997.34"/>
        <n v="1772.3"/>
        <n v="509.91"/>
        <n v="1387.85"/>
        <n v="1254.73"/>
        <n v="661.07"/>
        <n v="359.54"/>
        <n v="1338.12"/>
        <n v="1503.34"/>
        <n v="699.69"/>
        <n v="1325.18"/>
        <n v="850.75"/>
        <n v="1455.09"/>
        <n v="478.51"/>
        <n v="1791.41"/>
        <n v="646.08000000000004"/>
        <n v="798.79"/>
        <n v="210.37"/>
        <n v="311.87"/>
        <n v="1080.1400000000001"/>
        <n v="608.42999999999995"/>
        <n v="1687.41"/>
        <n v="127.92"/>
        <n v="820.28"/>
        <n v="740.96"/>
        <n v="136.72"/>
        <n v="336.3"/>
        <n v="885.92"/>
        <n v="1036.44"/>
        <n v="868.15"/>
        <n v="1108.78"/>
        <n v="1230.75"/>
        <n v="118.86"/>
        <n v="981.78"/>
        <n v="1930.65"/>
        <n v="1086.1600000000001"/>
        <n v="1387.33"/>
        <n v="692.54"/>
        <n v="1570.58"/>
        <n v="1568.55"/>
        <n v="1090.46"/>
        <n v="1954.43"/>
        <n v="338.55"/>
        <n v="132.19999999999999"/>
        <n v="1563.3"/>
        <n v="1633.6"/>
        <n v="328.39"/>
        <n v="604.61"/>
        <n v="133.35"/>
        <n v="657.29"/>
        <n v="1568.97"/>
        <n v="1084.1300000000001"/>
        <n v="761.38"/>
        <n v="806.3"/>
        <n v="102.57"/>
        <n v="669.62"/>
        <n v="1328.27"/>
        <n v="1950.97"/>
        <n v="1709.42"/>
        <n v="144.83000000000001"/>
        <n v="1807.27"/>
        <n v="1588.08"/>
        <n v="1582.71"/>
        <n v="970.19"/>
        <n v="856.21"/>
        <n v="675.54"/>
        <n v="224.82"/>
        <n v="533.65"/>
        <n v="568.54999999999995"/>
        <n v="1019.75"/>
        <n v="1520.14"/>
        <n v="1000.24"/>
        <n v="209.9"/>
        <n v="1919.8"/>
        <n v="1891.18"/>
        <n v="1591.86"/>
        <n v="1983.52"/>
        <n v="1134.52"/>
        <n v="1929.26"/>
        <n v="243.65"/>
        <n v="794.79"/>
        <n v="528.22"/>
        <n v="472.08"/>
        <n v="367.53"/>
        <n v="1282.5899999999999"/>
        <n v="1584.51"/>
        <n v="1198.77"/>
        <n v="379.23"/>
        <n v="1641.14"/>
        <n v="1308.31"/>
        <n v="837.51"/>
        <n v="1380.85"/>
        <n v="593.82000000000005"/>
        <n v="755.87"/>
        <n v="1843.22"/>
        <n v="651.96"/>
        <n v="992.98"/>
        <n v="1791.27"/>
        <n v="1444.67"/>
        <n v="218.19"/>
        <n v="379.88"/>
        <n v="114.9"/>
        <n v="1298.75"/>
        <n v="950.58"/>
        <n v="355.12"/>
        <n v="1920.07"/>
        <n v="1106.3499999999999"/>
        <n v="1051.1500000000001"/>
        <n v="1391.28"/>
        <n v="244.85"/>
        <n v="621.94000000000005"/>
        <n v="1633.23"/>
        <n v="973.36"/>
        <n v="1138.5"/>
        <n v="922.35"/>
        <n v="183.41"/>
        <n v="414.92"/>
        <n v="946.53"/>
        <n v="497.45"/>
        <n v="194.96"/>
        <n v="1702.93"/>
        <n v="1964.27"/>
        <n v="1606.97"/>
        <n v="1722.19"/>
        <n v="559.76"/>
        <n v="1925.19"/>
        <n v="474.16"/>
        <n v="1907.72"/>
        <n v="1990.16"/>
        <n v="1452.27"/>
        <n v="1964.17"/>
        <n v="1182.1300000000001"/>
        <n v="593.13"/>
        <n v="930.29"/>
        <n v="1227.77"/>
        <n v="238.85"/>
        <n v="1282.45"/>
        <n v="1964.24"/>
        <n v="461.2"/>
        <n v="1605.93"/>
        <n v="1825.01"/>
        <n v="1893.03"/>
        <n v="1924.26"/>
        <n v="1090.77"/>
        <n v="1956.89"/>
        <n v="1538.89"/>
        <n v="407.18"/>
        <n v="1006.11"/>
        <n v="1464.83"/>
        <n v="569.95000000000005"/>
        <n v="1317.17"/>
        <n v="1366.54"/>
        <n v="409.13"/>
        <n v="1173.6600000000001"/>
        <n v="1566.09"/>
        <n v="1047.9000000000001"/>
        <n v="123"/>
        <n v="117.17"/>
        <n v="778.36"/>
        <n v="1859.77"/>
        <n v="534.49"/>
        <n v="1305.29"/>
        <n v="521.94000000000005"/>
        <n v="711.17"/>
        <n v="1711.28"/>
        <n v="1484.84"/>
        <n v="281.26"/>
        <n v="914.53"/>
        <n v="155.41999999999999"/>
        <n v="1013.69"/>
        <n v="1358.62"/>
        <n v="325.14999999999998"/>
        <n v="648.88"/>
        <n v="855.89"/>
        <n v="1847.11"/>
        <n v="1987.18"/>
        <n v="185.33"/>
        <n v="1545.92"/>
        <n v="806.28"/>
        <n v="845.67"/>
        <n v="1533.1"/>
        <n v="1845.01"/>
        <n v="1906.76"/>
        <n v="1196.53"/>
        <n v="778.53"/>
        <n v="1596.34"/>
        <n v="576.9"/>
        <n v="1171.74"/>
        <n v="781.3"/>
        <n v="1347.6"/>
        <n v="556.76"/>
        <n v="464.03"/>
        <n v="1844.65"/>
        <n v="293.43"/>
        <n v="1061.32"/>
        <n v="519.62"/>
        <n v="173.97"/>
        <n v="168.44"/>
        <n v="432.92"/>
        <n v="1746.86"/>
        <n v="636.71"/>
        <n v="1905.87"/>
        <n v="1205.08"/>
        <n v="929.57"/>
        <n v="1202.17"/>
        <n v="1081.73"/>
        <n v="1541.67"/>
        <n v="636.74"/>
        <n v="770.8"/>
        <n v="1798.78"/>
        <n v="1898.27"/>
        <n v="1795.86"/>
        <n v="896.95"/>
        <n v="1582.69"/>
        <n v="1005.04"/>
        <n v="1045.33"/>
        <n v="488.89"/>
        <n v="1223.1500000000001"/>
        <n v="453.66"/>
        <n v="729.97"/>
        <n v="1724.56"/>
        <n v="493.44"/>
        <n v="235.2"/>
        <n v="231.11"/>
        <n v="1887.49"/>
        <n v="1063.1500000000001"/>
        <n v="877.88"/>
        <n v="1640.67"/>
        <n v="1688.07"/>
        <n v="731.16"/>
        <n v="1417.87"/>
        <n v="1565.13"/>
        <n v="1343.84"/>
        <n v="388.03"/>
        <n v="1764.18"/>
        <n v="1124.28"/>
        <n v="636.70000000000005"/>
        <n v="907.93"/>
        <n v="171.39"/>
        <n v="342.95"/>
        <n v="1554.54"/>
        <n v="100.02"/>
        <n v="891.48"/>
        <n v="1092.77"/>
        <n v="203.81"/>
        <n v="1948.85"/>
        <n v="529.64"/>
        <n v="677.98"/>
        <n v="677.49"/>
        <n v="537.79"/>
        <n v="102.8"/>
        <n v="1485.76"/>
        <n v="1937.01"/>
        <n v="526.16"/>
        <n v="1359.79"/>
        <n v="1509.6"/>
        <n v="1712.01"/>
        <n v="903"/>
        <n v="675.57"/>
        <n v="718.06"/>
        <n v="1453.98"/>
        <n v="1651.88"/>
        <n v="445.07"/>
        <n v="804.79"/>
        <n v="1813.69"/>
        <n v="1632.72"/>
        <n v="1971.23"/>
        <n v="1533.07"/>
        <n v="847.07"/>
        <n v="1222.21"/>
        <n v="1355.93"/>
        <n v="249.07"/>
        <n v="1134.54"/>
        <n v="1447.71"/>
        <n v="417.91"/>
        <n v="1583.2"/>
        <n v="1209.17"/>
        <n v="1909.22"/>
        <n v="180.6"/>
        <n v="604.12"/>
        <n v="1242.95"/>
        <n v="663.46"/>
        <n v="1457.41"/>
        <n v="1542.11"/>
        <n v="294.77999999999997"/>
        <n v="1076.32"/>
        <n v="1066.8900000000001"/>
        <n v="801.63"/>
        <n v="1872.56"/>
        <n v="1672.26"/>
        <n v="1424.7"/>
        <n v="1457.22"/>
        <n v="977.26"/>
        <n v="1849.89"/>
        <n v="1419.73"/>
        <n v="1485.06"/>
        <n v="1737.21"/>
        <n v="620.74"/>
        <n v="1633.43"/>
        <n v="470.96"/>
        <n v="756.15"/>
        <n v="737.66"/>
        <n v="1959.2"/>
        <n v="1727.42"/>
        <n v="1432.22"/>
        <n v="1481.41"/>
        <n v="1167.94"/>
        <n v="1899.47"/>
        <n v="1042.8900000000001"/>
        <n v="822.98"/>
        <n v="409.77"/>
        <n v="1593.79"/>
        <n v="1495.44"/>
        <n v="830.27"/>
        <n v="147.87"/>
        <n v="1694.09"/>
        <n v="121.69"/>
        <n v="1437.03"/>
        <n v="1943.49"/>
        <n v="931.56"/>
        <n v="546.45000000000005"/>
        <n v="1439.25"/>
        <n v="1652.54"/>
        <n v="1138.22"/>
        <n v="1937.37"/>
        <n v="198.17"/>
        <n v="1059.1099999999999"/>
        <n v="1465.06"/>
        <n v="1739.02"/>
        <n v="440.59"/>
        <n v="1620.01"/>
        <n v="1150.1400000000001"/>
        <n v="853.45"/>
        <n v="350.26"/>
        <n v="1744.06"/>
        <n v="398.82"/>
        <n v="688.6"/>
        <n v="651.09"/>
        <n v="1755.69"/>
        <n v="1378.14"/>
        <n v="1613.69"/>
        <n v="575.89"/>
        <n v="1287.26"/>
        <n v="1186.32"/>
        <n v="1682.38"/>
        <n v="1821.57"/>
        <n v="123.1"/>
        <n v="1380.64"/>
        <n v="198.49"/>
        <n v="1142.83"/>
        <n v="646.5"/>
        <n v="682.88"/>
        <n v="770.62"/>
        <n v="1280.46"/>
        <n v="734.69"/>
        <n v="1492.13"/>
        <n v="868.6"/>
        <n v="229.87"/>
        <n v="1589.14"/>
        <n v="642.94000000000005"/>
        <n v="922.26"/>
        <n v="1402.34"/>
        <n v="731.67"/>
        <n v="207.51"/>
        <n v="810.45"/>
        <n v="1894.45"/>
        <n v="1319.3"/>
        <n v="1375.81"/>
        <n v="1301.3399999999999"/>
        <n v="478.09"/>
        <n v="894.83"/>
        <n v="1526.79"/>
        <n v="292.61"/>
        <n v="627.91999999999996"/>
        <n v="625.01"/>
        <n v="920.84"/>
        <n v="1962.7"/>
        <n v="228.25"/>
        <n v="1085.53"/>
        <n v="440.79"/>
        <n v="1944.29"/>
        <n v="315.27999999999997"/>
        <n v="866.84"/>
        <n v="1501.98"/>
        <n v="1438.65"/>
        <n v="903.18"/>
        <n v="758.4"/>
        <n v="855.46"/>
        <n v="602.12"/>
        <n v="490.13"/>
        <n v="1017.78"/>
        <n v="610.21"/>
        <n v="646.17999999999995"/>
        <n v="1347.84"/>
        <n v="1940.22"/>
        <n v="1246.9100000000001"/>
        <n v="246.26"/>
        <n v="243.61"/>
        <n v="1907.7"/>
        <n v="664.85"/>
        <n v="274.93"/>
        <n v="1238.18"/>
        <n v="1284.93"/>
        <n v="1332.16"/>
        <n v="608.05999999999995"/>
        <n v="128.71"/>
        <n v="1933.53"/>
        <n v="576.70000000000005"/>
        <n v="1384.45"/>
        <n v="1442.6"/>
        <n v="1259.01"/>
        <n v="694.52"/>
        <n v="615.08000000000004"/>
        <n v="1235.57"/>
        <n v="1745.58"/>
        <n v="1898.79"/>
        <n v="301.22000000000003"/>
        <n v="394.17"/>
        <n v="1895"/>
        <n v="1499.42"/>
        <n v="1777.69"/>
        <n v="485"/>
        <n v="1216.4100000000001"/>
        <n v="1432.17"/>
        <n v="1392.21"/>
        <n v="875.49"/>
        <n v="129.25"/>
        <n v="1207.56"/>
        <n v="580.89"/>
        <n v="955.48"/>
        <n v="1919.4"/>
        <n v="858.17"/>
        <n v="458.23"/>
        <n v="1377.67"/>
        <n v="1956.31"/>
        <n v="115.81"/>
        <n v="923.81"/>
        <n v="275.99"/>
        <n v="1521.93"/>
        <n v="1837.64"/>
        <n v="591.54999999999995"/>
        <n v="925.37"/>
        <n v="1474.55"/>
        <n v="117.2"/>
        <n v="1219.96"/>
        <n v="1265.25"/>
        <n v="1311.61"/>
        <n v="559.84"/>
        <n v="1456.7"/>
        <n v="273.64"/>
        <n v="478.61"/>
        <n v="1767.19"/>
        <n v="1503.57"/>
        <n v="126.12"/>
        <n v="571.91"/>
        <n v="507.37"/>
        <n v="614.53"/>
        <n v="570.36"/>
        <n v="218.8"/>
        <n v="971.99"/>
        <n v="1492.19"/>
        <n v="1252.79"/>
        <n v="1378.46"/>
        <n v="254.18"/>
        <n v="1907.83"/>
        <n v="1693.13"/>
        <n v="1629.67"/>
        <n v="1663.67"/>
        <n v="1872.15"/>
        <n v="1134.08"/>
        <n v="480.54"/>
        <n v="1271.8900000000001"/>
        <n v="1511.47"/>
        <n v="1502.04"/>
        <n v="230.07"/>
        <n v="805.11"/>
        <n v="1849.46"/>
        <n v="1210.45"/>
        <n v="1122.83"/>
        <n v="610.82000000000005"/>
        <n v="800.05"/>
        <n v="1801.16"/>
        <n v="1366.28"/>
        <n v="1596.04"/>
        <n v="963.26"/>
        <n v="1297.47"/>
        <n v="571.92999999999995"/>
        <n v="1440.38"/>
        <n v="912.44"/>
        <n v="940.84"/>
        <n v="1333.71"/>
        <n v="1878.93"/>
        <n v="221.61"/>
        <n v="1667.01"/>
        <n v="655.53"/>
        <n v="943.45"/>
        <n v="141.63999999999999"/>
        <n v="671.99"/>
        <n v="1055"/>
        <n v="206.73"/>
        <n v="1033.08"/>
        <n v="1861.51"/>
        <n v="300.25"/>
        <n v="1552.44"/>
        <n v="878.38"/>
        <n v="1344.83"/>
        <n v="594.45000000000005"/>
        <n v="403.04"/>
        <n v="404.88"/>
        <n v="233.93"/>
        <n v="452.73"/>
        <n v="1362.02"/>
        <n v="1775.21"/>
        <n v="1646.84"/>
        <n v="1401.76"/>
        <n v="309.82"/>
        <n v="649.46"/>
        <n v="688.63"/>
        <n v="574.91999999999996"/>
        <n v="1078.51"/>
        <n v="1117.55"/>
        <n v="778.08"/>
        <n v="772.2"/>
        <n v="1674.26"/>
        <n v="1599.66"/>
        <n v="684.81"/>
        <n v="1836.2"/>
        <n v="1910.35"/>
        <n v="720.81"/>
        <n v="773.41"/>
        <n v="1060.7"/>
        <n v="1888.13"/>
        <n v="1765.01"/>
        <n v="294.88"/>
        <n v="846.19"/>
        <n v="1151.4100000000001"/>
        <n v="1055.95"/>
        <n v="468.34"/>
        <n v="1731.75"/>
        <n v="1386.19"/>
        <n v="1692.03"/>
        <n v="1731.65"/>
        <n v="1521.88"/>
        <n v="934.5"/>
        <n v="1260.04"/>
        <n v="404.69"/>
        <n v="1379.93"/>
        <n v="440.58"/>
        <n v="1418.5"/>
        <n v="536.24"/>
        <n v="323.35000000000002"/>
        <n v="414.04"/>
        <n v="103.79"/>
        <n v="1465.61"/>
        <n v="1491.56"/>
        <n v="1078.3699999999999"/>
        <n v="406.59"/>
        <n v="258.75"/>
        <n v="136.35"/>
        <n v="1792.63"/>
        <n v="558.91999999999996"/>
        <n v="773.12"/>
        <n v="300.16000000000003"/>
        <n v="522.49"/>
        <n v="1086.53"/>
        <n v="566.16999999999996"/>
        <n v="209.69"/>
        <n v="842.96"/>
        <n v="544.99"/>
        <n v="517.15"/>
        <n v="1923.74"/>
        <n v="1270.97"/>
        <n v="1158.07"/>
        <n v="889.97"/>
        <n v="914.99"/>
        <n v="1127.72"/>
        <n v="1423.22"/>
        <n v="1434.08"/>
        <n v="426.22"/>
        <n v="1050.21"/>
        <n v="882.72"/>
        <n v="1754"/>
        <n v="1299.7"/>
        <n v="1111.76"/>
        <n v="319.25"/>
        <n v="1250.71"/>
        <n v="322.69"/>
        <n v="740.69"/>
        <n v="371.4"/>
        <n v="1414.94"/>
        <n v="491.88"/>
        <n v="844.53"/>
        <n v="1801.78"/>
        <n v="488.2"/>
        <n v="1064.83"/>
        <n v="896.62"/>
        <n v="134.44"/>
        <n v="1606.24"/>
        <n v="231.19"/>
        <n v="1001.08"/>
        <n v="1165.29"/>
        <n v="1294.01"/>
        <n v="1408.4"/>
        <n v="581.22"/>
        <n v="118.96"/>
        <n v="1474.54"/>
        <n v="1117.75"/>
        <n v="1688.62"/>
        <n v="1660.64"/>
        <n v="1702.32"/>
        <n v="1021.68"/>
        <n v="733.89"/>
        <n v="1603.96"/>
        <n v="957.46"/>
        <n v="448.54"/>
        <n v="1724.45"/>
        <n v="1776.86"/>
        <n v="985.99"/>
        <n v="243.83"/>
        <n v="836.87"/>
        <n v="1626.72"/>
        <n v="1813.37"/>
        <n v="486.6"/>
        <n v="227.25"/>
        <n v="1766.97"/>
        <n v="839.87"/>
        <n v="1129.3499999999999"/>
        <n v="1939.33"/>
        <n v="226.47"/>
        <n v="1331.8"/>
        <n v="240.8"/>
        <n v="813.39"/>
        <n v="1627.25"/>
        <n v="923.6"/>
        <n v="1994.65"/>
        <n v="1162.21"/>
        <n v="710.21"/>
        <n v="518.21"/>
        <n v="765.99"/>
        <n v="807.81"/>
        <n v="230.56"/>
        <n v="802.19"/>
        <n v="982.05"/>
        <n v="1473.2"/>
        <n v="1347.79"/>
        <n v="1446.65"/>
        <n v="115.89"/>
        <n v="513.57000000000005"/>
        <n v="1357.2"/>
        <n v="1019.58"/>
        <n v="110.1"/>
        <n v="1628.54"/>
        <n v="1568.34"/>
        <n v="1142"/>
        <n v="226.28"/>
        <n v="1556.38"/>
        <n v="1209.06"/>
        <n v="1585.72"/>
        <n v="1528.32"/>
        <n v="1625.7"/>
        <n v="1084.22"/>
        <n v="366.62"/>
        <n v="1375.2"/>
        <n v="1278.9000000000001"/>
        <n v="1510.28"/>
        <n v="422.77"/>
        <n v="470.45"/>
        <n v="1791.78"/>
        <n v="1524.96"/>
        <n v="1825.63"/>
        <n v="1541.56"/>
        <n v="1234.5999999999999"/>
        <n v="1342.85"/>
        <n v="1789.34"/>
        <n v="1199.73"/>
        <n v="1301.54"/>
        <n v="397.31"/>
        <n v="1000.45"/>
        <n v="1461.15"/>
        <n v="614.79"/>
        <n v="484.28"/>
        <n v="696.27"/>
        <n v="558.85"/>
        <n v="508.33"/>
        <n v="907.22"/>
        <n v="1824.89"/>
        <n v="1063.4100000000001"/>
        <n v="457.05"/>
        <n v="246.25"/>
        <n v="1422.7"/>
        <n v="827.32"/>
        <n v="1661.48"/>
        <n v="1353.07"/>
        <n v="1612.86"/>
        <n v="1415.48"/>
        <n v="601.72"/>
        <n v="1884.23"/>
        <n v="1309.1099999999999"/>
        <n v="716.57"/>
        <n v="612.07000000000005"/>
        <n v="462.76"/>
        <n v="1419.82"/>
        <n v="515.55999999999995"/>
        <n v="1231.08"/>
        <n v="602.80999999999995"/>
        <n v="1357.74"/>
        <n v="1648.39"/>
        <n v="1578.25"/>
        <n v="1545.62"/>
        <n v="456.67"/>
        <n v="267.93"/>
        <n v="1428"/>
        <n v="799.86"/>
        <n v="921.46"/>
        <n v="159.18"/>
        <n v="593.20000000000005"/>
        <n v="163.99"/>
        <n v="1770.45"/>
        <n v="562.45000000000005"/>
        <n v="1158.94"/>
        <n v="174.06"/>
        <n v="1367.01"/>
        <n v="713.75"/>
        <n v="1806.05"/>
        <n v="1787.42"/>
        <n v="718.05"/>
        <n v="1811.83"/>
        <n v="1992.7"/>
        <n v="1668.29"/>
        <n v="1705.26"/>
        <n v="573.12"/>
        <n v="1195.73"/>
        <n v="227.79"/>
        <n v="280.33999999999997"/>
        <n v="1997.9"/>
        <n v="720.61"/>
        <n v="1521.55"/>
        <n v="1632.66"/>
        <n v="1730.24"/>
        <n v="1995.49"/>
        <n v="558.84"/>
        <n v="176.67"/>
        <n v="881.26"/>
        <n v="347.15"/>
        <n v="142.61000000000001"/>
        <n v="784.81"/>
        <n v="1589.1"/>
        <n v="1175.74"/>
        <n v="694.28"/>
        <n v="1343.25"/>
        <n v="540.83000000000004"/>
        <n v="127.32"/>
        <n v="1552.27"/>
        <n v="1285.1099999999999"/>
        <n v="1548.37"/>
        <n v="173.98"/>
        <n v="1690.53"/>
        <n v="1277.0999999999999"/>
        <n v="1170.45"/>
        <n v="1286.77"/>
        <n v="1742.42"/>
        <n v="1215.18"/>
        <n v="1203.81"/>
        <n v="1982.29"/>
        <n v="1537.79"/>
        <n v="940.36"/>
        <n v="1444.05"/>
        <n v="839.54"/>
        <n v="534.86"/>
        <n v="1234.02"/>
        <n v="1863.55"/>
        <n v="1865.37"/>
        <n v="749.62"/>
        <n v="1102.5899999999999"/>
        <n v="502.11"/>
        <n v="1991.7"/>
        <n v="1964.12"/>
        <n v="1334.07"/>
        <n v="1628.39"/>
        <n v="1458.69"/>
        <n v="1227"/>
        <n v="201.36"/>
        <n v="964.05"/>
        <n v="1382.09"/>
        <n v="1387.31"/>
        <n v="808.93"/>
        <n v="1889.21"/>
        <n v="417.98"/>
        <n v="1050.68"/>
        <n v="1412.68"/>
        <n v="1424.56"/>
        <n v="1332.41"/>
        <n v="623.04999999999995"/>
        <n v="396.79"/>
        <n v="1308.29"/>
        <n v="1238.67"/>
        <n v="440.78"/>
        <n v="1439.76"/>
        <n v="964.83"/>
        <n v="1368.75"/>
        <n v="1691"/>
        <n v="422.48"/>
        <n v="136.38"/>
        <n v="1580.29"/>
        <n v="1258.43"/>
        <n v="1429.32"/>
        <n v="1692.49"/>
        <n v="1625.34"/>
        <n v="1925.75"/>
        <n v="1118.28"/>
        <n v="1028.1400000000001"/>
        <n v="863.59"/>
        <n v="392.01"/>
        <n v="1187.95"/>
        <n v="626.32000000000005"/>
        <n v="1850.48"/>
        <n v="1208.06"/>
        <n v="1226.4000000000001"/>
        <n v="774.36"/>
        <n v="198.78"/>
        <n v="160.31"/>
        <n v="904.34"/>
        <n v="260.67"/>
        <n v="1253.01"/>
        <n v="1773.85"/>
        <n v="1777.54"/>
        <n v="1352.19"/>
        <n v="501.34"/>
        <n v="1739.69"/>
        <n v="1783.58"/>
        <n v="473.64"/>
        <n v="1501.11"/>
        <n v="644.39"/>
        <n v="1994.75"/>
        <n v="157.05000000000001"/>
        <n v="1805"/>
        <n v="1283"/>
        <n v="1949.43"/>
        <n v="983.52"/>
        <n v="1710.04"/>
        <n v="218.55"/>
        <n v="737.03"/>
        <n v="227.33"/>
        <n v="1953.15"/>
        <n v="1652.25"/>
        <n v="1719.84"/>
        <n v="1882.13"/>
        <n v="261.7"/>
        <n v="832.64"/>
        <n v="234.97"/>
        <n v="500.51"/>
        <n v="535.79"/>
        <n v="991.3"/>
        <n v="610.27"/>
        <n v="291.86"/>
        <n v="418.23"/>
        <n v="379.82"/>
        <n v="1542.66"/>
        <n v="1938.75"/>
        <n v="935.51"/>
        <n v="628.9"/>
        <n v="1616.76"/>
        <n v="719.88"/>
        <n v="668.83"/>
        <n v="541.76"/>
        <n v="346.39"/>
        <n v="587.28"/>
        <n v="775.11"/>
        <n v="1380.59"/>
        <n v="218.87"/>
        <n v="499.96"/>
        <n v="1637.14"/>
        <n v="379.15"/>
        <n v="751.03"/>
        <n v="1742.85"/>
        <n v="394.36"/>
        <n v="257.2"/>
        <n v="1020.62"/>
        <n v="674.6"/>
        <n v="1170.48"/>
        <n v="1627.23"/>
        <n v="360.58"/>
        <n v="1203.33"/>
        <n v="1060.47"/>
        <n v="373.75"/>
        <n v="1285.5999999999999"/>
        <n v="619.91999999999996"/>
        <n v="1026.8900000000001"/>
        <n v="256.32"/>
        <n v="973.21"/>
        <n v="682.28"/>
        <n v="1662.52"/>
        <n v="208.26"/>
        <n v="895.35"/>
        <n v="971.02"/>
        <n v="1477.51"/>
        <n v="1191.1500000000001"/>
        <n v="1367.7"/>
        <n v="1576.39"/>
        <n v="1738.19"/>
        <n v="696.36"/>
        <n v="1122.24"/>
        <n v="1696.21"/>
        <n v="1979.96"/>
        <n v="1790.09"/>
        <n v="805.79"/>
        <n v="470.82"/>
        <n v="1029.8499999999999"/>
      </sharedItems>
    </cacheField>
    <cacheField name="Discount" numFmtId="9">
      <sharedItems containsSemiMixedTypes="0" containsString="0" containsNumber="1" minValue="0" maxValue="0.3"/>
    </cacheField>
    <cacheField name="Profit" numFmtId="2">
      <sharedItems containsSemiMixedTypes="0" containsString="0" containsNumber="1" minValue="6.01" maxValue="582.96"/>
    </cacheField>
    <cacheField name="Region" numFmtId="0">
      <sharedItems count="4">
        <s v="East"/>
        <s v="West"/>
        <s v="North"/>
        <s v="South"/>
      </sharedItems>
    </cacheField>
    <cacheField name="Segement" numFmtId="0">
      <sharedItems count="3">
        <s v="Consumer"/>
        <s v="Home Office"/>
        <s v="Corporate"/>
      </sharedItems>
    </cacheField>
    <cacheField name="Category" numFmtId="0">
      <sharedItems count="3">
        <s v="Technology"/>
        <s v="Furniture"/>
        <s v="Office Supplies"/>
      </sharedItems>
    </cacheField>
    <cacheField name="Sub_Category" numFmtId="0">
      <sharedItems/>
    </cacheField>
    <cacheField name="Return_status" numFmtId="0">
      <sharedItems count="2">
        <s v="No"/>
        <s v="Yes"/>
      </sharedItems>
    </cacheField>
    <cacheField name="Quarters" numFmtId="0" databaseField="0">
      <fieldGroup base="1">
        <rangePr groupBy="quarters" startDate="2022-01-01T00:00:00" endDate="2024-06-20T00:00:00"/>
        <groupItems count="6">
          <s v="&lt;01-01-2022"/>
          <s v="Qtr1"/>
          <s v="Qtr2"/>
          <s v="Qtr3"/>
          <s v="Qtr4"/>
          <s v="&gt;20-06-2024"/>
        </groupItems>
      </fieldGroup>
    </cacheField>
    <cacheField name="Years" numFmtId="0" databaseField="0">
      <fieldGroup base="1">
        <rangePr groupBy="years" startDate="2022-01-01T00:00:00" endDate="2024-06-20T00:00:00"/>
        <groupItems count="5">
          <s v="&lt;01-01-2022"/>
          <s v="2022"/>
          <s v="2023"/>
          <s v="2024"/>
          <s v="&gt;20-06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1000"/>
    <x v="0"/>
    <s v="C003"/>
    <s v="P042"/>
    <n v="4"/>
    <x v="0"/>
    <n v="0.3"/>
    <n v="368.7"/>
    <x v="0"/>
    <x v="0"/>
    <x v="0"/>
    <s v="Tablet"/>
    <x v="0"/>
  </r>
  <r>
    <s v="O1001"/>
    <x v="1"/>
    <s v="C183"/>
    <s v="P007"/>
    <n v="5"/>
    <x v="1"/>
    <n v="0"/>
    <n v="240.73"/>
    <x v="1"/>
    <x v="1"/>
    <x v="1"/>
    <s v="Desk"/>
    <x v="0"/>
  </r>
  <r>
    <s v="O1002"/>
    <x v="2"/>
    <s v="C140"/>
    <s v="P004"/>
    <n v="3"/>
    <x v="2"/>
    <n v="0.2"/>
    <n v="153.36000000000001"/>
    <x v="1"/>
    <x v="2"/>
    <x v="0"/>
    <s v="Laptop"/>
    <x v="0"/>
  </r>
  <r>
    <s v="O1003"/>
    <x v="3"/>
    <s v="C107"/>
    <s v="P020"/>
    <n v="5"/>
    <x v="3"/>
    <n v="0.3"/>
    <n v="106.05"/>
    <x v="2"/>
    <x v="1"/>
    <x v="2"/>
    <s v="Pen"/>
    <x v="0"/>
  </r>
  <r>
    <s v="O1004"/>
    <x v="4"/>
    <s v="C067"/>
    <s v="P052"/>
    <n v="5"/>
    <x v="4"/>
    <n v="0.3"/>
    <n v="301.81"/>
    <x v="1"/>
    <x v="2"/>
    <x v="1"/>
    <s v="Chair"/>
    <x v="0"/>
  </r>
  <r>
    <s v="O1005"/>
    <x v="5"/>
    <s v="C131"/>
    <s v="P005"/>
    <n v="2"/>
    <x v="5"/>
    <n v="0.1"/>
    <n v="252.06"/>
    <x v="2"/>
    <x v="0"/>
    <x v="2"/>
    <s v="Paper"/>
    <x v="1"/>
  </r>
  <r>
    <s v="O1006"/>
    <x v="6"/>
    <s v="C097"/>
    <s v="P027"/>
    <n v="3"/>
    <x v="6"/>
    <n v="0.2"/>
    <n v="440.65"/>
    <x v="2"/>
    <x v="0"/>
    <x v="2"/>
    <s v="Storage"/>
    <x v="0"/>
  </r>
  <r>
    <s v="O1007"/>
    <x v="5"/>
    <s v="C114"/>
    <s v="P009"/>
    <n v="3"/>
    <x v="7"/>
    <n v="0.3"/>
    <n v="104.69"/>
    <x v="3"/>
    <x v="1"/>
    <x v="1"/>
    <s v="Chair"/>
    <x v="0"/>
  </r>
  <r>
    <s v="O1008"/>
    <x v="7"/>
    <s v="C198"/>
    <s v="P048"/>
    <n v="3"/>
    <x v="8"/>
    <n v="0.2"/>
    <n v="210.83"/>
    <x v="0"/>
    <x v="1"/>
    <x v="1"/>
    <s v="Table"/>
    <x v="0"/>
  </r>
  <r>
    <s v="O1009"/>
    <x v="8"/>
    <s v="C011"/>
    <s v="P024"/>
    <n v="5"/>
    <x v="9"/>
    <n v="0"/>
    <n v="71.78"/>
    <x v="2"/>
    <x v="0"/>
    <x v="1"/>
    <s v="Desk"/>
    <x v="1"/>
  </r>
  <r>
    <s v="O1010"/>
    <x v="9"/>
    <s v="C066"/>
    <s v="P018"/>
    <n v="4"/>
    <x v="10"/>
    <n v="0.2"/>
    <n v="199.09"/>
    <x v="1"/>
    <x v="0"/>
    <x v="2"/>
    <s v="Storage"/>
    <x v="1"/>
  </r>
  <r>
    <s v="O1011"/>
    <x v="10"/>
    <s v="C078"/>
    <s v="P045"/>
    <n v="3"/>
    <x v="11"/>
    <n v="0.3"/>
    <n v="340"/>
    <x v="2"/>
    <x v="2"/>
    <x v="0"/>
    <s v="Tablet"/>
    <x v="0"/>
  </r>
  <r>
    <s v="O1012"/>
    <x v="11"/>
    <s v="C011"/>
    <s v="P080"/>
    <n v="5"/>
    <x v="12"/>
    <n v="0.1"/>
    <n v="274.3"/>
    <x v="2"/>
    <x v="0"/>
    <x v="2"/>
    <s v="Pen"/>
    <x v="0"/>
  </r>
  <r>
    <s v="O1013"/>
    <x v="12"/>
    <s v="C127"/>
    <s v="P081"/>
    <n v="2"/>
    <x v="13"/>
    <n v="0.3"/>
    <n v="201.72"/>
    <x v="1"/>
    <x v="0"/>
    <x v="2"/>
    <s v="Pen"/>
    <x v="0"/>
  </r>
  <r>
    <s v="O1014"/>
    <x v="13"/>
    <s v="C122"/>
    <s v="P047"/>
    <n v="4"/>
    <x v="14"/>
    <n v="0.2"/>
    <n v="60.57"/>
    <x v="0"/>
    <x v="2"/>
    <x v="2"/>
    <s v="Pen"/>
    <x v="0"/>
  </r>
  <r>
    <s v="O1015"/>
    <x v="14"/>
    <s v="C155"/>
    <s v="P040"/>
    <n v="2"/>
    <x v="15"/>
    <n v="0.2"/>
    <n v="38.130000000000003"/>
    <x v="1"/>
    <x v="1"/>
    <x v="2"/>
    <s v="Binder"/>
    <x v="0"/>
  </r>
  <r>
    <s v="O1016"/>
    <x v="15"/>
    <s v="C027"/>
    <s v="P052"/>
    <n v="4"/>
    <x v="16"/>
    <n v="0.3"/>
    <n v="231.57"/>
    <x v="3"/>
    <x v="0"/>
    <x v="1"/>
    <s v="Chair"/>
    <x v="0"/>
  </r>
  <r>
    <s v="O1017"/>
    <x v="16"/>
    <s v="C046"/>
    <s v="P097"/>
    <n v="5"/>
    <x v="17"/>
    <n v="0.2"/>
    <n v="253.34"/>
    <x v="1"/>
    <x v="2"/>
    <x v="2"/>
    <s v="Paper"/>
    <x v="0"/>
  </r>
  <r>
    <s v="O1018"/>
    <x v="17"/>
    <s v="C122"/>
    <s v="P055"/>
    <n v="1"/>
    <x v="18"/>
    <n v="0"/>
    <n v="146.72"/>
    <x v="0"/>
    <x v="2"/>
    <x v="2"/>
    <s v="Binder"/>
    <x v="1"/>
  </r>
  <r>
    <s v="O1019"/>
    <x v="18"/>
    <s v="C104"/>
    <s v="P031"/>
    <n v="4"/>
    <x v="19"/>
    <n v="0.3"/>
    <n v="27.11"/>
    <x v="0"/>
    <x v="1"/>
    <x v="2"/>
    <s v="Storage"/>
    <x v="0"/>
  </r>
  <r>
    <s v="O1020"/>
    <x v="19"/>
    <s v="C157"/>
    <s v="P065"/>
    <n v="2"/>
    <x v="20"/>
    <n v="0.1"/>
    <n v="39.76"/>
    <x v="0"/>
    <x v="2"/>
    <x v="1"/>
    <s v="Chair"/>
    <x v="0"/>
  </r>
  <r>
    <s v="O1021"/>
    <x v="20"/>
    <s v="C195"/>
    <s v="P049"/>
    <n v="5"/>
    <x v="21"/>
    <n v="0.3"/>
    <n v="211"/>
    <x v="1"/>
    <x v="2"/>
    <x v="2"/>
    <s v="Paper"/>
    <x v="0"/>
  </r>
  <r>
    <s v="O1022"/>
    <x v="21"/>
    <s v="C122"/>
    <s v="P046"/>
    <n v="4"/>
    <x v="22"/>
    <n v="0"/>
    <n v="46.3"/>
    <x v="0"/>
    <x v="2"/>
    <x v="1"/>
    <s v="Chair"/>
    <x v="0"/>
  </r>
  <r>
    <s v="O1023"/>
    <x v="22"/>
    <s v="C160"/>
    <s v="P015"/>
    <n v="1"/>
    <x v="23"/>
    <n v="0"/>
    <n v="175.64"/>
    <x v="2"/>
    <x v="0"/>
    <x v="0"/>
    <s v="Tablet"/>
    <x v="0"/>
  </r>
  <r>
    <s v="O1024"/>
    <x v="23"/>
    <s v="C040"/>
    <s v="P090"/>
    <n v="1"/>
    <x v="24"/>
    <n v="0"/>
    <n v="147.16"/>
    <x v="1"/>
    <x v="0"/>
    <x v="0"/>
    <s v="Accessories"/>
    <x v="0"/>
  </r>
  <r>
    <s v="O1025"/>
    <x v="24"/>
    <s v="C111"/>
    <s v="P020"/>
    <n v="3"/>
    <x v="25"/>
    <n v="0"/>
    <n v="110.41"/>
    <x v="0"/>
    <x v="1"/>
    <x v="2"/>
    <s v="Pen"/>
    <x v="0"/>
  </r>
  <r>
    <s v="O1026"/>
    <x v="25"/>
    <s v="C148"/>
    <s v="P059"/>
    <n v="3"/>
    <x v="26"/>
    <n v="0"/>
    <n v="55.15"/>
    <x v="0"/>
    <x v="2"/>
    <x v="1"/>
    <s v="Table"/>
    <x v="0"/>
  </r>
  <r>
    <s v="O1027"/>
    <x v="26"/>
    <s v="C190"/>
    <s v="P074"/>
    <n v="2"/>
    <x v="27"/>
    <n v="0.1"/>
    <n v="297.89"/>
    <x v="0"/>
    <x v="2"/>
    <x v="1"/>
    <s v="Table"/>
    <x v="1"/>
  </r>
  <r>
    <s v="O1028"/>
    <x v="27"/>
    <s v="C174"/>
    <s v="P100"/>
    <n v="4"/>
    <x v="28"/>
    <n v="0.2"/>
    <n v="59.75"/>
    <x v="1"/>
    <x v="2"/>
    <x v="0"/>
    <s v="Phone"/>
    <x v="1"/>
  </r>
  <r>
    <s v="O1029"/>
    <x v="28"/>
    <s v="C075"/>
    <s v="P023"/>
    <n v="4"/>
    <x v="29"/>
    <n v="0"/>
    <n v="155.1"/>
    <x v="3"/>
    <x v="1"/>
    <x v="1"/>
    <s v="Shelf"/>
    <x v="0"/>
  </r>
  <r>
    <s v="O1030"/>
    <x v="29"/>
    <s v="C171"/>
    <s v="P059"/>
    <n v="3"/>
    <x v="30"/>
    <n v="0"/>
    <n v="157.27000000000001"/>
    <x v="2"/>
    <x v="1"/>
    <x v="1"/>
    <s v="Table"/>
    <x v="0"/>
  </r>
  <r>
    <s v="O1031"/>
    <x v="30"/>
    <s v="C193"/>
    <s v="P051"/>
    <n v="4"/>
    <x v="31"/>
    <n v="0.3"/>
    <n v="162.34"/>
    <x v="1"/>
    <x v="2"/>
    <x v="0"/>
    <s v="Tablet"/>
    <x v="0"/>
  </r>
  <r>
    <s v="O1032"/>
    <x v="31"/>
    <s v="C121"/>
    <s v="P057"/>
    <n v="4"/>
    <x v="32"/>
    <n v="0.1"/>
    <n v="238.9"/>
    <x v="0"/>
    <x v="2"/>
    <x v="0"/>
    <s v="Laptop"/>
    <x v="0"/>
  </r>
  <r>
    <s v="O1033"/>
    <x v="32"/>
    <s v="C129"/>
    <s v="P081"/>
    <n v="1"/>
    <x v="33"/>
    <n v="0.1"/>
    <n v="87.7"/>
    <x v="1"/>
    <x v="2"/>
    <x v="2"/>
    <s v="Pen"/>
    <x v="0"/>
  </r>
  <r>
    <s v="O1034"/>
    <x v="33"/>
    <s v="C135"/>
    <s v="P009"/>
    <n v="3"/>
    <x v="34"/>
    <n v="0.2"/>
    <n v="190.86"/>
    <x v="1"/>
    <x v="2"/>
    <x v="1"/>
    <s v="Chair"/>
    <x v="0"/>
  </r>
  <r>
    <s v="O1035"/>
    <x v="34"/>
    <s v="C200"/>
    <s v="P050"/>
    <n v="5"/>
    <x v="35"/>
    <n v="0.1"/>
    <n v="55.33"/>
    <x v="3"/>
    <x v="0"/>
    <x v="2"/>
    <s v="Pen"/>
    <x v="1"/>
  </r>
  <r>
    <s v="O1036"/>
    <x v="35"/>
    <s v="C040"/>
    <s v="P060"/>
    <n v="3"/>
    <x v="36"/>
    <n v="0.3"/>
    <n v="82.16"/>
    <x v="1"/>
    <x v="0"/>
    <x v="1"/>
    <s v="Chair"/>
    <x v="1"/>
  </r>
  <r>
    <s v="O1037"/>
    <x v="36"/>
    <s v="C097"/>
    <s v="P008"/>
    <n v="5"/>
    <x v="37"/>
    <n v="0.3"/>
    <n v="177.32"/>
    <x v="2"/>
    <x v="0"/>
    <x v="0"/>
    <s v="Accessories"/>
    <x v="0"/>
  </r>
  <r>
    <s v="O1038"/>
    <x v="37"/>
    <s v="C102"/>
    <s v="P007"/>
    <n v="1"/>
    <x v="38"/>
    <n v="0.2"/>
    <n v="501.6"/>
    <x v="1"/>
    <x v="0"/>
    <x v="1"/>
    <s v="Desk"/>
    <x v="1"/>
  </r>
  <r>
    <s v="O1039"/>
    <x v="38"/>
    <s v="C098"/>
    <s v="P029"/>
    <n v="2"/>
    <x v="39"/>
    <n v="0.3"/>
    <n v="364.99"/>
    <x v="3"/>
    <x v="0"/>
    <x v="1"/>
    <s v="Shelf"/>
    <x v="0"/>
  </r>
  <r>
    <s v="O1040"/>
    <x v="39"/>
    <s v="C039"/>
    <s v="P085"/>
    <n v="4"/>
    <x v="40"/>
    <n v="0"/>
    <n v="145.69"/>
    <x v="2"/>
    <x v="0"/>
    <x v="0"/>
    <s v="Tablet"/>
    <x v="0"/>
  </r>
  <r>
    <s v="O1041"/>
    <x v="40"/>
    <s v="C029"/>
    <s v="P078"/>
    <n v="1"/>
    <x v="41"/>
    <n v="0"/>
    <n v="393.9"/>
    <x v="0"/>
    <x v="2"/>
    <x v="2"/>
    <s v="Storage"/>
    <x v="0"/>
  </r>
  <r>
    <s v="O1042"/>
    <x v="41"/>
    <s v="C085"/>
    <s v="P074"/>
    <n v="4"/>
    <x v="42"/>
    <n v="0.3"/>
    <n v="260.05"/>
    <x v="2"/>
    <x v="0"/>
    <x v="1"/>
    <s v="Table"/>
    <x v="1"/>
  </r>
  <r>
    <s v="O1043"/>
    <x v="42"/>
    <s v="C108"/>
    <s v="P016"/>
    <n v="2"/>
    <x v="43"/>
    <n v="0.2"/>
    <n v="51.67"/>
    <x v="2"/>
    <x v="0"/>
    <x v="1"/>
    <s v="Chair"/>
    <x v="0"/>
  </r>
  <r>
    <s v="O1044"/>
    <x v="43"/>
    <s v="C072"/>
    <s v="P066"/>
    <n v="2"/>
    <x v="44"/>
    <n v="0.1"/>
    <n v="101.27"/>
    <x v="3"/>
    <x v="2"/>
    <x v="1"/>
    <s v="Desk"/>
    <x v="0"/>
  </r>
  <r>
    <s v="O1045"/>
    <x v="44"/>
    <s v="C131"/>
    <s v="P091"/>
    <n v="1"/>
    <x v="45"/>
    <n v="0.2"/>
    <n v="427.24"/>
    <x v="2"/>
    <x v="0"/>
    <x v="1"/>
    <s v="Shelf"/>
    <x v="0"/>
  </r>
  <r>
    <s v="O1046"/>
    <x v="45"/>
    <s v="C037"/>
    <s v="P040"/>
    <n v="2"/>
    <x v="46"/>
    <n v="0.1"/>
    <n v="123.97"/>
    <x v="1"/>
    <x v="1"/>
    <x v="2"/>
    <s v="Binder"/>
    <x v="0"/>
  </r>
  <r>
    <s v="O1047"/>
    <x v="46"/>
    <s v="C049"/>
    <s v="P078"/>
    <n v="5"/>
    <x v="47"/>
    <n v="0.3"/>
    <n v="311.32"/>
    <x v="1"/>
    <x v="0"/>
    <x v="2"/>
    <s v="Storage"/>
    <x v="1"/>
  </r>
  <r>
    <s v="O1048"/>
    <x v="47"/>
    <s v="C034"/>
    <s v="P033"/>
    <n v="2"/>
    <x v="48"/>
    <n v="0.3"/>
    <n v="64.03"/>
    <x v="1"/>
    <x v="0"/>
    <x v="1"/>
    <s v="Table"/>
    <x v="0"/>
  </r>
  <r>
    <s v="O1049"/>
    <x v="48"/>
    <s v="C098"/>
    <s v="P092"/>
    <n v="4"/>
    <x v="49"/>
    <n v="0"/>
    <n v="195.82"/>
    <x v="3"/>
    <x v="0"/>
    <x v="0"/>
    <s v="Phone"/>
    <x v="0"/>
  </r>
  <r>
    <s v="O1050"/>
    <x v="49"/>
    <s v="C046"/>
    <s v="P036"/>
    <n v="4"/>
    <x v="50"/>
    <n v="0.1"/>
    <n v="59.98"/>
    <x v="1"/>
    <x v="2"/>
    <x v="1"/>
    <s v="Shelf"/>
    <x v="0"/>
  </r>
  <r>
    <s v="O1051"/>
    <x v="50"/>
    <s v="C012"/>
    <s v="P027"/>
    <n v="4"/>
    <x v="51"/>
    <n v="0.2"/>
    <n v="169.77"/>
    <x v="1"/>
    <x v="2"/>
    <x v="2"/>
    <s v="Storage"/>
    <x v="0"/>
  </r>
  <r>
    <s v="O1052"/>
    <x v="5"/>
    <s v="C049"/>
    <s v="P028"/>
    <n v="4"/>
    <x v="52"/>
    <n v="0.3"/>
    <n v="122.92"/>
    <x v="1"/>
    <x v="0"/>
    <x v="0"/>
    <s v="Laptop"/>
    <x v="0"/>
  </r>
  <r>
    <s v="O1053"/>
    <x v="51"/>
    <s v="C039"/>
    <s v="P040"/>
    <n v="5"/>
    <x v="53"/>
    <n v="0.2"/>
    <n v="97.34"/>
    <x v="2"/>
    <x v="0"/>
    <x v="2"/>
    <s v="Binder"/>
    <x v="1"/>
  </r>
  <r>
    <s v="O1054"/>
    <x v="52"/>
    <s v="C192"/>
    <s v="P004"/>
    <n v="3"/>
    <x v="54"/>
    <n v="0"/>
    <n v="341.65"/>
    <x v="1"/>
    <x v="0"/>
    <x v="0"/>
    <s v="Laptop"/>
    <x v="0"/>
  </r>
  <r>
    <s v="O1055"/>
    <x v="53"/>
    <s v="C127"/>
    <s v="P008"/>
    <n v="1"/>
    <x v="55"/>
    <n v="0.1"/>
    <n v="427.58"/>
    <x v="1"/>
    <x v="0"/>
    <x v="0"/>
    <s v="Accessories"/>
    <x v="0"/>
  </r>
  <r>
    <s v="O1056"/>
    <x v="54"/>
    <s v="C160"/>
    <s v="P029"/>
    <n v="4"/>
    <x v="56"/>
    <n v="0.1"/>
    <n v="156.97999999999999"/>
    <x v="2"/>
    <x v="0"/>
    <x v="1"/>
    <s v="Shelf"/>
    <x v="0"/>
  </r>
  <r>
    <s v="O1057"/>
    <x v="55"/>
    <s v="C060"/>
    <s v="P051"/>
    <n v="2"/>
    <x v="57"/>
    <n v="0.3"/>
    <n v="157.25"/>
    <x v="1"/>
    <x v="2"/>
    <x v="0"/>
    <s v="Tablet"/>
    <x v="0"/>
  </r>
  <r>
    <s v="O1058"/>
    <x v="56"/>
    <s v="C183"/>
    <s v="P099"/>
    <n v="4"/>
    <x v="58"/>
    <n v="0.1"/>
    <n v="113.52"/>
    <x v="1"/>
    <x v="1"/>
    <x v="1"/>
    <s v="Desk"/>
    <x v="0"/>
  </r>
  <r>
    <s v="O1059"/>
    <x v="57"/>
    <s v="C095"/>
    <s v="P031"/>
    <n v="2"/>
    <x v="59"/>
    <n v="0.3"/>
    <n v="83.99"/>
    <x v="1"/>
    <x v="2"/>
    <x v="2"/>
    <s v="Storage"/>
    <x v="0"/>
  </r>
  <r>
    <s v="O1060"/>
    <x v="51"/>
    <s v="C125"/>
    <s v="P067"/>
    <n v="2"/>
    <x v="60"/>
    <n v="0"/>
    <n v="472.51"/>
    <x v="0"/>
    <x v="2"/>
    <x v="2"/>
    <s v="Binder"/>
    <x v="1"/>
  </r>
  <r>
    <s v="O1061"/>
    <x v="58"/>
    <s v="C066"/>
    <s v="P073"/>
    <n v="4"/>
    <x v="61"/>
    <n v="0.1"/>
    <n v="470.88"/>
    <x v="1"/>
    <x v="0"/>
    <x v="1"/>
    <s v="Table"/>
    <x v="0"/>
  </r>
  <r>
    <s v="O1062"/>
    <x v="59"/>
    <s v="C059"/>
    <s v="P009"/>
    <n v="5"/>
    <x v="62"/>
    <n v="0.3"/>
    <n v="322.51"/>
    <x v="1"/>
    <x v="2"/>
    <x v="1"/>
    <s v="Chair"/>
    <x v="0"/>
  </r>
  <r>
    <s v="O1063"/>
    <x v="60"/>
    <s v="C199"/>
    <s v="P092"/>
    <n v="2"/>
    <x v="63"/>
    <n v="0.2"/>
    <n v="217.97"/>
    <x v="0"/>
    <x v="2"/>
    <x v="0"/>
    <s v="Phone"/>
    <x v="0"/>
  </r>
  <r>
    <s v="O1064"/>
    <x v="61"/>
    <s v="C138"/>
    <s v="P054"/>
    <n v="2"/>
    <x v="64"/>
    <n v="0.3"/>
    <n v="288.39999999999998"/>
    <x v="0"/>
    <x v="1"/>
    <x v="1"/>
    <s v="Shelf"/>
    <x v="0"/>
  </r>
  <r>
    <s v="O1065"/>
    <x v="62"/>
    <s v="C194"/>
    <s v="P004"/>
    <n v="4"/>
    <x v="65"/>
    <n v="0.1"/>
    <n v="106.54"/>
    <x v="0"/>
    <x v="1"/>
    <x v="0"/>
    <s v="Laptop"/>
    <x v="0"/>
  </r>
  <r>
    <s v="O1066"/>
    <x v="63"/>
    <s v="C050"/>
    <s v="P005"/>
    <n v="2"/>
    <x v="66"/>
    <n v="0"/>
    <n v="60.94"/>
    <x v="0"/>
    <x v="0"/>
    <x v="2"/>
    <s v="Paper"/>
    <x v="0"/>
  </r>
  <r>
    <s v="O1067"/>
    <x v="64"/>
    <s v="C015"/>
    <s v="P068"/>
    <n v="2"/>
    <x v="67"/>
    <n v="0.1"/>
    <n v="361.49"/>
    <x v="3"/>
    <x v="1"/>
    <x v="1"/>
    <s v="Table"/>
    <x v="0"/>
  </r>
  <r>
    <s v="O1068"/>
    <x v="65"/>
    <s v="C123"/>
    <s v="P072"/>
    <n v="4"/>
    <x v="68"/>
    <n v="0.1"/>
    <n v="75.19"/>
    <x v="2"/>
    <x v="0"/>
    <x v="1"/>
    <s v="Chair"/>
    <x v="0"/>
  </r>
  <r>
    <s v="O1069"/>
    <x v="66"/>
    <s v="C001"/>
    <s v="P049"/>
    <n v="4"/>
    <x v="69"/>
    <n v="0.3"/>
    <n v="188.79"/>
    <x v="3"/>
    <x v="0"/>
    <x v="2"/>
    <s v="Paper"/>
    <x v="0"/>
  </r>
  <r>
    <s v="O1070"/>
    <x v="67"/>
    <s v="C047"/>
    <s v="P004"/>
    <n v="1"/>
    <x v="70"/>
    <n v="0.2"/>
    <n v="425.42"/>
    <x v="0"/>
    <x v="0"/>
    <x v="0"/>
    <s v="Laptop"/>
    <x v="0"/>
  </r>
  <r>
    <s v="O1071"/>
    <x v="68"/>
    <s v="C148"/>
    <s v="P088"/>
    <n v="5"/>
    <x v="71"/>
    <n v="0.1"/>
    <n v="133.4"/>
    <x v="0"/>
    <x v="2"/>
    <x v="0"/>
    <s v="Laptop"/>
    <x v="0"/>
  </r>
  <r>
    <s v="O1072"/>
    <x v="69"/>
    <s v="C011"/>
    <s v="P013"/>
    <n v="5"/>
    <x v="72"/>
    <n v="0.2"/>
    <n v="10.7"/>
    <x v="2"/>
    <x v="0"/>
    <x v="0"/>
    <s v="Laptop"/>
    <x v="1"/>
  </r>
  <r>
    <s v="O1073"/>
    <x v="70"/>
    <s v="C163"/>
    <s v="P013"/>
    <n v="2"/>
    <x v="73"/>
    <n v="0.3"/>
    <n v="155.04"/>
    <x v="0"/>
    <x v="1"/>
    <x v="0"/>
    <s v="Laptop"/>
    <x v="0"/>
  </r>
  <r>
    <s v="O1074"/>
    <x v="71"/>
    <s v="C161"/>
    <s v="P049"/>
    <n v="5"/>
    <x v="74"/>
    <n v="0.2"/>
    <n v="101.31"/>
    <x v="3"/>
    <x v="2"/>
    <x v="2"/>
    <s v="Paper"/>
    <x v="0"/>
  </r>
  <r>
    <s v="O1075"/>
    <x v="72"/>
    <s v="C100"/>
    <s v="P035"/>
    <n v="2"/>
    <x v="75"/>
    <n v="0.3"/>
    <n v="205.69"/>
    <x v="2"/>
    <x v="1"/>
    <x v="1"/>
    <s v="Chair"/>
    <x v="1"/>
  </r>
  <r>
    <s v="O1076"/>
    <x v="73"/>
    <s v="C200"/>
    <s v="P074"/>
    <n v="1"/>
    <x v="76"/>
    <n v="0"/>
    <n v="38.869999999999997"/>
    <x v="3"/>
    <x v="0"/>
    <x v="1"/>
    <s v="Table"/>
    <x v="0"/>
  </r>
  <r>
    <s v="O1077"/>
    <x v="74"/>
    <s v="C013"/>
    <s v="P088"/>
    <n v="4"/>
    <x v="77"/>
    <n v="0.2"/>
    <n v="173.11"/>
    <x v="2"/>
    <x v="0"/>
    <x v="0"/>
    <s v="Laptop"/>
    <x v="0"/>
  </r>
  <r>
    <s v="O1078"/>
    <x v="75"/>
    <s v="C139"/>
    <s v="P070"/>
    <n v="4"/>
    <x v="78"/>
    <n v="0.2"/>
    <n v="298.55"/>
    <x v="0"/>
    <x v="0"/>
    <x v="2"/>
    <s v="Paper"/>
    <x v="0"/>
  </r>
  <r>
    <s v="O1079"/>
    <x v="76"/>
    <s v="C008"/>
    <s v="P057"/>
    <n v="4"/>
    <x v="79"/>
    <n v="0"/>
    <n v="127.41"/>
    <x v="1"/>
    <x v="2"/>
    <x v="0"/>
    <s v="Laptop"/>
    <x v="0"/>
  </r>
  <r>
    <s v="O1080"/>
    <x v="55"/>
    <s v="C019"/>
    <s v="P024"/>
    <n v="5"/>
    <x v="80"/>
    <n v="0.2"/>
    <n v="83.12"/>
    <x v="2"/>
    <x v="0"/>
    <x v="1"/>
    <s v="Desk"/>
    <x v="1"/>
  </r>
  <r>
    <s v="O1081"/>
    <x v="77"/>
    <s v="C015"/>
    <s v="P068"/>
    <n v="1"/>
    <x v="81"/>
    <n v="0"/>
    <n v="218.52"/>
    <x v="3"/>
    <x v="1"/>
    <x v="1"/>
    <s v="Table"/>
    <x v="0"/>
  </r>
  <r>
    <s v="O1082"/>
    <x v="78"/>
    <s v="C088"/>
    <s v="P032"/>
    <n v="5"/>
    <x v="82"/>
    <n v="0.1"/>
    <n v="220.65"/>
    <x v="2"/>
    <x v="1"/>
    <x v="2"/>
    <s v="Paper"/>
    <x v="0"/>
  </r>
  <r>
    <s v="O1083"/>
    <x v="79"/>
    <s v="C161"/>
    <s v="P064"/>
    <n v="5"/>
    <x v="83"/>
    <n v="0.3"/>
    <n v="217.12"/>
    <x v="3"/>
    <x v="2"/>
    <x v="2"/>
    <s v="Binder"/>
    <x v="0"/>
  </r>
  <r>
    <s v="O1084"/>
    <x v="80"/>
    <s v="C109"/>
    <s v="P068"/>
    <n v="1"/>
    <x v="84"/>
    <n v="0"/>
    <n v="305.14"/>
    <x v="0"/>
    <x v="2"/>
    <x v="1"/>
    <s v="Table"/>
    <x v="0"/>
  </r>
  <r>
    <s v="O1085"/>
    <x v="81"/>
    <s v="C034"/>
    <s v="P094"/>
    <n v="1"/>
    <x v="85"/>
    <n v="0.2"/>
    <n v="268.55"/>
    <x v="1"/>
    <x v="0"/>
    <x v="1"/>
    <s v="Table"/>
    <x v="0"/>
  </r>
  <r>
    <s v="O1086"/>
    <x v="82"/>
    <s v="C166"/>
    <s v="P034"/>
    <n v="1"/>
    <x v="86"/>
    <n v="0"/>
    <n v="510.95"/>
    <x v="0"/>
    <x v="2"/>
    <x v="2"/>
    <s v="Storage"/>
    <x v="0"/>
  </r>
  <r>
    <s v="O1087"/>
    <x v="83"/>
    <s v="C137"/>
    <s v="P012"/>
    <n v="1"/>
    <x v="87"/>
    <n v="0.2"/>
    <n v="390.52"/>
    <x v="1"/>
    <x v="2"/>
    <x v="0"/>
    <s v="Laptop"/>
    <x v="0"/>
  </r>
  <r>
    <s v="O1088"/>
    <x v="30"/>
    <s v="C093"/>
    <s v="P020"/>
    <n v="4"/>
    <x v="88"/>
    <n v="0.1"/>
    <n v="37.880000000000003"/>
    <x v="0"/>
    <x v="1"/>
    <x v="2"/>
    <s v="Pen"/>
    <x v="0"/>
  </r>
  <r>
    <s v="O1089"/>
    <x v="84"/>
    <s v="C150"/>
    <s v="P096"/>
    <n v="3"/>
    <x v="89"/>
    <n v="0"/>
    <n v="485.18"/>
    <x v="2"/>
    <x v="0"/>
    <x v="0"/>
    <s v="Laptop"/>
    <x v="0"/>
  </r>
  <r>
    <s v="O1090"/>
    <x v="85"/>
    <s v="C178"/>
    <s v="P096"/>
    <n v="3"/>
    <x v="90"/>
    <n v="0.1"/>
    <n v="69.92"/>
    <x v="2"/>
    <x v="0"/>
    <x v="0"/>
    <s v="Laptop"/>
    <x v="1"/>
  </r>
  <r>
    <s v="O1091"/>
    <x v="86"/>
    <s v="C072"/>
    <s v="P045"/>
    <n v="1"/>
    <x v="91"/>
    <n v="0.3"/>
    <n v="370.73"/>
    <x v="3"/>
    <x v="2"/>
    <x v="0"/>
    <s v="Tablet"/>
    <x v="1"/>
  </r>
  <r>
    <s v="O1092"/>
    <x v="87"/>
    <s v="C006"/>
    <s v="P078"/>
    <n v="3"/>
    <x v="92"/>
    <n v="0.2"/>
    <n v="115.86"/>
    <x v="3"/>
    <x v="0"/>
    <x v="2"/>
    <s v="Storage"/>
    <x v="0"/>
  </r>
  <r>
    <s v="O1093"/>
    <x v="88"/>
    <s v="C091"/>
    <s v="P014"/>
    <n v="3"/>
    <x v="93"/>
    <n v="0.2"/>
    <n v="477.08"/>
    <x v="3"/>
    <x v="1"/>
    <x v="1"/>
    <s v="Shelf"/>
    <x v="0"/>
  </r>
  <r>
    <s v="O1094"/>
    <x v="89"/>
    <s v="C160"/>
    <s v="P004"/>
    <n v="1"/>
    <x v="94"/>
    <n v="0.1"/>
    <n v="404.69"/>
    <x v="2"/>
    <x v="0"/>
    <x v="0"/>
    <s v="Laptop"/>
    <x v="0"/>
  </r>
  <r>
    <s v="O1095"/>
    <x v="90"/>
    <s v="C003"/>
    <s v="P034"/>
    <n v="3"/>
    <x v="95"/>
    <n v="0.3"/>
    <n v="127.48"/>
    <x v="0"/>
    <x v="0"/>
    <x v="2"/>
    <s v="Storage"/>
    <x v="1"/>
  </r>
  <r>
    <s v="O1096"/>
    <x v="91"/>
    <s v="C145"/>
    <s v="P076"/>
    <n v="5"/>
    <x v="96"/>
    <n v="0"/>
    <n v="243.27"/>
    <x v="1"/>
    <x v="2"/>
    <x v="1"/>
    <s v="Shelf"/>
    <x v="1"/>
  </r>
  <r>
    <s v="O1097"/>
    <x v="92"/>
    <s v="C140"/>
    <s v="P034"/>
    <n v="2"/>
    <x v="97"/>
    <n v="0"/>
    <n v="184.38"/>
    <x v="1"/>
    <x v="2"/>
    <x v="2"/>
    <s v="Storage"/>
    <x v="0"/>
  </r>
  <r>
    <s v="O1098"/>
    <x v="93"/>
    <s v="C095"/>
    <s v="P026"/>
    <n v="2"/>
    <x v="98"/>
    <n v="0.2"/>
    <n v="15.68"/>
    <x v="1"/>
    <x v="2"/>
    <x v="0"/>
    <s v="Phone"/>
    <x v="0"/>
  </r>
  <r>
    <s v="O1099"/>
    <x v="94"/>
    <s v="C124"/>
    <s v="P057"/>
    <n v="1"/>
    <x v="99"/>
    <n v="0.1"/>
    <n v="251.35"/>
    <x v="3"/>
    <x v="2"/>
    <x v="0"/>
    <s v="Laptop"/>
    <x v="0"/>
  </r>
  <r>
    <s v="O1100"/>
    <x v="95"/>
    <s v="C077"/>
    <s v="P067"/>
    <n v="4"/>
    <x v="100"/>
    <n v="0.1"/>
    <n v="94.44"/>
    <x v="1"/>
    <x v="1"/>
    <x v="2"/>
    <s v="Binder"/>
    <x v="0"/>
  </r>
  <r>
    <s v="O1101"/>
    <x v="96"/>
    <s v="C126"/>
    <s v="P058"/>
    <n v="1"/>
    <x v="101"/>
    <n v="0"/>
    <n v="295.22000000000003"/>
    <x v="0"/>
    <x v="2"/>
    <x v="2"/>
    <s v="Paper"/>
    <x v="0"/>
  </r>
  <r>
    <s v="O1102"/>
    <x v="97"/>
    <s v="C037"/>
    <s v="P066"/>
    <n v="4"/>
    <x v="102"/>
    <n v="0.3"/>
    <n v="89.12"/>
    <x v="1"/>
    <x v="1"/>
    <x v="1"/>
    <s v="Desk"/>
    <x v="0"/>
  </r>
  <r>
    <s v="O1103"/>
    <x v="98"/>
    <s v="C073"/>
    <s v="P077"/>
    <n v="2"/>
    <x v="103"/>
    <n v="0.3"/>
    <n v="219.2"/>
    <x v="2"/>
    <x v="1"/>
    <x v="0"/>
    <s v="Accessories"/>
    <x v="0"/>
  </r>
  <r>
    <s v="O1104"/>
    <x v="99"/>
    <s v="C161"/>
    <s v="P065"/>
    <n v="1"/>
    <x v="104"/>
    <n v="0"/>
    <n v="376.27"/>
    <x v="3"/>
    <x v="2"/>
    <x v="1"/>
    <s v="Chair"/>
    <x v="0"/>
  </r>
  <r>
    <s v="O1105"/>
    <x v="100"/>
    <s v="C085"/>
    <s v="P039"/>
    <n v="5"/>
    <x v="105"/>
    <n v="0"/>
    <n v="207.12"/>
    <x v="2"/>
    <x v="0"/>
    <x v="2"/>
    <s v="Pen"/>
    <x v="0"/>
  </r>
  <r>
    <s v="O1106"/>
    <x v="101"/>
    <s v="C097"/>
    <s v="P089"/>
    <n v="3"/>
    <x v="106"/>
    <n v="0.1"/>
    <n v="85.8"/>
    <x v="2"/>
    <x v="0"/>
    <x v="0"/>
    <s v="Phone"/>
    <x v="0"/>
  </r>
  <r>
    <s v="O1107"/>
    <x v="102"/>
    <s v="C063"/>
    <s v="P067"/>
    <n v="4"/>
    <x v="107"/>
    <n v="0.3"/>
    <n v="257.69"/>
    <x v="0"/>
    <x v="0"/>
    <x v="2"/>
    <s v="Binder"/>
    <x v="1"/>
  </r>
  <r>
    <s v="O1108"/>
    <x v="103"/>
    <s v="C188"/>
    <s v="P037"/>
    <n v="3"/>
    <x v="108"/>
    <n v="0"/>
    <n v="157.18"/>
    <x v="3"/>
    <x v="2"/>
    <x v="2"/>
    <s v="Storage"/>
    <x v="0"/>
  </r>
  <r>
    <s v="O1109"/>
    <x v="104"/>
    <s v="C177"/>
    <s v="P004"/>
    <n v="3"/>
    <x v="109"/>
    <n v="0"/>
    <n v="54.02"/>
    <x v="0"/>
    <x v="0"/>
    <x v="0"/>
    <s v="Laptop"/>
    <x v="0"/>
  </r>
  <r>
    <s v="O1110"/>
    <x v="78"/>
    <s v="C011"/>
    <s v="P004"/>
    <n v="1"/>
    <x v="110"/>
    <n v="0.2"/>
    <n v="232.93"/>
    <x v="2"/>
    <x v="0"/>
    <x v="0"/>
    <s v="Laptop"/>
    <x v="0"/>
  </r>
  <r>
    <s v="O1111"/>
    <x v="105"/>
    <s v="C038"/>
    <s v="P017"/>
    <n v="3"/>
    <x v="111"/>
    <n v="0"/>
    <n v="456.54"/>
    <x v="0"/>
    <x v="0"/>
    <x v="2"/>
    <s v="Pen"/>
    <x v="1"/>
  </r>
  <r>
    <s v="O1112"/>
    <x v="106"/>
    <s v="C053"/>
    <s v="P072"/>
    <n v="5"/>
    <x v="112"/>
    <n v="0"/>
    <n v="61.49"/>
    <x v="0"/>
    <x v="2"/>
    <x v="1"/>
    <s v="Chair"/>
    <x v="0"/>
  </r>
  <r>
    <s v="O1113"/>
    <x v="107"/>
    <s v="C048"/>
    <s v="P018"/>
    <n v="3"/>
    <x v="113"/>
    <n v="0.3"/>
    <n v="146.94"/>
    <x v="2"/>
    <x v="2"/>
    <x v="2"/>
    <s v="Storage"/>
    <x v="0"/>
  </r>
  <r>
    <s v="O1114"/>
    <x v="108"/>
    <s v="C075"/>
    <s v="P044"/>
    <n v="1"/>
    <x v="114"/>
    <n v="0.1"/>
    <n v="116.63"/>
    <x v="3"/>
    <x v="1"/>
    <x v="1"/>
    <s v="Table"/>
    <x v="0"/>
  </r>
  <r>
    <s v="O1115"/>
    <x v="109"/>
    <s v="C153"/>
    <s v="P069"/>
    <n v="5"/>
    <x v="115"/>
    <n v="0.3"/>
    <n v="68.11"/>
    <x v="2"/>
    <x v="2"/>
    <x v="2"/>
    <s v="Pen"/>
    <x v="0"/>
  </r>
  <r>
    <s v="O1116"/>
    <x v="42"/>
    <s v="C016"/>
    <s v="P099"/>
    <n v="2"/>
    <x v="116"/>
    <n v="0.1"/>
    <n v="127.86"/>
    <x v="0"/>
    <x v="2"/>
    <x v="1"/>
    <s v="Desk"/>
    <x v="0"/>
  </r>
  <r>
    <s v="O1117"/>
    <x v="110"/>
    <s v="C119"/>
    <s v="P079"/>
    <n v="3"/>
    <x v="117"/>
    <n v="0.2"/>
    <n v="61.97"/>
    <x v="3"/>
    <x v="1"/>
    <x v="1"/>
    <s v="Chair"/>
    <x v="0"/>
  </r>
  <r>
    <s v="O1118"/>
    <x v="111"/>
    <s v="C105"/>
    <s v="P079"/>
    <n v="1"/>
    <x v="118"/>
    <n v="0"/>
    <n v="26.29"/>
    <x v="3"/>
    <x v="2"/>
    <x v="1"/>
    <s v="Chair"/>
    <x v="0"/>
  </r>
  <r>
    <s v="O1119"/>
    <x v="112"/>
    <s v="C158"/>
    <s v="P006"/>
    <n v="2"/>
    <x v="119"/>
    <n v="0.2"/>
    <n v="63.14"/>
    <x v="3"/>
    <x v="0"/>
    <x v="1"/>
    <s v="Chair"/>
    <x v="0"/>
  </r>
  <r>
    <s v="O1120"/>
    <x v="113"/>
    <s v="C020"/>
    <s v="P028"/>
    <n v="2"/>
    <x v="120"/>
    <n v="0.1"/>
    <n v="163.26"/>
    <x v="0"/>
    <x v="1"/>
    <x v="0"/>
    <s v="Laptop"/>
    <x v="0"/>
  </r>
  <r>
    <s v="O1121"/>
    <x v="114"/>
    <s v="C112"/>
    <s v="P012"/>
    <n v="4"/>
    <x v="121"/>
    <n v="0.3"/>
    <n v="338.3"/>
    <x v="2"/>
    <x v="0"/>
    <x v="0"/>
    <s v="Laptop"/>
    <x v="0"/>
  </r>
  <r>
    <s v="O1122"/>
    <x v="115"/>
    <s v="C138"/>
    <s v="P022"/>
    <n v="5"/>
    <x v="122"/>
    <n v="0.3"/>
    <n v="217.68"/>
    <x v="0"/>
    <x v="1"/>
    <x v="0"/>
    <s v="Tablet"/>
    <x v="0"/>
  </r>
  <r>
    <s v="O1123"/>
    <x v="116"/>
    <s v="C194"/>
    <s v="P011"/>
    <n v="3"/>
    <x v="123"/>
    <n v="0.2"/>
    <n v="62.99"/>
    <x v="0"/>
    <x v="1"/>
    <x v="0"/>
    <s v="Accessories"/>
    <x v="0"/>
  </r>
  <r>
    <s v="O1124"/>
    <x v="117"/>
    <s v="C039"/>
    <s v="P032"/>
    <n v="1"/>
    <x v="124"/>
    <n v="0.1"/>
    <n v="149.41999999999999"/>
    <x v="2"/>
    <x v="0"/>
    <x v="2"/>
    <s v="Paper"/>
    <x v="0"/>
  </r>
  <r>
    <s v="O1125"/>
    <x v="118"/>
    <s v="C137"/>
    <s v="P076"/>
    <n v="4"/>
    <x v="125"/>
    <n v="0.2"/>
    <n v="211.1"/>
    <x v="1"/>
    <x v="2"/>
    <x v="1"/>
    <s v="Shelf"/>
    <x v="0"/>
  </r>
  <r>
    <s v="O1126"/>
    <x v="119"/>
    <s v="C051"/>
    <s v="P043"/>
    <n v="5"/>
    <x v="126"/>
    <n v="0.2"/>
    <n v="143.80000000000001"/>
    <x v="0"/>
    <x v="1"/>
    <x v="1"/>
    <s v="Table"/>
    <x v="0"/>
  </r>
  <r>
    <s v="O1127"/>
    <x v="120"/>
    <s v="C145"/>
    <s v="P032"/>
    <n v="4"/>
    <x v="127"/>
    <n v="0"/>
    <n v="46.78"/>
    <x v="1"/>
    <x v="2"/>
    <x v="2"/>
    <s v="Paper"/>
    <x v="0"/>
  </r>
  <r>
    <s v="O1128"/>
    <x v="121"/>
    <s v="C198"/>
    <s v="P053"/>
    <n v="5"/>
    <x v="128"/>
    <n v="0.2"/>
    <n v="324.47000000000003"/>
    <x v="0"/>
    <x v="1"/>
    <x v="0"/>
    <s v="Accessories"/>
    <x v="0"/>
  </r>
  <r>
    <s v="O1129"/>
    <x v="122"/>
    <s v="C081"/>
    <s v="P015"/>
    <n v="5"/>
    <x v="129"/>
    <n v="0"/>
    <n v="50.5"/>
    <x v="2"/>
    <x v="0"/>
    <x v="0"/>
    <s v="Tablet"/>
    <x v="0"/>
  </r>
  <r>
    <s v="O1130"/>
    <x v="123"/>
    <s v="C181"/>
    <s v="P075"/>
    <n v="3"/>
    <x v="130"/>
    <n v="0"/>
    <n v="325.77"/>
    <x v="2"/>
    <x v="1"/>
    <x v="2"/>
    <s v="Pen"/>
    <x v="0"/>
  </r>
  <r>
    <s v="O1131"/>
    <x v="124"/>
    <s v="C029"/>
    <s v="P085"/>
    <n v="5"/>
    <x v="131"/>
    <n v="0.3"/>
    <n v="283.35000000000002"/>
    <x v="0"/>
    <x v="2"/>
    <x v="0"/>
    <s v="Tablet"/>
    <x v="0"/>
  </r>
  <r>
    <s v="O1132"/>
    <x v="125"/>
    <s v="C153"/>
    <s v="P015"/>
    <n v="4"/>
    <x v="132"/>
    <n v="0"/>
    <n v="60.17"/>
    <x v="2"/>
    <x v="2"/>
    <x v="0"/>
    <s v="Tablet"/>
    <x v="1"/>
  </r>
  <r>
    <s v="O1133"/>
    <x v="82"/>
    <s v="C044"/>
    <s v="P056"/>
    <n v="5"/>
    <x v="133"/>
    <n v="0"/>
    <n v="35.630000000000003"/>
    <x v="1"/>
    <x v="1"/>
    <x v="2"/>
    <s v="Paper"/>
    <x v="0"/>
  </r>
  <r>
    <s v="O1134"/>
    <x v="126"/>
    <s v="C134"/>
    <s v="P081"/>
    <n v="3"/>
    <x v="134"/>
    <n v="0.3"/>
    <n v="180.77"/>
    <x v="3"/>
    <x v="1"/>
    <x v="2"/>
    <s v="Pen"/>
    <x v="0"/>
  </r>
  <r>
    <s v="O1135"/>
    <x v="127"/>
    <s v="C158"/>
    <s v="P029"/>
    <n v="3"/>
    <x v="135"/>
    <n v="0.2"/>
    <n v="231.75"/>
    <x v="3"/>
    <x v="0"/>
    <x v="1"/>
    <s v="Shelf"/>
    <x v="0"/>
  </r>
  <r>
    <s v="O1136"/>
    <x v="128"/>
    <s v="C036"/>
    <s v="P065"/>
    <n v="4"/>
    <x v="136"/>
    <n v="0.1"/>
    <n v="37.520000000000003"/>
    <x v="0"/>
    <x v="0"/>
    <x v="1"/>
    <s v="Chair"/>
    <x v="0"/>
  </r>
  <r>
    <s v="O1137"/>
    <x v="91"/>
    <s v="C023"/>
    <s v="P092"/>
    <n v="2"/>
    <x v="137"/>
    <n v="0.1"/>
    <n v="259.16000000000003"/>
    <x v="3"/>
    <x v="2"/>
    <x v="0"/>
    <s v="Phone"/>
    <x v="0"/>
  </r>
  <r>
    <s v="O1138"/>
    <x v="129"/>
    <s v="C127"/>
    <s v="P041"/>
    <n v="2"/>
    <x v="138"/>
    <n v="0.1"/>
    <n v="41.75"/>
    <x v="1"/>
    <x v="0"/>
    <x v="0"/>
    <s v="Tablet"/>
    <x v="1"/>
  </r>
  <r>
    <s v="O1139"/>
    <x v="130"/>
    <s v="C090"/>
    <s v="P055"/>
    <n v="5"/>
    <x v="139"/>
    <n v="0.2"/>
    <n v="424.66"/>
    <x v="2"/>
    <x v="2"/>
    <x v="2"/>
    <s v="Binder"/>
    <x v="0"/>
  </r>
  <r>
    <s v="O1140"/>
    <x v="131"/>
    <s v="C016"/>
    <s v="P032"/>
    <n v="1"/>
    <x v="140"/>
    <n v="0"/>
    <n v="312.70999999999998"/>
    <x v="0"/>
    <x v="2"/>
    <x v="2"/>
    <s v="Paper"/>
    <x v="0"/>
  </r>
  <r>
    <s v="O1141"/>
    <x v="132"/>
    <s v="C151"/>
    <s v="P056"/>
    <n v="5"/>
    <x v="141"/>
    <n v="0.1"/>
    <n v="155.34"/>
    <x v="3"/>
    <x v="2"/>
    <x v="2"/>
    <s v="Paper"/>
    <x v="0"/>
  </r>
  <r>
    <s v="O1142"/>
    <x v="133"/>
    <s v="C054"/>
    <s v="P100"/>
    <n v="4"/>
    <x v="142"/>
    <n v="0.2"/>
    <n v="50.45"/>
    <x v="3"/>
    <x v="0"/>
    <x v="0"/>
    <s v="Phone"/>
    <x v="0"/>
  </r>
  <r>
    <s v="O1143"/>
    <x v="134"/>
    <s v="C028"/>
    <s v="P054"/>
    <n v="4"/>
    <x v="143"/>
    <n v="0"/>
    <n v="21.06"/>
    <x v="2"/>
    <x v="1"/>
    <x v="1"/>
    <s v="Shelf"/>
    <x v="1"/>
  </r>
  <r>
    <s v="O1144"/>
    <x v="135"/>
    <s v="C057"/>
    <s v="P076"/>
    <n v="4"/>
    <x v="144"/>
    <n v="0.3"/>
    <n v="68.34"/>
    <x v="0"/>
    <x v="0"/>
    <x v="1"/>
    <s v="Shelf"/>
    <x v="0"/>
  </r>
  <r>
    <s v="O1145"/>
    <x v="136"/>
    <s v="C168"/>
    <s v="P052"/>
    <n v="4"/>
    <x v="145"/>
    <n v="0.1"/>
    <n v="45.16"/>
    <x v="3"/>
    <x v="0"/>
    <x v="1"/>
    <s v="Chair"/>
    <x v="0"/>
  </r>
  <r>
    <s v="O1146"/>
    <x v="137"/>
    <s v="C058"/>
    <s v="P024"/>
    <n v="4"/>
    <x v="146"/>
    <n v="0"/>
    <n v="148.46"/>
    <x v="0"/>
    <x v="2"/>
    <x v="1"/>
    <s v="Desk"/>
    <x v="0"/>
  </r>
  <r>
    <s v="O1147"/>
    <x v="31"/>
    <s v="C095"/>
    <s v="P046"/>
    <n v="3"/>
    <x v="147"/>
    <n v="0.1"/>
    <n v="10.93"/>
    <x v="1"/>
    <x v="2"/>
    <x v="1"/>
    <s v="Chair"/>
    <x v="1"/>
  </r>
  <r>
    <s v="O1148"/>
    <x v="138"/>
    <s v="C023"/>
    <s v="P087"/>
    <n v="2"/>
    <x v="148"/>
    <n v="0.1"/>
    <n v="297.68"/>
    <x v="3"/>
    <x v="2"/>
    <x v="0"/>
    <s v="Phone"/>
    <x v="0"/>
  </r>
  <r>
    <s v="O1149"/>
    <x v="48"/>
    <s v="C131"/>
    <s v="P026"/>
    <n v="4"/>
    <x v="149"/>
    <n v="0.1"/>
    <n v="520.29999999999995"/>
    <x v="2"/>
    <x v="0"/>
    <x v="0"/>
    <s v="Phone"/>
    <x v="1"/>
  </r>
  <r>
    <s v="O1150"/>
    <x v="139"/>
    <s v="C142"/>
    <s v="P043"/>
    <n v="1"/>
    <x v="150"/>
    <n v="0"/>
    <n v="387.88"/>
    <x v="2"/>
    <x v="1"/>
    <x v="1"/>
    <s v="Table"/>
    <x v="0"/>
  </r>
  <r>
    <s v="O1151"/>
    <x v="140"/>
    <s v="C171"/>
    <s v="P009"/>
    <n v="1"/>
    <x v="151"/>
    <n v="0.2"/>
    <n v="116.68"/>
    <x v="2"/>
    <x v="1"/>
    <x v="1"/>
    <s v="Chair"/>
    <x v="0"/>
  </r>
  <r>
    <s v="O1152"/>
    <x v="141"/>
    <s v="C079"/>
    <s v="P087"/>
    <n v="1"/>
    <x v="152"/>
    <n v="0"/>
    <n v="54.61"/>
    <x v="3"/>
    <x v="1"/>
    <x v="0"/>
    <s v="Phone"/>
    <x v="0"/>
  </r>
  <r>
    <s v="O1153"/>
    <x v="142"/>
    <s v="C188"/>
    <s v="P031"/>
    <n v="1"/>
    <x v="153"/>
    <n v="0.1"/>
    <n v="85.99"/>
    <x v="3"/>
    <x v="2"/>
    <x v="2"/>
    <s v="Storage"/>
    <x v="0"/>
  </r>
  <r>
    <s v="O1154"/>
    <x v="143"/>
    <s v="C062"/>
    <s v="P006"/>
    <n v="3"/>
    <x v="154"/>
    <n v="0"/>
    <n v="254.43"/>
    <x v="1"/>
    <x v="2"/>
    <x v="1"/>
    <s v="Chair"/>
    <x v="0"/>
  </r>
  <r>
    <s v="O1155"/>
    <x v="144"/>
    <s v="C079"/>
    <s v="P067"/>
    <n v="1"/>
    <x v="155"/>
    <n v="0.3"/>
    <n v="256.68"/>
    <x v="3"/>
    <x v="1"/>
    <x v="2"/>
    <s v="Binder"/>
    <x v="0"/>
  </r>
  <r>
    <s v="O1156"/>
    <x v="145"/>
    <s v="C113"/>
    <s v="P023"/>
    <n v="4"/>
    <x v="156"/>
    <n v="0.2"/>
    <n v="54.91"/>
    <x v="0"/>
    <x v="1"/>
    <x v="1"/>
    <s v="Shelf"/>
    <x v="1"/>
  </r>
  <r>
    <s v="O1157"/>
    <x v="146"/>
    <s v="C196"/>
    <s v="P077"/>
    <n v="5"/>
    <x v="157"/>
    <n v="0"/>
    <n v="142.38"/>
    <x v="3"/>
    <x v="1"/>
    <x v="0"/>
    <s v="Accessories"/>
    <x v="0"/>
  </r>
  <r>
    <s v="O1158"/>
    <x v="147"/>
    <s v="C195"/>
    <s v="P052"/>
    <n v="1"/>
    <x v="158"/>
    <n v="0.3"/>
    <n v="170.01"/>
    <x v="1"/>
    <x v="2"/>
    <x v="1"/>
    <s v="Chair"/>
    <x v="0"/>
  </r>
  <r>
    <s v="O1159"/>
    <x v="148"/>
    <s v="C161"/>
    <s v="P011"/>
    <n v="3"/>
    <x v="159"/>
    <n v="0.2"/>
    <n v="64.459999999999994"/>
    <x v="3"/>
    <x v="2"/>
    <x v="0"/>
    <s v="Accessories"/>
    <x v="1"/>
  </r>
  <r>
    <s v="O1160"/>
    <x v="149"/>
    <s v="C122"/>
    <s v="P011"/>
    <n v="3"/>
    <x v="160"/>
    <n v="0.3"/>
    <n v="114.78"/>
    <x v="0"/>
    <x v="2"/>
    <x v="0"/>
    <s v="Accessories"/>
    <x v="0"/>
  </r>
  <r>
    <s v="O1161"/>
    <x v="150"/>
    <s v="C179"/>
    <s v="P030"/>
    <n v="1"/>
    <x v="161"/>
    <n v="0.2"/>
    <n v="182.1"/>
    <x v="3"/>
    <x v="1"/>
    <x v="1"/>
    <s v="Shelf"/>
    <x v="0"/>
  </r>
  <r>
    <s v="O1162"/>
    <x v="151"/>
    <s v="C098"/>
    <s v="P026"/>
    <n v="5"/>
    <x v="162"/>
    <n v="0"/>
    <n v="384.1"/>
    <x v="3"/>
    <x v="0"/>
    <x v="0"/>
    <s v="Phone"/>
    <x v="1"/>
  </r>
  <r>
    <s v="O1163"/>
    <x v="152"/>
    <s v="C028"/>
    <s v="P038"/>
    <n v="1"/>
    <x v="163"/>
    <n v="0.3"/>
    <n v="116"/>
    <x v="2"/>
    <x v="1"/>
    <x v="0"/>
    <s v="Accessories"/>
    <x v="1"/>
  </r>
  <r>
    <s v="O1164"/>
    <x v="23"/>
    <s v="C121"/>
    <s v="P073"/>
    <n v="3"/>
    <x v="164"/>
    <n v="0.1"/>
    <n v="91.98"/>
    <x v="0"/>
    <x v="2"/>
    <x v="1"/>
    <s v="Table"/>
    <x v="0"/>
  </r>
  <r>
    <s v="O1165"/>
    <x v="153"/>
    <s v="C025"/>
    <s v="P088"/>
    <n v="2"/>
    <x v="165"/>
    <n v="0.3"/>
    <n v="36.119999999999997"/>
    <x v="3"/>
    <x v="1"/>
    <x v="0"/>
    <s v="Laptop"/>
    <x v="0"/>
  </r>
  <r>
    <s v="O1166"/>
    <x v="154"/>
    <s v="C091"/>
    <s v="P019"/>
    <n v="4"/>
    <x v="166"/>
    <n v="0.2"/>
    <n v="96.36"/>
    <x v="3"/>
    <x v="1"/>
    <x v="0"/>
    <s v="Phone"/>
    <x v="0"/>
  </r>
  <r>
    <s v="O1167"/>
    <x v="155"/>
    <s v="C143"/>
    <s v="P062"/>
    <n v="3"/>
    <x v="167"/>
    <n v="0"/>
    <n v="64.38"/>
    <x v="0"/>
    <x v="2"/>
    <x v="1"/>
    <s v="Shelf"/>
    <x v="0"/>
  </r>
  <r>
    <s v="O1168"/>
    <x v="156"/>
    <s v="C150"/>
    <s v="P032"/>
    <n v="1"/>
    <x v="168"/>
    <n v="0.2"/>
    <n v="13.3"/>
    <x v="2"/>
    <x v="0"/>
    <x v="2"/>
    <s v="Paper"/>
    <x v="0"/>
  </r>
  <r>
    <s v="O1169"/>
    <x v="157"/>
    <s v="C129"/>
    <s v="P029"/>
    <n v="4"/>
    <x v="169"/>
    <n v="0.3"/>
    <n v="35.46"/>
    <x v="1"/>
    <x v="2"/>
    <x v="1"/>
    <s v="Shelf"/>
    <x v="1"/>
  </r>
  <r>
    <s v="O1170"/>
    <x v="158"/>
    <s v="C066"/>
    <s v="P005"/>
    <n v="1"/>
    <x v="170"/>
    <n v="0.3"/>
    <n v="228.52"/>
    <x v="1"/>
    <x v="0"/>
    <x v="2"/>
    <s v="Paper"/>
    <x v="0"/>
  </r>
  <r>
    <s v="O1171"/>
    <x v="159"/>
    <s v="C108"/>
    <s v="P052"/>
    <n v="1"/>
    <x v="171"/>
    <n v="0.1"/>
    <n v="90.34"/>
    <x v="2"/>
    <x v="0"/>
    <x v="1"/>
    <s v="Chair"/>
    <x v="0"/>
  </r>
  <r>
    <s v="O1172"/>
    <x v="160"/>
    <s v="C153"/>
    <s v="P010"/>
    <n v="2"/>
    <x v="172"/>
    <n v="0"/>
    <n v="151.15"/>
    <x v="2"/>
    <x v="2"/>
    <x v="2"/>
    <s v="Paper"/>
    <x v="0"/>
  </r>
  <r>
    <s v="O1173"/>
    <x v="161"/>
    <s v="C169"/>
    <s v="P037"/>
    <n v="4"/>
    <x v="173"/>
    <n v="0"/>
    <n v="81.95"/>
    <x v="3"/>
    <x v="1"/>
    <x v="2"/>
    <s v="Storage"/>
    <x v="0"/>
  </r>
  <r>
    <s v="O1174"/>
    <x v="162"/>
    <s v="C123"/>
    <s v="P081"/>
    <n v="4"/>
    <x v="174"/>
    <n v="0.3"/>
    <n v="26.93"/>
    <x v="2"/>
    <x v="0"/>
    <x v="2"/>
    <s v="Pen"/>
    <x v="0"/>
  </r>
  <r>
    <s v="O1175"/>
    <x v="163"/>
    <s v="C142"/>
    <s v="P066"/>
    <n v="2"/>
    <x v="175"/>
    <n v="0"/>
    <n v="98.94"/>
    <x v="2"/>
    <x v="1"/>
    <x v="1"/>
    <s v="Desk"/>
    <x v="1"/>
  </r>
  <r>
    <s v="O1176"/>
    <x v="164"/>
    <s v="C096"/>
    <s v="P087"/>
    <n v="3"/>
    <x v="176"/>
    <n v="0.1"/>
    <n v="518.55999999999995"/>
    <x v="0"/>
    <x v="2"/>
    <x v="0"/>
    <s v="Phone"/>
    <x v="1"/>
  </r>
  <r>
    <s v="O1177"/>
    <x v="165"/>
    <s v="C059"/>
    <s v="P055"/>
    <n v="1"/>
    <x v="177"/>
    <n v="0.2"/>
    <n v="432.52"/>
    <x v="1"/>
    <x v="2"/>
    <x v="2"/>
    <s v="Binder"/>
    <x v="0"/>
  </r>
  <r>
    <s v="O1178"/>
    <x v="166"/>
    <s v="C196"/>
    <s v="P035"/>
    <n v="5"/>
    <x v="178"/>
    <n v="0"/>
    <n v="100.93"/>
    <x v="3"/>
    <x v="1"/>
    <x v="1"/>
    <s v="Chair"/>
    <x v="0"/>
  </r>
  <r>
    <s v="O1179"/>
    <x v="167"/>
    <s v="C087"/>
    <s v="P053"/>
    <n v="1"/>
    <x v="179"/>
    <n v="0.3"/>
    <n v="251.09"/>
    <x v="0"/>
    <x v="1"/>
    <x v="0"/>
    <s v="Accessories"/>
    <x v="0"/>
  </r>
  <r>
    <s v="O1180"/>
    <x v="168"/>
    <s v="C027"/>
    <s v="P100"/>
    <n v="1"/>
    <x v="180"/>
    <n v="0.2"/>
    <n v="50.96"/>
    <x v="3"/>
    <x v="0"/>
    <x v="0"/>
    <s v="Phone"/>
    <x v="0"/>
  </r>
  <r>
    <s v="O1181"/>
    <x v="169"/>
    <s v="C182"/>
    <s v="P021"/>
    <n v="3"/>
    <x v="181"/>
    <n v="0.2"/>
    <n v="339.15"/>
    <x v="1"/>
    <x v="2"/>
    <x v="1"/>
    <s v="Desk"/>
    <x v="0"/>
  </r>
  <r>
    <s v="O1182"/>
    <x v="33"/>
    <s v="C162"/>
    <s v="P096"/>
    <n v="1"/>
    <x v="182"/>
    <n v="0.1"/>
    <n v="164.54"/>
    <x v="1"/>
    <x v="1"/>
    <x v="0"/>
    <s v="Laptop"/>
    <x v="0"/>
  </r>
  <r>
    <s v="O1183"/>
    <x v="107"/>
    <s v="C152"/>
    <s v="P063"/>
    <n v="2"/>
    <x v="183"/>
    <n v="0.3"/>
    <n v="505.7"/>
    <x v="1"/>
    <x v="1"/>
    <x v="2"/>
    <s v="Pen"/>
    <x v="1"/>
  </r>
  <r>
    <s v="O1184"/>
    <x v="160"/>
    <s v="C193"/>
    <s v="P028"/>
    <n v="2"/>
    <x v="184"/>
    <n v="0"/>
    <n v="68.34"/>
    <x v="1"/>
    <x v="2"/>
    <x v="0"/>
    <s v="Laptop"/>
    <x v="1"/>
  </r>
  <r>
    <s v="O1185"/>
    <x v="58"/>
    <s v="C135"/>
    <s v="P083"/>
    <n v="4"/>
    <x v="185"/>
    <n v="0.3"/>
    <n v="115.25"/>
    <x v="1"/>
    <x v="2"/>
    <x v="2"/>
    <s v="Paper"/>
    <x v="0"/>
  </r>
  <r>
    <s v="O1186"/>
    <x v="91"/>
    <s v="C120"/>
    <s v="P078"/>
    <n v="5"/>
    <x v="186"/>
    <n v="0.2"/>
    <n v="71.09"/>
    <x v="1"/>
    <x v="0"/>
    <x v="2"/>
    <s v="Storage"/>
    <x v="0"/>
  </r>
  <r>
    <s v="O1187"/>
    <x v="170"/>
    <s v="C101"/>
    <s v="P064"/>
    <n v="1"/>
    <x v="187"/>
    <n v="0.3"/>
    <n v="213.65"/>
    <x v="1"/>
    <x v="1"/>
    <x v="2"/>
    <s v="Binder"/>
    <x v="0"/>
  </r>
  <r>
    <s v="O1188"/>
    <x v="171"/>
    <s v="C099"/>
    <s v="P046"/>
    <n v="1"/>
    <x v="188"/>
    <n v="0"/>
    <n v="396.83"/>
    <x v="0"/>
    <x v="1"/>
    <x v="1"/>
    <s v="Chair"/>
    <x v="0"/>
  </r>
  <r>
    <s v="O1189"/>
    <x v="172"/>
    <s v="C011"/>
    <s v="P064"/>
    <n v="3"/>
    <x v="189"/>
    <n v="0"/>
    <n v="74.67"/>
    <x v="2"/>
    <x v="0"/>
    <x v="2"/>
    <s v="Binder"/>
    <x v="0"/>
  </r>
  <r>
    <s v="O1190"/>
    <x v="173"/>
    <s v="C153"/>
    <s v="P013"/>
    <n v="2"/>
    <x v="190"/>
    <n v="0.1"/>
    <n v="184.49"/>
    <x v="2"/>
    <x v="2"/>
    <x v="0"/>
    <s v="Laptop"/>
    <x v="0"/>
  </r>
  <r>
    <s v="O1191"/>
    <x v="174"/>
    <s v="C013"/>
    <s v="P070"/>
    <n v="5"/>
    <x v="191"/>
    <n v="0"/>
    <n v="115.87"/>
    <x v="2"/>
    <x v="0"/>
    <x v="2"/>
    <s v="Paper"/>
    <x v="0"/>
  </r>
  <r>
    <s v="O1192"/>
    <x v="175"/>
    <s v="C059"/>
    <s v="P022"/>
    <n v="4"/>
    <x v="192"/>
    <n v="0"/>
    <n v="50.35"/>
    <x v="1"/>
    <x v="2"/>
    <x v="0"/>
    <s v="Tablet"/>
    <x v="1"/>
  </r>
  <r>
    <s v="O1193"/>
    <x v="176"/>
    <s v="C116"/>
    <s v="P006"/>
    <n v="2"/>
    <x v="193"/>
    <n v="0.3"/>
    <n v="240.11"/>
    <x v="2"/>
    <x v="0"/>
    <x v="1"/>
    <s v="Chair"/>
    <x v="0"/>
  </r>
  <r>
    <s v="O1194"/>
    <x v="177"/>
    <s v="C028"/>
    <s v="P058"/>
    <n v="4"/>
    <x v="194"/>
    <n v="0.3"/>
    <n v="195.09"/>
    <x v="2"/>
    <x v="1"/>
    <x v="2"/>
    <s v="Paper"/>
    <x v="0"/>
  </r>
  <r>
    <s v="O1195"/>
    <x v="178"/>
    <s v="C169"/>
    <s v="P019"/>
    <n v="3"/>
    <x v="195"/>
    <n v="0.2"/>
    <n v="487.82"/>
    <x v="3"/>
    <x v="1"/>
    <x v="0"/>
    <s v="Phone"/>
    <x v="1"/>
  </r>
  <r>
    <s v="O1196"/>
    <x v="179"/>
    <s v="C058"/>
    <s v="P092"/>
    <n v="3"/>
    <x v="196"/>
    <n v="0.1"/>
    <n v="214.28"/>
    <x v="0"/>
    <x v="2"/>
    <x v="0"/>
    <s v="Phone"/>
    <x v="0"/>
  </r>
  <r>
    <s v="O1197"/>
    <x v="180"/>
    <s v="C175"/>
    <s v="P080"/>
    <n v="1"/>
    <x v="197"/>
    <n v="0.3"/>
    <n v="179.63"/>
    <x v="0"/>
    <x v="0"/>
    <x v="2"/>
    <s v="Pen"/>
    <x v="0"/>
  </r>
  <r>
    <s v="O1198"/>
    <x v="181"/>
    <s v="C158"/>
    <s v="P042"/>
    <n v="5"/>
    <x v="198"/>
    <n v="0"/>
    <n v="70.58"/>
    <x v="3"/>
    <x v="0"/>
    <x v="0"/>
    <s v="Tablet"/>
    <x v="0"/>
  </r>
  <r>
    <s v="O1199"/>
    <x v="182"/>
    <s v="C092"/>
    <s v="P048"/>
    <n v="4"/>
    <x v="199"/>
    <n v="0.2"/>
    <n v="118.25"/>
    <x v="1"/>
    <x v="1"/>
    <x v="1"/>
    <s v="Table"/>
    <x v="0"/>
  </r>
  <r>
    <s v="O1200"/>
    <x v="183"/>
    <s v="C106"/>
    <s v="P068"/>
    <n v="2"/>
    <x v="200"/>
    <n v="0.3"/>
    <n v="64.400000000000006"/>
    <x v="0"/>
    <x v="1"/>
    <x v="1"/>
    <s v="Table"/>
    <x v="0"/>
  </r>
  <r>
    <s v="O1201"/>
    <x v="184"/>
    <s v="C003"/>
    <s v="P080"/>
    <n v="3"/>
    <x v="201"/>
    <n v="0.1"/>
    <n v="184.01"/>
    <x v="0"/>
    <x v="0"/>
    <x v="2"/>
    <s v="Pen"/>
    <x v="1"/>
  </r>
  <r>
    <s v="O1202"/>
    <x v="185"/>
    <s v="C068"/>
    <s v="P049"/>
    <n v="1"/>
    <x v="202"/>
    <n v="0.1"/>
    <n v="11.6"/>
    <x v="0"/>
    <x v="1"/>
    <x v="2"/>
    <s v="Paper"/>
    <x v="0"/>
  </r>
  <r>
    <s v="O1203"/>
    <x v="186"/>
    <s v="C051"/>
    <s v="P015"/>
    <n v="1"/>
    <x v="203"/>
    <n v="0.2"/>
    <n v="175.5"/>
    <x v="0"/>
    <x v="1"/>
    <x v="0"/>
    <s v="Tablet"/>
    <x v="0"/>
  </r>
  <r>
    <s v="O1204"/>
    <x v="187"/>
    <s v="C093"/>
    <s v="P010"/>
    <n v="4"/>
    <x v="204"/>
    <n v="0.2"/>
    <n v="184.51"/>
    <x v="0"/>
    <x v="1"/>
    <x v="2"/>
    <s v="Paper"/>
    <x v="0"/>
  </r>
  <r>
    <s v="O1205"/>
    <x v="188"/>
    <s v="C108"/>
    <s v="P049"/>
    <n v="3"/>
    <x v="205"/>
    <n v="0.2"/>
    <n v="161"/>
    <x v="2"/>
    <x v="0"/>
    <x v="2"/>
    <s v="Paper"/>
    <x v="0"/>
  </r>
  <r>
    <s v="O1206"/>
    <x v="189"/>
    <s v="C190"/>
    <s v="P008"/>
    <n v="5"/>
    <x v="206"/>
    <n v="0.2"/>
    <n v="208.8"/>
    <x v="0"/>
    <x v="2"/>
    <x v="0"/>
    <s v="Accessories"/>
    <x v="0"/>
  </r>
  <r>
    <s v="O1207"/>
    <x v="85"/>
    <s v="C155"/>
    <s v="P010"/>
    <n v="3"/>
    <x v="207"/>
    <n v="0.2"/>
    <n v="259.69"/>
    <x v="1"/>
    <x v="1"/>
    <x v="2"/>
    <s v="Paper"/>
    <x v="0"/>
  </r>
  <r>
    <s v="O1208"/>
    <x v="28"/>
    <s v="C029"/>
    <s v="P069"/>
    <n v="4"/>
    <x v="208"/>
    <n v="0"/>
    <n v="352.27"/>
    <x v="0"/>
    <x v="2"/>
    <x v="2"/>
    <s v="Pen"/>
    <x v="0"/>
  </r>
  <r>
    <s v="O1209"/>
    <x v="190"/>
    <s v="C124"/>
    <s v="P066"/>
    <n v="4"/>
    <x v="209"/>
    <n v="0"/>
    <n v="349.96"/>
    <x v="3"/>
    <x v="2"/>
    <x v="1"/>
    <s v="Desk"/>
    <x v="0"/>
  </r>
  <r>
    <s v="O1210"/>
    <x v="191"/>
    <s v="C052"/>
    <s v="P010"/>
    <n v="3"/>
    <x v="210"/>
    <n v="0.3"/>
    <n v="39.26"/>
    <x v="2"/>
    <x v="2"/>
    <x v="2"/>
    <s v="Paper"/>
    <x v="0"/>
  </r>
  <r>
    <s v="O1211"/>
    <x v="192"/>
    <s v="C042"/>
    <s v="P044"/>
    <n v="4"/>
    <x v="211"/>
    <n v="0.1"/>
    <n v="143.80000000000001"/>
    <x v="0"/>
    <x v="0"/>
    <x v="1"/>
    <s v="Table"/>
    <x v="0"/>
  </r>
  <r>
    <s v="O1212"/>
    <x v="193"/>
    <s v="C120"/>
    <s v="P037"/>
    <n v="3"/>
    <x v="212"/>
    <n v="0"/>
    <n v="29.55"/>
    <x v="1"/>
    <x v="0"/>
    <x v="2"/>
    <s v="Storage"/>
    <x v="0"/>
  </r>
  <r>
    <s v="O1213"/>
    <x v="194"/>
    <s v="C022"/>
    <s v="P055"/>
    <n v="2"/>
    <x v="213"/>
    <n v="0"/>
    <n v="432.85"/>
    <x v="1"/>
    <x v="2"/>
    <x v="2"/>
    <s v="Binder"/>
    <x v="0"/>
  </r>
  <r>
    <s v="O1214"/>
    <x v="195"/>
    <s v="C012"/>
    <s v="P088"/>
    <n v="3"/>
    <x v="214"/>
    <n v="0"/>
    <n v="69.819999999999993"/>
    <x v="1"/>
    <x v="2"/>
    <x v="0"/>
    <s v="Laptop"/>
    <x v="0"/>
  </r>
  <r>
    <s v="O1215"/>
    <x v="196"/>
    <s v="C045"/>
    <s v="P050"/>
    <n v="3"/>
    <x v="215"/>
    <n v="0.3"/>
    <n v="173.24"/>
    <x v="2"/>
    <x v="0"/>
    <x v="2"/>
    <s v="Pen"/>
    <x v="0"/>
  </r>
  <r>
    <s v="O1216"/>
    <x v="197"/>
    <s v="C010"/>
    <s v="P059"/>
    <n v="4"/>
    <x v="216"/>
    <n v="0.2"/>
    <n v="22.31"/>
    <x v="2"/>
    <x v="2"/>
    <x v="1"/>
    <s v="Table"/>
    <x v="0"/>
  </r>
  <r>
    <s v="O1217"/>
    <x v="193"/>
    <s v="C169"/>
    <s v="P100"/>
    <n v="4"/>
    <x v="217"/>
    <n v="0.3"/>
    <n v="33.97"/>
    <x v="3"/>
    <x v="1"/>
    <x v="0"/>
    <s v="Phone"/>
    <x v="0"/>
  </r>
  <r>
    <s v="O1218"/>
    <x v="198"/>
    <s v="C136"/>
    <s v="P040"/>
    <n v="1"/>
    <x v="218"/>
    <n v="0.1"/>
    <n v="133.06"/>
    <x v="1"/>
    <x v="2"/>
    <x v="2"/>
    <s v="Binder"/>
    <x v="0"/>
  </r>
  <r>
    <s v="O1219"/>
    <x v="10"/>
    <s v="C018"/>
    <s v="P048"/>
    <n v="1"/>
    <x v="219"/>
    <n v="0.1"/>
    <n v="58.24"/>
    <x v="2"/>
    <x v="0"/>
    <x v="1"/>
    <s v="Table"/>
    <x v="0"/>
  </r>
  <r>
    <s v="O1220"/>
    <x v="199"/>
    <s v="C022"/>
    <s v="P071"/>
    <n v="2"/>
    <x v="220"/>
    <n v="0.1"/>
    <n v="18.98"/>
    <x v="1"/>
    <x v="2"/>
    <x v="0"/>
    <s v="Laptop"/>
    <x v="1"/>
  </r>
  <r>
    <s v="O1221"/>
    <x v="200"/>
    <s v="C163"/>
    <s v="P034"/>
    <n v="1"/>
    <x v="221"/>
    <n v="0.1"/>
    <n v="25.68"/>
    <x v="0"/>
    <x v="1"/>
    <x v="2"/>
    <s v="Storage"/>
    <x v="0"/>
  </r>
  <r>
    <s v="O1222"/>
    <x v="201"/>
    <s v="C048"/>
    <s v="P076"/>
    <n v="3"/>
    <x v="222"/>
    <n v="0"/>
    <n v="155.22999999999999"/>
    <x v="2"/>
    <x v="2"/>
    <x v="1"/>
    <s v="Shelf"/>
    <x v="1"/>
  </r>
  <r>
    <s v="O1223"/>
    <x v="202"/>
    <s v="C019"/>
    <s v="P086"/>
    <n v="4"/>
    <x v="223"/>
    <n v="0"/>
    <n v="101.54"/>
    <x v="2"/>
    <x v="0"/>
    <x v="1"/>
    <s v="Shelf"/>
    <x v="1"/>
  </r>
  <r>
    <s v="O1224"/>
    <x v="203"/>
    <s v="C090"/>
    <s v="P039"/>
    <n v="1"/>
    <x v="224"/>
    <n v="0.3"/>
    <n v="213.89"/>
    <x v="2"/>
    <x v="2"/>
    <x v="2"/>
    <s v="Pen"/>
    <x v="0"/>
  </r>
  <r>
    <s v="O1225"/>
    <x v="204"/>
    <s v="C085"/>
    <s v="P095"/>
    <n v="1"/>
    <x v="225"/>
    <n v="0.2"/>
    <n v="64.7"/>
    <x v="2"/>
    <x v="0"/>
    <x v="0"/>
    <s v="Phone"/>
    <x v="0"/>
  </r>
  <r>
    <s v="O1226"/>
    <x v="205"/>
    <s v="C135"/>
    <s v="P090"/>
    <n v="2"/>
    <x v="226"/>
    <n v="0.1"/>
    <n v="195.17"/>
    <x v="1"/>
    <x v="2"/>
    <x v="0"/>
    <s v="Accessories"/>
    <x v="0"/>
  </r>
  <r>
    <s v="O1227"/>
    <x v="206"/>
    <s v="C039"/>
    <s v="P073"/>
    <n v="2"/>
    <x v="227"/>
    <n v="0.3"/>
    <n v="292.61"/>
    <x v="2"/>
    <x v="0"/>
    <x v="1"/>
    <s v="Table"/>
    <x v="0"/>
  </r>
  <r>
    <s v="O1228"/>
    <x v="207"/>
    <s v="C153"/>
    <s v="P079"/>
    <n v="3"/>
    <x v="228"/>
    <n v="0"/>
    <n v="94.24"/>
    <x v="2"/>
    <x v="2"/>
    <x v="1"/>
    <s v="Chair"/>
    <x v="0"/>
  </r>
  <r>
    <s v="O1229"/>
    <x v="165"/>
    <s v="C088"/>
    <s v="P036"/>
    <n v="4"/>
    <x v="229"/>
    <n v="0"/>
    <n v="130.53"/>
    <x v="2"/>
    <x v="1"/>
    <x v="1"/>
    <s v="Shelf"/>
    <x v="0"/>
  </r>
  <r>
    <s v="O1230"/>
    <x v="208"/>
    <s v="C172"/>
    <s v="P041"/>
    <n v="2"/>
    <x v="230"/>
    <n v="0.2"/>
    <n v="48.14"/>
    <x v="1"/>
    <x v="2"/>
    <x v="0"/>
    <s v="Tablet"/>
    <x v="0"/>
  </r>
  <r>
    <s v="O1231"/>
    <x v="141"/>
    <s v="C032"/>
    <s v="P051"/>
    <n v="1"/>
    <x v="231"/>
    <n v="0.2"/>
    <n v="76.02"/>
    <x v="3"/>
    <x v="1"/>
    <x v="0"/>
    <s v="Tablet"/>
    <x v="0"/>
  </r>
  <r>
    <s v="O1232"/>
    <x v="209"/>
    <s v="C110"/>
    <s v="P016"/>
    <n v="4"/>
    <x v="232"/>
    <n v="0.2"/>
    <n v="124.9"/>
    <x v="3"/>
    <x v="0"/>
    <x v="1"/>
    <s v="Chair"/>
    <x v="0"/>
  </r>
  <r>
    <s v="O1233"/>
    <x v="210"/>
    <s v="C116"/>
    <s v="P056"/>
    <n v="4"/>
    <x v="233"/>
    <n v="0.3"/>
    <n v="409.01"/>
    <x v="2"/>
    <x v="0"/>
    <x v="2"/>
    <s v="Paper"/>
    <x v="1"/>
  </r>
  <r>
    <s v="O1234"/>
    <x v="40"/>
    <s v="C027"/>
    <s v="P074"/>
    <n v="1"/>
    <x v="234"/>
    <n v="0"/>
    <n v="32.18"/>
    <x v="3"/>
    <x v="0"/>
    <x v="1"/>
    <s v="Table"/>
    <x v="1"/>
  </r>
  <r>
    <s v="O1235"/>
    <x v="211"/>
    <s v="C100"/>
    <s v="P091"/>
    <n v="2"/>
    <x v="235"/>
    <n v="0"/>
    <n v="24.88"/>
    <x v="2"/>
    <x v="1"/>
    <x v="1"/>
    <s v="Shelf"/>
    <x v="0"/>
  </r>
  <r>
    <s v="O1236"/>
    <x v="212"/>
    <s v="C187"/>
    <s v="P028"/>
    <n v="1"/>
    <x v="236"/>
    <n v="0.2"/>
    <n v="62.08"/>
    <x v="2"/>
    <x v="2"/>
    <x v="0"/>
    <s v="Laptop"/>
    <x v="0"/>
  </r>
  <r>
    <s v="O1237"/>
    <x v="213"/>
    <s v="C043"/>
    <s v="P087"/>
    <n v="4"/>
    <x v="237"/>
    <n v="0.1"/>
    <n v="550.07000000000005"/>
    <x v="3"/>
    <x v="2"/>
    <x v="0"/>
    <s v="Phone"/>
    <x v="1"/>
  </r>
  <r>
    <s v="O1238"/>
    <x v="214"/>
    <s v="C085"/>
    <s v="P077"/>
    <n v="5"/>
    <x v="238"/>
    <n v="0.2"/>
    <n v="183.39"/>
    <x v="2"/>
    <x v="0"/>
    <x v="0"/>
    <s v="Accessories"/>
    <x v="0"/>
  </r>
  <r>
    <s v="O1239"/>
    <x v="215"/>
    <s v="C067"/>
    <s v="P040"/>
    <n v="5"/>
    <x v="239"/>
    <n v="0.3"/>
    <n v="398.04"/>
    <x v="1"/>
    <x v="2"/>
    <x v="2"/>
    <s v="Binder"/>
    <x v="0"/>
  </r>
  <r>
    <s v="O1240"/>
    <x v="216"/>
    <s v="C102"/>
    <s v="P087"/>
    <n v="3"/>
    <x v="240"/>
    <n v="0.2"/>
    <n v="350.09"/>
    <x v="1"/>
    <x v="0"/>
    <x v="0"/>
    <s v="Phone"/>
    <x v="0"/>
  </r>
  <r>
    <s v="O1241"/>
    <x v="217"/>
    <s v="C122"/>
    <s v="P092"/>
    <n v="1"/>
    <x v="241"/>
    <n v="0.2"/>
    <n v="82.41"/>
    <x v="0"/>
    <x v="2"/>
    <x v="0"/>
    <s v="Phone"/>
    <x v="0"/>
  </r>
  <r>
    <s v="O1242"/>
    <x v="146"/>
    <s v="C020"/>
    <s v="P074"/>
    <n v="1"/>
    <x v="242"/>
    <n v="0.3"/>
    <n v="59.41"/>
    <x v="0"/>
    <x v="1"/>
    <x v="1"/>
    <s v="Table"/>
    <x v="0"/>
  </r>
  <r>
    <s v="O1243"/>
    <x v="218"/>
    <s v="C024"/>
    <s v="P012"/>
    <n v="3"/>
    <x v="143"/>
    <n v="0.2"/>
    <n v="40.42"/>
    <x v="2"/>
    <x v="0"/>
    <x v="0"/>
    <s v="Laptop"/>
    <x v="0"/>
  </r>
  <r>
    <s v="O1244"/>
    <x v="219"/>
    <s v="C109"/>
    <s v="P016"/>
    <n v="3"/>
    <x v="243"/>
    <n v="0"/>
    <n v="183"/>
    <x v="0"/>
    <x v="2"/>
    <x v="1"/>
    <s v="Chair"/>
    <x v="0"/>
  </r>
  <r>
    <s v="O1245"/>
    <x v="220"/>
    <s v="C142"/>
    <s v="P076"/>
    <n v="3"/>
    <x v="244"/>
    <n v="0.1"/>
    <n v="233.15"/>
    <x v="2"/>
    <x v="1"/>
    <x v="1"/>
    <s v="Shelf"/>
    <x v="0"/>
  </r>
  <r>
    <s v="O1246"/>
    <x v="221"/>
    <s v="C029"/>
    <s v="P081"/>
    <n v="4"/>
    <x v="245"/>
    <n v="0.2"/>
    <n v="246.34"/>
    <x v="0"/>
    <x v="2"/>
    <x v="2"/>
    <s v="Pen"/>
    <x v="0"/>
  </r>
  <r>
    <s v="O1247"/>
    <x v="222"/>
    <s v="C061"/>
    <s v="P092"/>
    <n v="1"/>
    <x v="246"/>
    <n v="0.3"/>
    <n v="99.65"/>
    <x v="2"/>
    <x v="1"/>
    <x v="0"/>
    <s v="Phone"/>
    <x v="0"/>
  </r>
  <r>
    <s v="O1248"/>
    <x v="223"/>
    <s v="C074"/>
    <s v="P091"/>
    <n v="4"/>
    <x v="247"/>
    <n v="0.1"/>
    <n v="40.04"/>
    <x v="2"/>
    <x v="1"/>
    <x v="1"/>
    <s v="Shelf"/>
    <x v="1"/>
  </r>
  <r>
    <s v="O1249"/>
    <x v="198"/>
    <s v="C141"/>
    <s v="P096"/>
    <n v="3"/>
    <x v="248"/>
    <n v="0.3"/>
    <n v="178.28"/>
    <x v="1"/>
    <x v="2"/>
    <x v="0"/>
    <s v="Laptop"/>
    <x v="0"/>
  </r>
  <r>
    <s v="O1250"/>
    <x v="224"/>
    <s v="C181"/>
    <s v="P057"/>
    <n v="1"/>
    <x v="249"/>
    <n v="0.1"/>
    <n v="206.36"/>
    <x v="2"/>
    <x v="1"/>
    <x v="0"/>
    <s v="Laptop"/>
    <x v="0"/>
  </r>
  <r>
    <s v="O1251"/>
    <x v="225"/>
    <s v="C197"/>
    <s v="P089"/>
    <n v="4"/>
    <x v="250"/>
    <n v="0.1"/>
    <n v="115.41"/>
    <x v="3"/>
    <x v="1"/>
    <x v="0"/>
    <s v="Phone"/>
    <x v="0"/>
  </r>
  <r>
    <s v="O1252"/>
    <x v="180"/>
    <s v="C113"/>
    <s v="P058"/>
    <n v="4"/>
    <x v="251"/>
    <n v="0.2"/>
    <n v="488.74"/>
    <x v="0"/>
    <x v="1"/>
    <x v="2"/>
    <s v="Paper"/>
    <x v="0"/>
  </r>
  <r>
    <s v="O1253"/>
    <x v="5"/>
    <s v="C049"/>
    <s v="P005"/>
    <n v="3"/>
    <x v="252"/>
    <n v="0"/>
    <n v="292.08"/>
    <x v="1"/>
    <x v="0"/>
    <x v="2"/>
    <s v="Paper"/>
    <x v="1"/>
  </r>
  <r>
    <s v="O1254"/>
    <x v="226"/>
    <s v="C124"/>
    <s v="P016"/>
    <n v="1"/>
    <x v="253"/>
    <n v="0.2"/>
    <n v="255.06"/>
    <x v="3"/>
    <x v="2"/>
    <x v="1"/>
    <s v="Chair"/>
    <x v="0"/>
  </r>
  <r>
    <s v="O1255"/>
    <x v="227"/>
    <s v="C036"/>
    <s v="P065"/>
    <n v="3"/>
    <x v="254"/>
    <n v="0.3"/>
    <n v="135.31"/>
    <x v="0"/>
    <x v="0"/>
    <x v="1"/>
    <s v="Chair"/>
    <x v="0"/>
  </r>
  <r>
    <s v="O1256"/>
    <x v="228"/>
    <s v="C116"/>
    <s v="P073"/>
    <n v="1"/>
    <x v="255"/>
    <n v="0.3"/>
    <n v="306.73"/>
    <x v="2"/>
    <x v="0"/>
    <x v="1"/>
    <s v="Table"/>
    <x v="0"/>
  </r>
  <r>
    <s v="O1257"/>
    <x v="229"/>
    <s v="C199"/>
    <s v="P066"/>
    <n v="5"/>
    <x v="256"/>
    <n v="0.1"/>
    <n v="96.82"/>
    <x v="0"/>
    <x v="2"/>
    <x v="1"/>
    <s v="Desk"/>
    <x v="1"/>
  </r>
  <r>
    <s v="O1258"/>
    <x v="230"/>
    <s v="C050"/>
    <s v="P098"/>
    <n v="2"/>
    <x v="257"/>
    <n v="0.1"/>
    <n v="49.56"/>
    <x v="0"/>
    <x v="0"/>
    <x v="1"/>
    <s v="Shelf"/>
    <x v="0"/>
  </r>
  <r>
    <s v="O1259"/>
    <x v="121"/>
    <s v="C123"/>
    <s v="P100"/>
    <n v="2"/>
    <x v="258"/>
    <n v="0"/>
    <n v="113.92"/>
    <x v="2"/>
    <x v="0"/>
    <x v="0"/>
    <s v="Phone"/>
    <x v="0"/>
  </r>
  <r>
    <s v="O1260"/>
    <x v="231"/>
    <s v="C167"/>
    <s v="P010"/>
    <n v="2"/>
    <x v="259"/>
    <n v="0.2"/>
    <n v="111.71"/>
    <x v="2"/>
    <x v="0"/>
    <x v="2"/>
    <s v="Paper"/>
    <x v="1"/>
  </r>
  <r>
    <s v="O1261"/>
    <x v="232"/>
    <s v="C073"/>
    <s v="P030"/>
    <n v="3"/>
    <x v="260"/>
    <n v="0.3"/>
    <n v="62.42"/>
    <x v="2"/>
    <x v="1"/>
    <x v="1"/>
    <s v="Shelf"/>
    <x v="0"/>
  </r>
  <r>
    <s v="O1262"/>
    <x v="233"/>
    <s v="C038"/>
    <s v="P012"/>
    <n v="5"/>
    <x v="261"/>
    <n v="0.1"/>
    <n v="233.19"/>
    <x v="0"/>
    <x v="0"/>
    <x v="0"/>
    <s v="Laptop"/>
    <x v="0"/>
  </r>
  <r>
    <s v="O1263"/>
    <x v="234"/>
    <s v="C067"/>
    <s v="P029"/>
    <n v="1"/>
    <x v="262"/>
    <n v="0"/>
    <n v="265.61"/>
    <x v="1"/>
    <x v="2"/>
    <x v="1"/>
    <s v="Shelf"/>
    <x v="1"/>
  </r>
  <r>
    <s v="O1264"/>
    <x v="235"/>
    <s v="C118"/>
    <s v="P033"/>
    <n v="4"/>
    <x v="263"/>
    <n v="0.3"/>
    <n v="129.09"/>
    <x v="3"/>
    <x v="0"/>
    <x v="1"/>
    <s v="Table"/>
    <x v="1"/>
  </r>
  <r>
    <s v="O1265"/>
    <x v="149"/>
    <s v="C116"/>
    <s v="P056"/>
    <n v="1"/>
    <x v="264"/>
    <n v="0.1"/>
    <n v="76.86"/>
    <x v="2"/>
    <x v="0"/>
    <x v="2"/>
    <s v="Paper"/>
    <x v="1"/>
  </r>
  <r>
    <s v="O1266"/>
    <x v="236"/>
    <s v="C178"/>
    <s v="P076"/>
    <n v="4"/>
    <x v="265"/>
    <n v="0.3"/>
    <n v="179.3"/>
    <x v="2"/>
    <x v="0"/>
    <x v="1"/>
    <s v="Shelf"/>
    <x v="0"/>
  </r>
  <r>
    <s v="O1267"/>
    <x v="130"/>
    <s v="C091"/>
    <s v="P023"/>
    <n v="1"/>
    <x v="266"/>
    <n v="0"/>
    <n v="82.51"/>
    <x v="3"/>
    <x v="1"/>
    <x v="1"/>
    <s v="Shelf"/>
    <x v="1"/>
  </r>
  <r>
    <s v="O1268"/>
    <x v="237"/>
    <s v="C029"/>
    <s v="P006"/>
    <n v="5"/>
    <x v="267"/>
    <n v="0"/>
    <n v="94.94"/>
    <x v="0"/>
    <x v="2"/>
    <x v="1"/>
    <s v="Chair"/>
    <x v="0"/>
  </r>
  <r>
    <s v="O1269"/>
    <x v="238"/>
    <s v="C078"/>
    <s v="P056"/>
    <n v="4"/>
    <x v="268"/>
    <n v="0.3"/>
    <n v="40.53"/>
    <x v="2"/>
    <x v="2"/>
    <x v="2"/>
    <s v="Paper"/>
    <x v="0"/>
  </r>
  <r>
    <s v="O1270"/>
    <x v="239"/>
    <s v="C177"/>
    <s v="P096"/>
    <n v="3"/>
    <x v="269"/>
    <n v="0.2"/>
    <n v="430.01"/>
    <x v="0"/>
    <x v="0"/>
    <x v="0"/>
    <s v="Laptop"/>
    <x v="0"/>
  </r>
  <r>
    <s v="O1271"/>
    <x v="14"/>
    <s v="C008"/>
    <s v="P058"/>
    <n v="1"/>
    <x v="270"/>
    <n v="0.3"/>
    <n v="102.41"/>
    <x v="1"/>
    <x v="2"/>
    <x v="2"/>
    <s v="Paper"/>
    <x v="1"/>
  </r>
  <r>
    <s v="O1272"/>
    <x v="240"/>
    <s v="C192"/>
    <s v="P005"/>
    <n v="1"/>
    <x v="271"/>
    <n v="0.1"/>
    <n v="189.95"/>
    <x v="1"/>
    <x v="0"/>
    <x v="2"/>
    <s v="Paper"/>
    <x v="0"/>
  </r>
  <r>
    <s v="O1273"/>
    <x v="241"/>
    <s v="C173"/>
    <s v="P094"/>
    <n v="4"/>
    <x v="272"/>
    <n v="0.2"/>
    <n v="239.96"/>
    <x v="1"/>
    <x v="0"/>
    <x v="1"/>
    <s v="Table"/>
    <x v="0"/>
  </r>
  <r>
    <s v="O1274"/>
    <x v="242"/>
    <s v="C062"/>
    <s v="P055"/>
    <n v="3"/>
    <x v="273"/>
    <n v="0.1"/>
    <n v="423.4"/>
    <x v="1"/>
    <x v="2"/>
    <x v="2"/>
    <s v="Binder"/>
    <x v="0"/>
  </r>
  <r>
    <s v="O1275"/>
    <x v="243"/>
    <s v="C046"/>
    <s v="P092"/>
    <n v="3"/>
    <x v="274"/>
    <n v="0.3"/>
    <n v="231.74"/>
    <x v="1"/>
    <x v="2"/>
    <x v="0"/>
    <s v="Phone"/>
    <x v="0"/>
  </r>
  <r>
    <s v="O1276"/>
    <x v="244"/>
    <s v="C189"/>
    <s v="P017"/>
    <n v="5"/>
    <x v="275"/>
    <n v="0.2"/>
    <n v="381.96"/>
    <x v="0"/>
    <x v="2"/>
    <x v="2"/>
    <s v="Pen"/>
    <x v="1"/>
  </r>
  <r>
    <s v="O1277"/>
    <x v="245"/>
    <s v="C185"/>
    <s v="P083"/>
    <n v="3"/>
    <x v="276"/>
    <n v="0.1"/>
    <n v="56.77"/>
    <x v="1"/>
    <x v="2"/>
    <x v="2"/>
    <s v="Paper"/>
    <x v="0"/>
  </r>
  <r>
    <s v="O1278"/>
    <x v="65"/>
    <s v="C100"/>
    <s v="P073"/>
    <n v="3"/>
    <x v="277"/>
    <n v="0.3"/>
    <n v="132.75"/>
    <x v="2"/>
    <x v="1"/>
    <x v="1"/>
    <s v="Table"/>
    <x v="0"/>
  </r>
  <r>
    <s v="O1279"/>
    <x v="212"/>
    <s v="C147"/>
    <s v="P079"/>
    <n v="3"/>
    <x v="278"/>
    <n v="0.3"/>
    <n v="277.41000000000003"/>
    <x v="3"/>
    <x v="2"/>
    <x v="1"/>
    <s v="Chair"/>
    <x v="0"/>
  </r>
  <r>
    <s v="O1280"/>
    <x v="246"/>
    <s v="C136"/>
    <s v="P055"/>
    <n v="2"/>
    <x v="279"/>
    <n v="0.2"/>
    <n v="474.94"/>
    <x v="1"/>
    <x v="2"/>
    <x v="2"/>
    <s v="Binder"/>
    <x v="0"/>
  </r>
  <r>
    <s v="O1281"/>
    <x v="247"/>
    <s v="C090"/>
    <s v="P047"/>
    <n v="5"/>
    <x v="280"/>
    <n v="0.3"/>
    <n v="403.49"/>
    <x v="2"/>
    <x v="2"/>
    <x v="2"/>
    <s v="Pen"/>
    <x v="0"/>
  </r>
  <r>
    <s v="O1282"/>
    <x v="248"/>
    <s v="C132"/>
    <s v="P040"/>
    <n v="1"/>
    <x v="281"/>
    <n v="0"/>
    <n v="325.07"/>
    <x v="1"/>
    <x v="0"/>
    <x v="2"/>
    <s v="Binder"/>
    <x v="1"/>
  </r>
  <r>
    <s v="O1283"/>
    <x v="249"/>
    <s v="C132"/>
    <s v="P016"/>
    <n v="4"/>
    <x v="282"/>
    <n v="0.1"/>
    <n v="339.46"/>
    <x v="1"/>
    <x v="0"/>
    <x v="1"/>
    <s v="Chair"/>
    <x v="0"/>
  </r>
  <r>
    <s v="O1284"/>
    <x v="250"/>
    <s v="C079"/>
    <s v="P069"/>
    <n v="1"/>
    <x v="283"/>
    <n v="0.1"/>
    <n v="29.4"/>
    <x v="3"/>
    <x v="1"/>
    <x v="2"/>
    <s v="Pen"/>
    <x v="0"/>
  </r>
  <r>
    <s v="O1285"/>
    <x v="251"/>
    <s v="C083"/>
    <s v="P046"/>
    <n v="5"/>
    <x v="284"/>
    <n v="0.3"/>
    <n v="151.82"/>
    <x v="1"/>
    <x v="0"/>
    <x v="1"/>
    <s v="Chair"/>
    <x v="1"/>
  </r>
  <r>
    <s v="O1286"/>
    <x v="252"/>
    <s v="C153"/>
    <s v="P070"/>
    <n v="4"/>
    <x v="285"/>
    <n v="0.3"/>
    <n v="253.11"/>
    <x v="2"/>
    <x v="2"/>
    <x v="2"/>
    <s v="Paper"/>
    <x v="0"/>
  </r>
  <r>
    <s v="O1287"/>
    <x v="140"/>
    <s v="C104"/>
    <s v="P049"/>
    <n v="5"/>
    <x v="286"/>
    <n v="0"/>
    <n v="392.97"/>
    <x v="0"/>
    <x v="1"/>
    <x v="2"/>
    <s v="Paper"/>
    <x v="0"/>
  </r>
  <r>
    <s v="O1288"/>
    <x v="253"/>
    <s v="C057"/>
    <s v="P044"/>
    <n v="3"/>
    <x v="287"/>
    <n v="0.2"/>
    <n v="25.3"/>
    <x v="0"/>
    <x v="0"/>
    <x v="1"/>
    <s v="Table"/>
    <x v="0"/>
  </r>
  <r>
    <s v="O1289"/>
    <x v="254"/>
    <s v="C115"/>
    <s v="P058"/>
    <n v="4"/>
    <x v="288"/>
    <n v="0.3"/>
    <n v="36"/>
    <x v="1"/>
    <x v="1"/>
    <x v="2"/>
    <s v="Paper"/>
    <x v="1"/>
  </r>
  <r>
    <s v="O1290"/>
    <x v="255"/>
    <s v="C054"/>
    <s v="P008"/>
    <n v="3"/>
    <x v="289"/>
    <n v="0.3"/>
    <n v="69.75"/>
    <x v="3"/>
    <x v="0"/>
    <x v="0"/>
    <s v="Accessories"/>
    <x v="0"/>
  </r>
  <r>
    <s v="O1291"/>
    <x v="256"/>
    <s v="C029"/>
    <s v="P007"/>
    <n v="1"/>
    <x v="290"/>
    <n v="0.3"/>
    <n v="375.16"/>
    <x v="0"/>
    <x v="2"/>
    <x v="1"/>
    <s v="Desk"/>
    <x v="0"/>
  </r>
  <r>
    <s v="O1292"/>
    <x v="257"/>
    <s v="C025"/>
    <s v="P092"/>
    <n v="1"/>
    <x v="291"/>
    <n v="0.3"/>
    <n v="240.68"/>
    <x v="3"/>
    <x v="1"/>
    <x v="0"/>
    <s v="Phone"/>
    <x v="0"/>
  </r>
  <r>
    <s v="O1293"/>
    <x v="107"/>
    <s v="C007"/>
    <s v="P051"/>
    <n v="4"/>
    <x v="292"/>
    <n v="0.1"/>
    <n v="42"/>
    <x v="1"/>
    <x v="2"/>
    <x v="0"/>
    <s v="Tablet"/>
    <x v="1"/>
  </r>
  <r>
    <s v="O1294"/>
    <x v="187"/>
    <s v="C073"/>
    <s v="P036"/>
    <n v="4"/>
    <x v="293"/>
    <n v="0.3"/>
    <n v="105.23"/>
    <x v="2"/>
    <x v="1"/>
    <x v="1"/>
    <s v="Shelf"/>
    <x v="0"/>
  </r>
  <r>
    <s v="O1295"/>
    <x v="258"/>
    <s v="C195"/>
    <s v="P068"/>
    <n v="5"/>
    <x v="294"/>
    <n v="0.1"/>
    <n v="185.64"/>
    <x v="1"/>
    <x v="2"/>
    <x v="1"/>
    <s v="Table"/>
    <x v="0"/>
  </r>
  <r>
    <s v="O1296"/>
    <x v="259"/>
    <s v="C091"/>
    <s v="P080"/>
    <n v="5"/>
    <x v="295"/>
    <n v="0.3"/>
    <n v="186.5"/>
    <x v="3"/>
    <x v="1"/>
    <x v="2"/>
    <s v="Pen"/>
    <x v="0"/>
  </r>
  <r>
    <s v="O1297"/>
    <x v="260"/>
    <s v="C054"/>
    <s v="P077"/>
    <n v="3"/>
    <x v="296"/>
    <n v="0.2"/>
    <n v="238.14"/>
    <x v="3"/>
    <x v="0"/>
    <x v="0"/>
    <s v="Accessories"/>
    <x v="0"/>
  </r>
  <r>
    <s v="O1298"/>
    <x v="261"/>
    <s v="C028"/>
    <s v="P094"/>
    <n v="4"/>
    <x v="297"/>
    <n v="0"/>
    <n v="244.62"/>
    <x v="2"/>
    <x v="1"/>
    <x v="1"/>
    <s v="Table"/>
    <x v="1"/>
  </r>
  <r>
    <s v="O1299"/>
    <x v="262"/>
    <s v="C065"/>
    <s v="P048"/>
    <n v="1"/>
    <x v="298"/>
    <n v="0.2"/>
    <n v="238.78"/>
    <x v="0"/>
    <x v="0"/>
    <x v="1"/>
    <s v="Table"/>
    <x v="1"/>
  </r>
  <r>
    <s v="O1300"/>
    <x v="76"/>
    <s v="C131"/>
    <s v="P005"/>
    <n v="5"/>
    <x v="299"/>
    <n v="0.3"/>
    <n v="93.56"/>
    <x v="2"/>
    <x v="0"/>
    <x v="2"/>
    <s v="Paper"/>
    <x v="0"/>
  </r>
  <r>
    <s v="O1301"/>
    <x v="263"/>
    <s v="C116"/>
    <s v="P051"/>
    <n v="5"/>
    <x v="300"/>
    <n v="0.3"/>
    <n v="300.43"/>
    <x v="2"/>
    <x v="0"/>
    <x v="0"/>
    <s v="Tablet"/>
    <x v="0"/>
  </r>
  <r>
    <s v="O1302"/>
    <x v="264"/>
    <s v="C145"/>
    <s v="P012"/>
    <n v="1"/>
    <x v="301"/>
    <n v="0.3"/>
    <n v="142.33000000000001"/>
    <x v="1"/>
    <x v="2"/>
    <x v="0"/>
    <s v="Laptop"/>
    <x v="0"/>
  </r>
  <r>
    <s v="O1303"/>
    <x v="265"/>
    <s v="C154"/>
    <s v="P076"/>
    <n v="5"/>
    <x v="302"/>
    <n v="0.2"/>
    <n v="294.26"/>
    <x v="3"/>
    <x v="0"/>
    <x v="1"/>
    <s v="Shelf"/>
    <x v="0"/>
  </r>
  <r>
    <s v="O1304"/>
    <x v="266"/>
    <s v="C110"/>
    <s v="P086"/>
    <n v="3"/>
    <x v="303"/>
    <n v="0.3"/>
    <n v="327.54000000000002"/>
    <x v="3"/>
    <x v="0"/>
    <x v="1"/>
    <s v="Shelf"/>
    <x v="0"/>
  </r>
  <r>
    <s v="O1305"/>
    <x v="267"/>
    <s v="C162"/>
    <s v="P071"/>
    <n v="4"/>
    <x v="304"/>
    <n v="0.2"/>
    <n v="146.94"/>
    <x v="1"/>
    <x v="1"/>
    <x v="0"/>
    <s v="Laptop"/>
    <x v="0"/>
  </r>
  <r>
    <s v="O1306"/>
    <x v="268"/>
    <s v="C175"/>
    <s v="P079"/>
    <n v="1"/>
    <x v="305"/>
    <n v="0.1"/>
    <n v="31.31"/>
    <x v="0"/>
    <x v="0"/>
    <x v="1"/>
    <s v="Chair"/>
    <x v="0"/>
  </r>
  <r>
    <s v="O1307"/>
    <x v="269"/>
    <s v="C083"/>
    <s v="P081"/>
    <n v="4"/>
    <x v="306"/>
    <n v="0"/>
    <n v="264.68"/>
    <x v="1"/>
    <x v="0"/>
    <x v="2"/>
    <s v="Pen"/>
    <x v="0"/>
  </r>
  <r>
    <s v="O1308"/>
    <x v="270"/>
    <s v="C115"/>
    <s v="P094"/>
    <n v="5"/>
    <x v="307"/>
    <n v="0"/>
    <n v="15.98"/>
    <x v="1"/>
    <x v="1"/>
    <x v="1"/>
    <s v="Table"/>
    <x v="0"/>
  </r>
  <r>
    <s v="O1309"/>
    <x v="271"/>
    <s v="C126"/>
    <s v="P029"/>
    <n v="5"/>
    <x v="308"/>
    <n v="0.2"/>
    <n v="125.66"/>
    <x v="0"/>
    <x v="2"/>
    <x v="1"/>
    <s v="Shelf"/>
    <x v="0"/>
  </r>
  <r>
    <s v="O1310"/>
    <x v="53"/>
    <s v="C187"/>
    <s v="P043"/>
    <n v="1"/>
    <x v="309"/>
    <n v="0.1"/>
    <n v="83.39"/>
    <x v="2"/>
    <x v="2"/>
    <x v="1"/>
    <s v="Table"/>
    <x v="1"/>
  </r>
  <r>
    <s v="O1311"/>
    <x v="52"/>
    <s v="C118"/>
    <s v="P085"/>
    <n v="3"/>
    <x v="310"/>
    <n v="0.2"/>
    <n v="441.56"/>
    <x v="3"/>
    <x v="0"/>
    <x v="0"/>
    <s v="Tablet"/>
    <x v="0"/>
  </r>
  <r>
    <s v="O1312"/>
    <x v="272"/>
    <s v="C117"/>
    <s v="P015"/>
    <n v="2"/>
    <x v="311"/>
    <n v="0.1"/>
    <n v="37.22"/>
    <x v="1"/>
    <x v="0"/>
    <x v="0"/>
    <s v="Tablet"/>
    <x v="0"/>
  </r>
  <r>
    <s v="O1313"/>
    <x v="6"/>
    <s v="C196"/>
    <s v="P048"/>
    <n v="1"/>
    <x v="312"/>
    <n v="0.3"/>
    <n v="55.17"/>
    <x v="3"/>
    <x v="1"/>
    <x v="1"/>
    <s v="Table"/>
    <x v="0"/>
  </r>
  <r>
    <s v="O1314"/>
    <x v="59"/>
    <s v="C112"/>
    <s v="P057"/>
    <n v="2"/>
    <x v="313"/>
    <n v="0.1"/>
    <n v="328"/>
    <x v="2"/>
    <x v="0"/>
    <x v="0"/>
    <s v="Laptop"/>
    <x v="0"/>
  </r>
  <r>
    <s v="O1315"/>
    <x v="273"/>
    <s v="C112"/>
    <s v="P037"/>
    <n v="2"/>
    <x v="314"/>
    <n v="0.1"/>
    <n v="53.74"/>
    <x v="2"/>
    <x v="0"/>
    <x v="2"/>
    <s v="Storage"/>
    <x v="0"/>
  </r>
  <r>
    <s v="O1316"/>
    <x v="274"/>
    <s v="C057"/>
    <s v="P018"/>
    <n v="3"/>
    <x v="315"/>
    <n v="0.1"/>
    <n v="169.39"/>
    <x v="0"/>
    <x v="0"/>
    <x v="2"/>
    <s v="Storage"/>
    <x v="0"/>
  </r>
  <r>
    <s v="O1317"/>
    <x v="238"/>
    <s v="C091"/>
    <s v="P085"/>
    <n v="2"/>
    <x v="316"/>
    <n v="0"/>
    <n v="104.72"/>
    <x v="3"/>
    <x v="1"/>
    <x v="0"/>
    <s v="Tablet"/>
    <x v="0"/>
  </r>
  <r>
    <s v="O1318"/>
    <x v="48"/>
    <s v="C149"/>
    <s v="P017"/>
    <n v="2"/>
    <x v="317"/>
    <n v="0.1"/>
    <n v="110.26"/>
    <x v="1"/>
    <x v="2"/>
    <x v="2"/>
    <s v="Pen"/>
    <x v="0"/>
  </r>
  <r>
    <s v="O1319"/>
    <x v="275"/>
    <s v="C087"/>
    <s v="P032"/>
    <n v="3"/>
    <x v="318"/>
    <n v="0.3"/>
    <n v="56.93"/>
    <x v="0"/>
    <x v="1"/>
    <x v="2"/>
    <s v="Paper"/>
    <x v="1"/>
  </r>
  <r>
    <s v="O1320"/>
    <x v="276"/>
    <s v="C170"/>
    <s v="P073"/>
    <n v="2"/>
    <x v="319"/>
    <n v="0.3"/>
    <n v="56.16"/>
    <x v="1"/>
    <x v="2"/>
    <x v="1"/>
    <s v="Table"/>
    <x v="0"/>
  </r>
  <r>
    <s v="O1321"/>
    <x v="16"/>
    <s v="C121"/>
    <s v="P080"/>
    <n v="2"/>
    <x v="320"/>
    <n v="0.3"/>
    <n v="441.33"/>
    <x v="0"/>
    <x v="2"/>
    <x v="2"/>
    <s v="Pen"/>
    <x v="0"/>
  </r>
  <r>
    <s v="O1322"/>
    <x v="277"/>
    <s v="C047"/>
    <s v="P021"/>
    <n v="2"/>
    <x v="321"/>
    <n v="0.1"/>
    <n v="59.39"/>
    <x v="0"/>
    <x v="0"/>
    <x v="1"/>
    <s v="Desk"/>
    <x v="0"/>
  </r>
  <r>
    <s v="O1323"/>
    <x v="222"/>
    <s v="C125"/>
    <s v="P077"/>
    <n v="1"/>
    <x v="322"/>
    <n v="0.2"/>
    <n v="18.8"/>
    <x v="0"/>
    <x v="2"/>
    <x v="0"/>
    <s v="Accessories"/>
    <x v="1"/>
  </r>
  <r>
    <s v="O1324"/>
    <x v="278"/>
    <s v="C079"/>
    <s v="P041"/>
    <n v="1"/>
    <x v="323"/>
    <n v="0.2"/>
    <n v="124.93"/>
    <x v="3"/>
    <x v="1"/>
    <x v="0"/>
    <s v="Tablet"/>
    <x v="1"/>
  </r>
  <r>
    <s v="O1325"/>
    <x v="279"/>
    <s v="C125"/>
    <s v="P093"/>
    <n v="1"/>
    <x v="324"/>
    <n v="0.3"/>
    <n v="21.21"/>
    <x v="0"/>
    <x v="2"/>
    <x v="2"/>
    <s v="Storage"/>
    <x v="0"/>
  </r>
  <r>
    <s v="O1326"/>
    <x v="23"/>
    <s v="C137"/>
    <s v="P071"/>
    <n v="3"/>
    <x v="325"/>
    <n v="0"/>
    <n v="427.03"/>
    <x v="1"/>
    <x v="2"/>
    <x v="0"/>
    <s v="Laptop"/>
    <x v="0"/>
  </r>
  <r>
    <s v="O1327"/>
    <x v="280"/>
    <s v="C103"/>
    <s v="P044"/>
    <n v="5"/>
    <x v="326"/>
    <n v="0.2"/>
    <n v="43.83"/>
    <x v="3"/>
    <x v="1"/>
    <x v="1"/>
    <s v="Table"/>
    <x v="1"/>
  </r>
  <r>
    <s v="O1328"/>
    <x v="281"/>
    <s v="C049"/>
    <s v="P036"/>
    <n v="2"/>
    <x v="327"/>
    <n v="0.1"/>
    <n v="559.70000000000005"/>
    <x v="1"/>
    <x v="0"/>
    <x v="1"/>
    <s v="Shelf"/>
    <x v="0"/>
  </r>
  <r>
    <s v="O1329"/>
    <x v="282"/>
    <s v="C051"/>
    <s v="P099"/>
    <n v="2"/>
    <x v="328"/>
    <n v="0.2"/>
    <n v="81.069999999999993"/>
    <x v="0"/>
    <x v="1"/>
    <x v="1"/>
    <s v="Desk"/>
    <x v="0"/>
  </r>
  <r>
    <s v="O1330"/>
    <x v="283"/>
    <s v="C059"/>
    <s v="P091"/>
    <n v="3"/>
    <x v="329"/>
    <n v="0.3"/>
    <n v="169.76"/>
    <x v="1"/>
    <x v="2"/>
    <x v="1"/>
    <s v="Shelf"/>
    <x v="0"/>
  </r>
  <r>
    <s v="O1331"/>
    <x v="284"/>
    <s v="C158"/>
    <s v="P026"/>
    <n v="2"/>
    <x v="330"/>
    <n v="0"/>
    <n v="71.47"/>
    <x v="3"/>
    <x v="0"/>
    <x v="0"/>
    <s v="Phone"/>
    <x v="0"/>
  </r>
  <r>
    <s v="O1332"/>
    <x v="154"/>
    <s v="C088"/>
    <s v="P093"/>
    <n v="1"/>
    <x v="331"/>
    <n v="0.2"/>
    <n v="184.54"/>
    <x v="2"/>
    <x v="1"/>
    <x v="2"/>
    <s v="Storage"/>
    <x v="0"/>
  </r>
  <r>
    <s v="O1333"/>
    <x v="285"/>
    <s v="C141"/>
    <s v="P086"/>
    <n v="5"/>
    <x v="332"/>
    <n v="0.2"/>
    <n v="332.82"/>
    <x v="1"/>
    <x v="2"/>
    <x v="1"/>
    <s v="Shelf"/>
    <x v="0"/>
  </r>
  <r>
    <s v="O1334"/>
    <x v="286"/>
    <s v="C185"/>
    <s v="P075"/>
    <n v="4"/>
    <x v="333"/>
    <n v="0.3"/>
    <n v="366"/>
    <x v="1"/>
    <x v="2"/>
    <x v="2"/>
    <s v="Pen"/>
    <x v="0"/>
  </r>
  <r>
    <s v="O1335"/>
    <x v="287"/>
    <s v="C183"/>
    <s v="P076"/>
    <n v="2"/>
    <x v="334"/>
    <n v="0"/>
    <n v="79.069999999999993"/>
    <x v="1"/>
    <x v="1"/>
    <x v="1"/>
    <s v="Shelf"/>
    <x v="0"/>
  </r>
  <r>
    <s v="O1336"/>
    <x v="288"/>
    <s v="C086"/>
    <s v="P093"/>
    <n v="1"/>
    <x v="335"/>
    <n v="0"/>
    <n v="87.2"/>
    <x v="3"/>
    <x v="1"/>
    <x v="2"/>
    <s v="Storage"/>
    <x v="0"/>
  </r>
  <r>
    <s v="O1337"/>
    <x v="127"/>
    <s v="C100"/>
    <s v="P087"/>
    <n v="4"/>
    <x v="336"/>
    <n v="0.3"/>
    <n v="410.85"/>
    <x v="2"/>
    <x v="1"/>
    <x v="0"/>
    <s v="Phone"/>
    <x v="1"/>
  </r>
  <r>
    <s v="O1338"/>
    <x v="178"/>
    <s v="C063"/>
    <s v="P036"/>
    <n v="5"/>
    <x v="337"/>
    <n v="0.1"/>
    <n v="235.39"/>
    <x v="0"/>
    <x v="0"/>
    <x v="1"/>
    <s v="Shelf"/>
    <x v="0"/>
  </r>
  <r>
    <s v="O1339"/>
    <x v="289"/>
    <s v="C053"/>
    <s v="P048"/>
    <n v="4"/>
    <x v="338"/>
    <n v="0.2"/>
    <n v="175.45"/>
    <x v="0"/>
    <x v="2"/>
    <x v="1"/>
    <s v="Table"/>
    <x v="0"/>
  </r>
  <r>
    <s v="O1340"/>
    <x v="290"/>
    <s v="C125"/>
    <s v="P082"/>
    <n v="1"/>
    <x v="339"/>
    <n v="0.1"/>
    <n v="202.5"/>
    <x v="0"/>
    <x v="2"/>
    <x v="0"/>
    <s v="Accessories"/>
    <x v="0"/>
  </r>
  <r>
    <s v="O1341"/>
    <x v="291"/>
    <s v="C056"/>
    <s v="P058"/>
    <n v="4"/>
    <x v="340"/>
    <n v="0.2"/>
    <n v="119.08"/>
    <x v="1"/>
    <x v="2"/>
    <x v="2"/>
    <s v="Paper"/>
    <x v="0"/>
  </r>
  <r>
    <s v="O1342"/>
    <x v="292"/>
    <s v="C064"/>
    <s v="P034"/>
    <n v="3"/>
    <x v="341"/>
    <n v="0.2"/>
    <n v="409.46"/>
    <x v="0"/>
    <x v="0"/>
    <x v="2"/>
    <s v="Storage"/>
    <x v="0"/>
  </r>
  <r>
    <s v="O1343"/>
    <x v="190"/>
    <s v="C183"/>
    <s v="P046"/>
    <n v="4"/>
    <x v="342"/>
    <n v="0.1"/>
    <n v="24.88"/>
    <x v="1"/>
    <x v="1"/>
    <x v="1"/>
    <s v="Chair"/>
    <x v="1"/>
  </r>
  <r>
    <s v="O1344"/>
    <x v="44"/>
    <s v="C035"/>
    <s v="P078"/>
    <n v="2"/>
    <x v="130"/>
    <n v="0.3"/>
    <n v="254.62"/>
    <x v="1"/>
    <x v="1"/>
    <x v="2"/>
    <s v="Storage"/>
    <x v="0"/>
  </r>
  <r>
    <s v="O1345"/>
    <x v="293"/>
    <s v="C122"/>
    <s v="P096"/>
    <n v="2"/>
    <x v="343"/>
    <n v="0.3"/>
    <n v="209.54"/>
    <x v="0"/>
    <x v="2"/>
    <x v="0"/>
    <s v="Laptop"/>
    <x v="0"/>
  </r>
  <r>
    <s v="O1346"/>
    <x v="294"/>
    <s v="C090"/>
    <s v="P072"/>
    <n v="3"/>
    <x v="344"/>
    <n v="0.2"/>
    <n v="100.4"/>
    <x v="2"/>
    <x v="2"/>
    <x v="1"/>
    <s v="Chair"/>
    <x v="0"/>
  </r>
  <r>
    <s v="O1347"/>
    <x v="295"/>
    <s v="C001"/>
    <s v="P011"/>
    <n v="1"/>
    <x v="345"/>
    <n v="0.3"/>
    <n v="31.62"/>
    <x v="3"/>
    <x v="0"/>
    <x v="0"/>
    <s v="Accessories"/>
    <x v="1"/>
  </r>
  <r>
    <s v="O1348"/>
    <x v="18"/>
    <s v="C077"/>
    <s v="P059"/>
    <n v="2"/>
    <x v="346"/>
    <n v="0.2"/>
    <n v="202.43"/>
    <x v="1"/>
    <x v="1"/>
    <x v="1"/>
    <s v="Table"/>
    <x v="0"/>
  </r>
  <r>
    <s v="O1349"/>
    <x v="296"/>
    <s v="C200"/>
    <s v="P078"/>
    <n v="5"/>
    <x v="347"/>
    <n v="0.3"/>
    <n v="108.22"/>
    <x v="3"/>
    <x v="0"/>
    <x v="2"/>
    <s v="Storage"/>
    <x v="0"/>
  </r>
  <r>
    <s v="O1350"/>
    <x v="297"/>
    <s v="C064"/>
    <s v="P017"/>
    <n v="2"/>
    <x v="348"/>
    <n v="0.2"/>
    <n v="311.58999999999997"/>
    <x v="0"/>
    <x v="0"/>
    <x v="2"/>
    <s v="Pen"/>
    <x v="0"/>
  </r>
  <r>
    <s v="O1351"/>
    <x v="298"/>
    <s v="C074"/>
    <s v="P049"/>
    <n v="2"/>
    <x v="349"/>
    <n v="0.3"/>
    <n v="62.46"/>
    <x v="2"/>
    <x v="1"/>
    <x v="2"/>
    <s v="Paper"/>
    <x v="0"/>
  </r>
  <r>
    <s v="O1352"/>
    <x v="299"/>
    <s v="C139"/>
    <s v="P057"/>
    <n v="1"/>
    <x v="350"/>
    <n v="0"/>
    <n v="187.44"/>
    <x v="0"/>
    <x v="0"/>
    <x v="0"/>
    <s v="Laptop"/>
    <x v="0"/>
  </r>
  <r>
    <s v="O1353"/>
    <x v="101"/>
    <s v="C001"/>
    <s v="P011"/>
    <n v="4"/>
    <x v="351"/>
    <n v="0.1"/>
    <n v="158.13999999999999"/>
    <x v="3"/>
    <x v="0"/>
    <x v="0"/>
    <s v="Accessories"/>
    <x v="1"/>
  </r>
  <r>
    <s v="O1354"/>
    <x v="198"/>
    <s v="C117"/>
    <s v="P075"/>
    <n v="2"/>
    <x v="352"/>
    <n v="0"/>
    <n v="338.37"/>
    <x v="1"/>
    <x v="0"/>
    <x v="2"/>
    <s v="Pen"/>
    <x v="0"/>
  </r>
  <r>
    <s v="O1355"/>
    <x v="300"/>
    <s v="C070"/>
    <s v="P049"/>
    <n v="3"/>
    <x v="353"/>
    <n v="0.1"/>
    <n v="200.97"/>
    <x v="3"/>
    <x v="1"/>
    <x v="2"/>
    <s v="Paper"/>
    <x v="1"/>
  </r>
  <r>
    <s v="O1356"/>
    <x v="53"/>
    <s v="C101"/>
    <s v="P008"/>
    <n v="4"/>
    <x v="354"/>
    <n v="0.1"/>
    <n v="238.63"/>
    <x v="1"/>
    <x v="1"/>
    <x v="0"/>
    <s v="Accessories"/>
    <x v="0"/>
  </r>
  <r>
    <s v="O1357"/>
    <x v="301"/>
    <s v="C062"/>
    <s v="P014"/>
    <n v="5"/>
    <x v="355"/>
    <n v="0.2"/>
    <n v="224.73"/>
    <x v="1"/>
    <x v="2"/>
    <x v="1"/>
    <s v="Shelf"/>
    <x v="0"/>
  </r>
  <r>
    <s v="O1358"/>
    <x v="302"/>
    <s v="C168"/>
    <s v="P004"/>
    <n v="1"/>
    <x v="356"/>
    <n v="0.1"/>
    <n v="169.94"/>
    <x v="3"/>
    <x v="0"/>
    <x v="0"/>
    <s v="Laptop"/>
    <x v="0"/>
  </r>
  <r>
    <s v="O1359"/>
    <x v="303"/>
    <s v="C123"/>
    <s v="P090"/>
    <n v="5"/>
    <x v="357"/>
    <n v="0"/>
    <n v="320.58"/>
    <x v="2"/>
    <x v="0"/>
    <x v="0"/>
    <s v="Accessories"/>
    <x v="0"/>
  </r>
  <r>
    <s v="O1360"/>
    <x v="304"/>
    <s v="C143"/>
    <s v="P072"/>
    <n v="4"/>
    <x v="358"/>
    <n v="0"/>
    <n v="251.77"/>
    <x v="0"/>
    <x v="2"/>
    <x v="1"/>
    <s v="Chair"/>
    <x v="0"/>
  </r>
  <r>
    <s v="O1361"/>
    <x v="2"/>
    <s v="C053"/>
    <s v="P005"/>
    <n v="4"/>
    <x v="359"/>
    <n v="0.3"/>
    <n v="62.33"/>
    <x v="0"/>
    <x v="2"/>
    <x v="2"/>
    <s v="Paper"/>
    <x v="0"/>
  </r>
  <r>
    <s v="O1362"/>
    <x v="305"/>
    <s v="C047"/>
    <s v="P008"/>
    <n v="4"/>
    <x v="360"/>
    <n v="0"/>
    <n v="28.62"/>
    <x v="0"/>
    <x v="0"/>
    <x v="0"/>
    <s v="Accessories"/>
    <x v="0"/>
  </r>
  <r>
    <s v="O1363"/>
    <x v="227"/>
    <s v="C086"/>
    <s v="P053"/>
    <n v="5"/>
    <x v="361"/>
    <n v="0.3"/>
    <n v="116.45"/>
    <x v="3"/>
    <x v="1"/>
    <x v="0"/>
    <s v="Accessories"/>
    <x v="0"/>
  </r>
  <r>
    <s v="O1364"/>
    <x v="287"/>
    <s v="C190"/>
    <s v="P031"/>
    <n v="4"/>
    <x v="362"/>
    <n v="0.1"/>
    <n v="417.11"/>
    <x v="0"/>
    <x v="2"/>
    <x v="2"/>
    <s v="Storage"/>
    <x v="0"/>
  </r>
  <r>
    <s v="O1365"/>
    <x v="306"/>
    <s v="C163"/>
    <s v="P053"/>
    <n v="5"/>
    <x v="363"/>
    <n v="0"/>
    <n v="203.42"/>
    <x v="0"/>
    <x v="1"/>
    <x v="0"/>
    <s v="Accessories"/>
    <x v="1"/>
  </r>
  <r>
    <s v="O1366"/>
    <x v="307"/>
    <s v="C079"/>
    <s v="P032"/>
    <n v="4"/>
    <x v="364"/>
    <n v="0.1"/>
    <n v="397.17"/>
    <x v="3"/>
    <x v="1"/>
    <x v="2"/>
    <s v="Paper"/>
    <x v="0"/>
  </r>
  <r>
    <s v="O1367"/>
    <x v="222"/>
    <s v="C040"/>
    <s v="P077"/>
    <n v="3"/>
    <x v="365"/>
    <n v="0"/>
    <n v="308.87"/>
    <x v="1"/>
    <x v="0"/>
    <x v="0"/>
    <s v="Accessories"/>
    <x v="0"/>
  </r>
  <r>
    <s v="O1368"/>
    <x v="242"/>
    <s v="C029"/>
    <s v="P076"/>
    <n v="4"/>
    <x v="366"/>
    <n v="0"/>
    <n v="192.71"/>
    <x v="0"/>
    <x v="2"/>
    <x v="1"/>
    <s v="Shelf"/>
    <x v="1"/>
  </r>
  <r>
    <s v="O1369"/>
    <x v="308"/>
    <s v="C164"/>
    <s v="P007"/>
    <n v="5"/>
    <x v="367"/>
    <n v="0.3"/>
    <n v="89.49"/>
    <x v="2"/>
    <x v="2"/>
    <x v="1"/>
    <s v="Desk"/>
    <x v="0"/>
  </r>
  <r>
    <s v="O1370"/>
    <x v="309"/>
    <s v="C025"/>
    <s v="P043"/>
    <n v="2"/>
    <x v="368"/>
    <n v="0.1"/>
    <n v="181.81"/>
    <x v="3"/>
    <x v="1"/>
    <x v="1"/>
    <s v="Table"/>
    <x v="0"/>
  </r>
  <r>
    <s v="O1371"/>
    <x v="310"/>
    <s v="C012"/>
    <s v="P016"/>
    <n v="4"/>
    <x v="369"/>
    <n v="0"/>
    <n v="241.57"/>
    <x v="1"/>
    <x v="2"/>
    <x v="1"/>
    <s v="Chair"/>
    <x v="1"/>
  </r>
  <r>
    <s v="O1372"/>
    <x v="311"/>
    <s v="C190"/>
    <s v="P005"/>
    <n v="2"/>
    <x v="370"/>
    <n v="0.2"/>
    <n v="39.92"/>
    <x v="0"/>
    <x v="2"/>
    <x v="2"/>
    <s v="Paper"/>
    <x v="0"/>
  </r>
  <r>
    <s v="O1373"/>
    <x v="312"/>
    <s v="C182"/>
    <s v="P018"/>
    <n v="3"/>
    <x v="371"/>
    <n v="0.1"/>
    <n v="32.61"/>
    <x v="1"/>
    <x v="2"/>
    <x v="2"/>
    <s v="Storage"/>
    <x v="0"/>
  </r>
  <r>
    <s v="O1374"/>
    <x v="313"/>
    <s v="C066"/>
    <s v="P042"/>
    <n v="1"/>
    <x v="372"/>
    <n v="0.1"/>
    <n v="186.07"/>
    <x v="1"/>
    <x v="0"/>
    <x v="0"/>
    <s v="Tablet"/>
    <x v="0"/>
  </r>
  <r>
    <s v="O1375"/>
    <x v="314"/>
    <s v="C020"/>
    <s v="P029"/>
    <n v="3"/>
    <x v="373"/>
    <n v="0.1"/>
    <n v="327.17"/>
    <x v="0"/>
    <x v="1"/>
    <x v="1"/>
    <s v="Shelf"/>
    <x v="1"/>
  </r>
  <r>
    <s v="O1376"/>
    <x v="315"/>
    <s v="C116"/>
    <s v="P012"/>
    <n v="4"/>
    <x v="374"/>
    <n v="0.3"/>
    <n v="324.66000000000003"/>
    <x v="2"/>
    <x v="0"/>
    <x v="0"/>
    <s v="Laptop"/>
    <x v="0"/>
  </r>
  <r>
    <s v="O1377"/>
    <x v="289"/>
    <s v="C114"/>
    <s v="P021"/>
    <n v="2"/>
    <x v="375"/>
    <n v="0.2"/>
    <n v="444.33"/>
    <x v="3"/>
    <x v="1"/>
    <x v="1"/>
    <s v="Desk"/>
    <x v="0"/>
  </r>
  <r>
    <s v="O1378"/>
    <x v="143"/>
    <s v="C017"/>
    <s v="P099"/>
    <n v="2"/>
    <x v="376"/>
    <n v="0.1"/>
    <n v="183.93"/>
    <x v="3"/>
    <x v="0"/>
    <x v="1"/>
    <s v="Desk"/>
    <x v="0"/>
  </r>
  <r>
    <s v="O1379"/>
    <x v="316"/>
    <s v="C141"/>
    <s v="P098"/>
    <n v="5"/>
    <x v="377"/>
    <n v="0"/>
    <n v="187.89"/>
    <x v="1"/>
    <x v="2"/>
    <x v="1"/>
    <s v="Shelf"/>
    <x v="0"/>
  </r>
  <r>
    <s v="O1380"/>
    <x v="317"/>
    <s v="C028"/>
    <s v="P083"/>
    <n v="2"/>
    <x v="378"/>
    <n v="0"/>
    <n v="126.43"/>
    <x v="2"/>
    <x v="1"/>
    <x v="2"/>
    <s v="Paper"/>
    <x v="0"/>
  </r>
  <r>
    <s v="O1381"/>
    <x v="318"/>
    <s v="C170"/>
    <s v="P048"/>
    <n v="5"/>
    <x v="379"/>
    <n v="0.3"/>
    <n v="378.02"/>
    <x v="1"/>
    <x v="2"/>
    <x v="1"/>
    <s v="Table"/>
    <x v="0"/>
  </r>
  <r>
    <s v="O1382"/>
    <x v="283"/>
    <s v="C018"/>
    <s v="P059"/>
    <n v="1"/>
    <x v="380"/>
    <n v="0"/>
    <n v="60.56"/>
    <x v="2"/>
    <x v="0"/>
    <x v="1"/>
    <s v="Table"/>
    <x v="0"/>
  </r>
  <r>
    <s v="O1383"/>
    <x v="169"/>
    <s v="C096"/>
    <s v="P023"/>
    <n v="4"/>
    <x v="381"/>
    <n v="0.1"/>
    <n v="88.77"/>
    <x v="0"/>
    <x v="2"/>
    <x v="1"/>
    <s v="Shelf"/>
    <x v="0"/>
  </r>
  <r>
    <s v="O1384"/>
    <x v="319"/>
    <s v="C187"/>
    <s v="P021"/>
    <n v="5"/>
    <x v="382"/>
    <n v="0"/>
    <n v="208.52"/>
    <x v="2"/>
    <x v="2"/>
    <x v="1"/>
    <s v="Desk"/>
    <x v="0"/>
  </r>
  <r>
    <s v="O1385"/>
    <x v="320"/>
    <s v="C022"/>
    <s v="P032"/>
    <n v="1"/>
    <x v="383"/>
    <n v="0.1"/>
    <n v="196.67"/>
    <x v="1"/>
    <x v="2"/>
    <x v="2"/>
    <s v="Paper"/>
    <x v="0"/>
  </r>
  <r>
    <s v="O1386"/>
    <x v="321"/>
    <s v="C140"/>
    <s v="P013"/>
    <n v="2"/>
    <x v="384"/>
    <n v="0"/>
    <n v="202.49"/>
    <x v="1"/>
    <x v="2"/>
    <x v="0"/>
    <s v="Laptop"/>
    <x v="0"/>
  </r>
  <r>
    <s v="O1387"/>
    <x v="322"/>
    <s v="C009"/>
    <s v="P092"/>
    <n v="2"/>
    <x v="385"/>
    <n v="0.2"/>
    <n v="126.55"/>
    <x v="0"/>
    <x v="2"/>
    <x v="0"/>
    <s v="Phone"/>
    <x v="1"/>
  </r>
  <r>
    <s v="O1388"/>
    <x v="323"/>
    <s v="C109"/>
    <s v="P044"/>
    <n v="1"/>
    <x v="386"/>
    <n v="0.3"/>
    <n v="131.46"/>
    <x v="0"/>
    <x v="2"/>
    <x v="1"/>
    <s v="Table"/>
    <x v="0"/>
  </r>
  <r>
    <s v="O1389"/>
    <x v="313"/>
    <s v="C085"/>
    <s v="P001"/>
    <n v="2"/>
    <x v="387"/>
    <n v="0.3"/>
    <n v="180.34"/>
    <x v="2"/>
    <x v="0"/>
    <x v="2"/>
    <s v="Storage"/>
    <x v="0"/>
  </r>
  <r>
    <s v="O1390"/>
    <x v="324"/>
    <s v="C084"/>
    <s v="P066"/>
    <n v="1"/>
    <x v="388"/>
    <n v="0.2"/>
    <n v="212.79"/>
    <x v="2"/>
    <x v="2"/>
    <x v="1"/>
    <s v="Desk"/>
    <x v="0"/>
  </r>
  <r>
    <s v="O1391"/>
    <x v="99"/>
    <s v="C107"/>
    <s v="P068"/>
    <n v="5"/>
    <x v="389"/>
    <n v="0.2"/>
    <n v="23.48"/>
    <x v="2"/>
    <x v="1"/>
    <x v="1"/>
    <s v="Table"/>
    <x v="0"/>
  </r>
  <r>
    <s v="O1392"/>
    <x v="325"/>
    <s v="C044"/>
    <s v="P071"/>
    <n v="5"/>
    <x v="390"/>
    <n v="0.3"/>
    <n v="24.63"/>
    <x v="1"/>
    <x v="1"/>
    <x v="0"/>
    <s v="Laptop"/>
    <x v="1"/>
  </r>
  <r>
    <s v="O1393"/>
    <x v="296"/>
    <s v="C044"/>
    <s v="P072"/>
    <n v="1"/>
    <x v="391"/>
    <n v="0.2"/>
    <n v="461.2"/>
    <x v="1"/>
    <x v="1"/>
    <x v="1"/>
    <s v="Chair"/>
    <x v="0"/>
  </r>
  <r>
    <s v="O1394"/>
    <x v="326"/>
    <s v="C174"/>
    <s v="P057"/>
    <n v="5"/>
    <x v="392"/>
    <n v="0.1"/>
    <n v="112.17"/>
    <x v="1"/>
    <x v="2"/>
    <x v="0"/>
    <s v="Laptop"/>
    <x v="1"/>
  </r>
  <r>
    <s v="O1395"/>
    <x v="327"/>
    <s v="C147"/>
    <s v="P018"/>
    <n v="5"/>
    <x v="393"/>
    <n v="0"/>
    <n v="245.95"/>
    <x v="3"/>
    <x v="2"/>
    <x v="2"/>
    <s v="Storage"/>
    <x v="0"/>
  </r>
  <r>
    <s v="O1396"/>
    <x v="328"/>
    <s v="C170"/>
    <s v="P061"/>
    <n v="5"/>
    <x v="394"/>
    <n v="0.3"/>
    <n v="75.47"/>
    <x v="1"/>
    <x v="2"/>
    <x v="2"/>
    <s v="Pen"/>
    <x v="0"/>
  </r>
  <r>
    <s v="O1397"/>
    <x v="25"/>
    <s v="C004"/>
    <s v="P011"/>
    <n v="3"/>
    <x v="395"/>
    <n v="0.2"/>
    <n v="305.14"/>
    <x v="2"/>
    <x v="2"/>
    <x v="0"/>
    <s v="Accessories"/>
    <x v="0"/>
  </r>
  <r>
    <s v="O1398"/>
    <x v="329"/>
    <s v="C005"/>
    <s v="P068"/>
    <n v="4"/>
    <x v="396"/>
    <n v="0.1"/>
    <n v="47.92"/>
    <x v="1"/>
    <x v="0"/>
    <x v="1"/>
    <s v="Table"/>
    <x v="0"/>
  </r>
  <r>
    <s v="O1399"/>
    <x v="234"/>
    <s v="C151"/>
    <s v="P042"/>
    <n v="2"/>
    <x v="397"/>
    <n v="0.3"/>
    <n v="93"/>
    <x v="3"/>
    <x v="2"/>
    <x v="0"/>
    <s v="Tablet"/>
    <x v="0"/>
  </r>
  <r>
    <s v="O1400"/>
    <x v="330"/>
    <s v="C124"/>
    <s v="P013"/>
    <n v="3"/>
    <x v="398"/>
    <n v="0.2"/>
    <n v="88.32"/>
    <x v="3"/>
    <x v="2"/>
    <x v="0"/>
    <s v="Laptop"/>
    <x v="0"/>
  </r>
  <r>
    <s v="O1401"/>
    <x v="331"/>
    <s v="C009"/>
    <s v="P052"/>
    <n v="5"/>
    <x v="399"/>
    <n v="0.3"/>
    <n v="101.67"/>
    <x v="0"/>
    <x v="2"/>
    <x v="1"/>
    <s v="Chair"/>
    <x v="1"/>
  </r>
  <r>
    <s v="O1402"/>
    <x v="332"/>
    <s v="C014"/>
    <s v="P084"/>
    <n v="1"/>
    <x v="400"/>
    <n v="0.2"/>
    <n v="133.5"/>
    <x v="1"/>
    <x v="0"/>
    <x v="2"/>
    <s v="Paper"/>
    <x v="1"/>
  </r>
  <r>
    <s v="O1403"/>
    <x v="105"/>
    <s v="C110"/>
    <s v="P034"/>
    <n v="5"/>
    <x v="401"/>
    <n v="0.3"/>
    <n v="179.71"/>
    <x v="3"/>
    <x v="0"/>
    <x v="2"/>
    <s v="Storage"/>
    <x v="0"/>
  </r>
  <r>
    <s v="O1404"/>
    <x v="333"/>
    <s v="C116"/>
    <s v="P027"/>
    <n v="4"/>
    <x v="402"/>
    <n v="0.1"/>
    <n v="209.47"/>
    <x v="2"/>
    <x v="0"/>
    <x v="2"/>
    <s v="Storage"/>
    <x v="0"/>
  </r>
  <r>
    <s v="O1405"/>
    <x v="188"/>
    <s v="C133"/>
    <s v="P096"/>
    <n v="5"/>
    <x v="403"/>
    <n v="0.1"/>
    <n v="264.36"/>
    <x v="0"/>
    <x v="2"/>
    <x v="0"/>
    <s v="Laptop"/>
    <x v="0"/>
  </r>
  <r>
    <s v="O1406"/>
    <x v="334"/>
    <s v="C071"/>
    <s v="P055"/>
    <n v="1"/>
    <x v="404"/>
    <n v="0"/>
    <n v="66.36"/>
    <x v="0"/>
    <x v="1"/>
    <x v="2"/>
    <s v="Binder"/>
    <x v="0"/>
  </r>
  <r>
    <s v="O1407"/>
    <x v="335"/>
    <s v="C193"/>
    <s v="P083"/>
    <n v="4"/>
    <x v="405"/>
    <n v="0.3"/>
    <n v="22.35"/>
    <x v="1"/>
    <x v="2"/>
    <x v="2"/>
    <s v="Paper"/>
    <x v="0"/>
  </r>
  <r>
    <s v="O1408"/>
    <x v="229"/>
    <s v="C102"/>
    <s v="P046"/>
    <n v="5"/>
    <x v="406"/>
    <n v="0"/>
    <n v="344.12"/>
    <x v="1"/>
    <x v="0"/>
    <x v="1"/>
    <s v="Chair"/>
    <x v="0"/>
  </r>
  <r>
    <s v="O1409"/>
    <x v="155"/>
    <s v="C164"/>
    <s v="P060"/>
    <n v="4"/>
    <x v="407"/>
    <n v="0.3"/>
    <n v="208.72"/>
    <x v="2"/>
    <x v="2"/>
    <x v="1"/>
    <s v="Chair"/>
    <x v="0"/>
  </r>
  <r>
    <s v="O1410"/>
    <x v="71"/>
    <s v="C115"/>
    <s v="P064"/>
    <n v="2"/>
    <x v="408"/>
    <n v="0.2"/>
    <n v="216.52"/>
    <x v="1"/>
    <x v="1"/>
    <x v="2"/>
    <s v="Binder"/>
    <x v="1"/>
  </r>
  <r>
    <s v="O1411"/>
    <x v="291"/>
    <s v="C128"/>
    <s v="P099"/>
    <n v="2"/>
    <x v="409"/>
    <n v="0.2"/>
    <n v="360.28"/>
    <x v="1"/>
    <x v="2"/>
    <x v="1"/>
    <s v="Desk"/>
    <x v="1"/>
  </r>
  <r>
    <s v="O1412"/>
    <x v="160"/>
    <s v="C084"/>
    <s v="P052"/>
    <n v="5"/>
    <x v="410"/>
    <n v="0"/>
    <n v="456.79"/>
    <x v="2"/>
    <x v="2"/>
    <x v="1"/>
    <s v="Chair"/>
    <x v="0"/>
  </r>
  <r>
    <s v="O1413"/>
    <x v="290"/>
    <s v="C091"/>
    <s v="P043"/>
    <n v="4"/>
    <x v="411"/>
    <n v="0.3"/>
    <n v="77.73"/>
    <x v="3"/>
    <x v="1"/>
    <x v="1"/>
    <s v="Table"/>
    <x v="0"/>
  </r>
  <r>
    <s v="O1414"/>
    <x v="119"/>
    <s v="C086"/>
    <s v="P049"/>
    <n v="1"/>
    <x v="412"/>
    <n v="0"/>
    <n v="170.54"/>
    <x v="3"/>
    <x v="1"/>
    <x v="2"/>
    <s v="Paper"/>
    <x v="0"/>
  </r>
  <r>
    <s v="O1415"/>
    <x v="336"/>
    <s v="C121"/>
    <s v="P030"/>
    <n v="5"/>
    <x v="413"/>
    <n v="0.1"/>
    <n v="75.760000000000005"/>
    <x v="0"/>
    <x v="2"/>
    <x v="1"/>
    <s v="Shelf"/>
    <x v="1"/>
  </r>
  <r>
    <s v="O1416"/>
    <x v="337"/>
    <s v="C082"/>
    <s v="P049"/>
    <n v="2"/>
    <x v="414"/>
    <n v="0"/>
    <n v="102.52"/>
    <x v="3"/>
    <x v="2"/>
    <x v="2"/>
    <s v="Paper"/>
    <x v="0"/>
  </r>
  <r>
    <s v="O1417"/>
    <x v="124"/>
    <s v="C096"/>
    <s v="P055"/>
    <n v="2"/>
    <x v="415"/>
    <n v="0"/>
    <n v="369.88"/>
    <x v="0"/>
    <x v="2"/>
    <x v="2"/>
    <s v="Binder"/>
    <x v="0"/>
  </r>
  <r>
    <s v="O1418"/>
    <x v="338"/>
    <s v="C027"/>
    <s v="P006"/>
    <n v="5"/>
    <x v="416"/>
    <n v="0.2"/>
    <n v="153.11000000000001"/>
    <x v="3"/>
    <x v="0"/>
    <x v="1"/>
    <s v="Chair"/>
    <x v="0"/>
  </r>
  <r>
    <s v="O1419"/>
    <x v="339"/>
    <s v="C009"/>
    <s v="P014"/>
    <n v="4"/>
    <x v="417"/>
    <n v="0"/>
    <n v="30.49"/>
    <x v="0"/>
    <x v="2"/>
    <x v="1"/>
    <s v="Shelf"/>
    <x v="0"/>
  </r>
  <r>
    <s v="O1420"/>
    <x v="173"/>
    <s v="C106"/>
    <s v="P031"/>
    <n v="2"/>
    <x v="418"/>
    <n v="0.3"/>
    <n v="52.92"/>
    <x v="0"/>
    <x v="1"/>
    <x v="2"/>
    <s v="Storage"/>
    <x v="0"/>
  </r>
  <r>
    <s v="O1421"/>
    <x v="340"/>
    <s v="C194"/>
    <s v="P048"/>
    <n v="4"/>
    <x v="419"/>
    <n v="0.2"/>
    <n v="126.8"/>
    <x v="0"/>
    <x v="1"/>
    <x v="1"/>
    <s v="Table"/>
    <x v="0"/>
  </r>
  <r>
    <s v="O1422"/>
    <x v="27"/>
    <s v="C025"/>
    <s v="P017"/>
    <n v="2"/>
    <x v="420"/>
    <n v="0"/>
    <n v="88.64"/>
    <x v="3"/>
    <x v="1"/>
    <x v="2"/>
    <s v="Pen"/>
    <x v="1"/>
  </r>
  <r>
    <s v="O1423"/>
    <x v="341"/>
    <s v="C145"/>
    <s v="P035"/>
    <n v="2"/>
    <x v="421"/>
    <n v="0.1"/>
    <n v="95.84"/>
    <x v="1"/>
    <x v="2"/>
    <x v="1"/>
    <s v="Chair"/>
    <x v="1"/>
  </r>
  <r>
    <s v="O1424"/>
    <x v="81"/>
    <s v="C133"/>
    <s v="P024"/>
    <n v="3"/>
    <x v="422"/>
    <n v="0"/>
    <n v="480.31"/>
    <x v="0"/>
    <x v="2"/>
    <x v="1"/>
    <s v="Desk"/>
    <x v="0"/>
  </r>
  <r>
    <s v="O1425"/>
    <x v="195"/>
    <s v="C192"/>
    <s v="P050"/>
    <n v="2"/>
    <x v="423"/>
    <n v="0"/>
    <n v="77.510000000000005"/>
    <x v="1"/>
    <x v="0"/>
    <x v="2"/>
    <s v="Pen"/>
    <x v="0"/>
  </r>
  <r>
    <s v="O1426"/>
    <x v="342"/>
    <s v="C054"/>
    <s v="P053"/>
    <n v="1"/>
    <x v="424"/>
    <n v="0"/>
    <n v="164.91"/>
    <x v="3"/>
    <x v="0"/>
    <x v="0"/>
    <s v="Accessories"/>
    <x v="0"/>
  </r>
  <r>
    <s v="O1427"/>
    <x v="343"/>
    <s v="C041"/>
    <s v="P100"/>
    <n v="5"/>
    <x v="425"/>
    <n v="0.2"/>
    <n v="111.14"/>
    <x v="0"/>
    <x v="1"/>
    <x v="0"/>
    <s v="Phone"/>
    <x v="0"/>
  </r>
  <r>
    <s v="O1428"/>
    <x v="19"/>
    <s v="C052"/>
    <s v="P070"/>
    <n v="5"/>
    <x v="426"/>
    <n v="0.3"/>
    <n v="233.09"/>
    <x v="2"/>
    <x v="2"/>
    <x v="2"/>
    <s v="Paper"/>
    <x v="0"/>
  </r>
  <r>
    <s v="O1429"/>
    <x v="344"/>
    <s v="C105"/>
    <s v="P071"/>
    <n v="4"/>
    <x v="427"/>
    <n v="0.1"/>
    <n v="412.67"/>
    <x v="3"/>
    <x v="2"/>
    <x v="0"/>
    <s v="Laptop"/>
    <x v="1"/>
  </r>
  <r>
    <s v="O1430"/>
    <x v="245"/>
    <s v="C003"/>
    <s v="P081"/>
    <n v="2"/>
    <x v="428"/>
    <n v="0"/>
    <n v="21.4"/>
    <x v="0"/>
    <x v="0"/>
    <x v="2"/>
    <s v="Pen"/>
    <x v="0"/>
  </r>
  <r>
    <s v="O1431"/>
    <x v="345"/>
    <s v="C062"/>
    <s v="P079"/>
    <n v="1"/>
    <x v="429"/>
    <n v="0.3"/>
    <n v="161.75"/>
    <x v="1"/>
    <x v="2"/>
    <x v="1"/>
    <s v="Chair"/>
    <x v="0"/>
  </r>
  <r>
    <s v="O1432"/>
    <x v="346"/>
    <s v="C052"/>
    <s v="P093"/>
    <n v="4"/>
    <x v="430"/>
    <n v="0.3"/>
    <n v="14.97"/>
    <x v="2"/>
    <x v="2"/>
    <x v="2"/>
    <s v="Storage"/>
    <x v="0"/>
  </r>
  <r>
    <s v="O1433"/>
    <x v="284"/>
    <s v="C063"/>
    <s v="P069"/>
    <n v="3"/>
    <x v="431"/>
    <n v="0.2"/>
    <n v="49.65"/>
    <x v="0"/>
    <x v="0"/>
    <x v="2"/>
    <s v="Pen"/>
    <x v="0"/>
  </r>
  <r>
    <s v="O1434"/>
    <x v="159"/>
    <s v="C129"/>
    <s v="P036"/>
    <n v="4"/>
    <x v="432"/>
    <n v="0.1"/>
    <n v="334.99"/>
    <x v="1"/>
    <x v="2"/>
    <x v="1"/>
    <s v="Shelf"/>
    <x v="0"/>
  </r>
  <r>
    <s v="O1435"/>
    <x v="347"/>
    <s v="C195"/>
    <s v="P043"/>
    <n v="4"/>
    <x v="433"/>
    <n v="0.2"/>
    <n v="76.13"/>
    <x v="1"/>
    <x v="2"/>
    <x v="1"/>
    <s v="Table"/>
    <x v="1"/>
  </r>
  <r>
    <s v="O1436"/>
    <x v="348"/>
    <s v="C193"/>
    <s v="P084"/>
    <n v="2"/>
    <x v="434"/>
    <n v="0.3"/>
    <n v="110.18"/>
    <x v="1"/>
    <x v="2"/>
    <x v="2"/>
    <s v="Paper"/>
    <x v="0"/>
  </r>
  <r>
    <s v="O1437"/>
    <x v="349"/>
    <s v="C019"/>
    <s v="P004"/>
    <n v="3"/>
    <x v="435"/>
    <n v="0.3"/>
    <n v="90.7"/>
    <x v="2"/>
    <x v="0"/>
    <x v="0"/>
    <s v="Laptop"/>
    <x v="0"/>
  </r>
  <r>
    <s v="O1438"/>
    <x v="80"/>
    <s v="C079"/>
    <s v="P058"/>
    <n v="4"/>
    <x v="436"/>
    <n v="0.3"/>
    <n v="45.88"/>
    <x v="3"/>
    <x v="1"/>
    <x v="2"/>
    <s v="Paper"/>
    <x v="0"/>
  </r>
  <r>
    <s v="O1439"/>
    <x v="175"/>
    <s v="C058"/>
    <s v="P046"/>
    <n v="1"/>
    <x v="437"/>
    <n v="0.2"/>
    <n v="236.19"/>
    <x v="0"/>
    <x v="2"/>
    <x v="1"/>
    <s v="Chair"/>
    <x v="1"/>
  </r>
  <r>
    <s v="O1440"/>
    <x v="293"/>
    <s v="C080"/>
    <s v="P092"/>
    <n v="1"/>
    <x v="438"/>
    <n v="0.1"/>
    <n v="26.87"/>
    <x v="2"/>
    <x v="1"/>
    <x v="0"/>
    <s v="Phone"/>
    <x v="0"/>
  </r>
  <r>
    <s v="O1441"/>
    <x v="350"/>
    <s v="C086"/>
    <s v="P074"/>
    <n v="5"/>
    <x v="439"/>
    <n v="0"/>
    <n v="360.02"/>
    <x v="3"/>
    <x v="1"/>
    <x v="1"/>
    <s v="Table"/>
    <x v="0"/>
  </r>
  <r>
    <s v="O1442"/>
    <x v="22"/>
    <s v="C098"/>
    <s v="P091"/>
    <n v="3"/>
    <x v="440"/>
    <n v="0.2"/>
    <n v="418.39"/>
    <x v="3"/>
    <x v="0"/>
    <x v="1"/>
    <s v="Shelf"/>
    <x v="0"/>
  </r>
  <r>
    <s v="O1443"/>
    <x v="351"/>
    <s v="C067"/>
    <s v="P002"/>
    <n v="3"/>
    <x v="441"/>
    <n v="0.3"/>
    <n v="184.95"/>
    <x v="1"/>
    <x v="2"/>
    <x v="1"/>
    <s v="Chair"/>
    <x v="0"/>
  </r>
  <r>
    <s v="O1444"/>
    <x v="91"/>
    <s v="C076"/>
    <s v="P055"/>
    <n v="5"/>
    <x v="442"/>
    <n v="0.2"/>
    <n v="541.95000000000005"/>
    <x v="2"/>
    <x v="1"/>
    <x v="2"/>
    <s v="Binder"/>
    <x v="0"/>
  </r>
  <r>
    <s v="O1445"/>
    <x v="352"/>
    <s v="C163"/>
    <s v="P026"/>
    <n v="4"/>
    <x v="443"/>
    <n v="0.3"/>
    <n v="45.8"/>
    <x v="0"/>
    <x v="1"/>
    <x v="0"/>
    <s v="Phone"/>
    <x v="0"/>
  </r>
  <r>
    <s v="O1446"/>
    <x v="353"/>
    <s v="C177"/>
    <s v="P066"/>
    <n v="3"/>
    <x v="444"/>
    <n v="0"/>
    <n v="253.08"/>
    <x v="0"/>
    <x v="0"/>
    <x v="1"/>
    <s v="Desk"/>
    <x v="0"/>
  </r>
  <r>
    <s v="O1447"/>
    <x v="354"/>
    <s v="C120"/>
    <s v="P067"/>
    <n v="1"/>
    <x v="445"/>
    <n v="0"/>
    <n v="108.1"/>
    <x v="1"/>
    <x v="0"/>
    <x v="2"/>
    <s v="Binder"/>
    <x v="0"/>
  </r>
  <r>
    <s v="O1448"/>
    <x v="355"/>
    <s v="C034"/>
    <s v="P030"/>
    <n v="1"/>
    <x v="446"/>
    <n v="0.1"/>
    <n v="170.78"/>
    <x v="1"/>
    <x v="0"/>
    <x v="1"/>
    <s v="Shelf"/>
    <x v="1"/>
  </r>
  <r>
    <s v="O1449"/>
    <x v="356"/>
    <s v="C106"/>
    <s v="P074"/>
    <n v="2"/>
    <x v="447"/>
    <n v="0.3"/>
    <n v="124.17"/>
    <x v="0"/>
    <x v="1"/>
    <x v="1"/>
    <s v="Table"/>
    <x v="0"/>
  </r>
  <r>
    <s v="O1450"/>
    <x v="72"/>
    <s v="C170"/>
    <s v="P022"/>
    <n v="3"/>
    <x v="448"/>
    <n v="0.1"/>
    <n v="136"/>
    <x v="1"/>
    <x v="2"/>
    <x v="0"/>
    <s v="Tablet"/>
    <x v="0"/>
  </r>
  <r>
    <s v="O1451"/>
    <x v="357"/>
    <s v="C052"/>
    <s v="P024"/>
    <n v="4"/>
    <x v="449"/>
    <n v="0.1"/>
    <n v="107.87"/>
    <x v="2"/>
    <x v="2"/>
    <x v="1"/>
    <s v="Desk"/>
    <x v="1"/>
  </r>
  <r>
    <s v="O1452"/>
    <x v="313"/>
    <s v="C121"/>
    <s v="P096"/>
    <n v="5"/>
    <x v="450"/>
    <n v="0"/>
    <n v="59.88"/>
    <x v="0"/>
    <x v="2"/>
    <x v="0"/>
    <s v="Laptop"/>
    <x v="0"/>
  </r>
  <r>
    <s v="O1453"/>
    <x v="358"/>
    <s v="C033"/>
    <s v="P068"/>
    <n v="5"/>
    <x v="451"/>
    <n v="0.2"/>
    <n v="215"/>
    <x v="2"/>
    <x v="0"/>
    <x v="1"/>
    <s v="Table"/>
    <x v="0"/>
  </r>
  <r>
    <s v="O1454"/>
    <x v="222"/>
    <s v="C015"/>
    <s v="P064"/>
    <n v="4"/>
    <x v="452"/>
    <n v="0.2"/>
    <n v="187.56"/>
    <x v="3"/>
    <x v="1"/>
    <x v="2"/>
    <s v="Binder"/>
    <x v="0"/>
  </r>
  <r>
    <s v="O1455"/>
    <x v="359"/>
    <s v="C074"/>
    <s v="P078"/>
    <n v="2"/>
    <x v="453"/>
    <n v="0.1"/>
    <n v="389.65"/>
    <x v="2"/>
    <x v="1"/>
    <x v="2"/>
    <s v="Storage"/>
    <x v="0"/>
  </r>
  <r>
    <s v="O1456"/>
    <x v="360"/>
    <s v="C129"/>
    <s v="P060"/>
    <n v="5"/>
    <x v="454"/>
    <n v="0"/>
    <n v="115.02"/>
    <x v="1"/>
    <x v="2"/>
    <x v="1"/>
    <s v="Chair"/>
    <x v="0"/>
  </r>
  <r>
    <s v="O1457"/>
    <x v="63"/>
    <s v="C069"/>
    <s v="P033"/>
    <n v="3"/>
    <x v="455"/>
    <n v="0.3"/>
    <n v="110.74"/>
    <x v="0"/>
    <x v="0"/>
    <x v="1"/>
    <s v="Table"/>
    <x v="0"/>
  </r>
  <r>
    <s v="O1458"/>
    <x v="361"/>
    <s v="C150"/>
    <s v="P072"/>
    <n v="2"/>
    <x v="456"/>
    <n v="0.2"/>
    <n v="64.72"/>
    <x v="2"/>
    <x v="0"/>
    <x v="1"/>
    <s v="Chair"/>
    <x v="0"/>
  </r>
  <r>
    <s v="O1459"/>
    <x v="127"/>
    <s v="C096"/>
    <s v="P067"/>
    <n v="3"/>
    <x v="457"/>
    <n v="0.1"/>
    <n v="113.29"/>
    <x v="0"/>
    <x v="2"/>
    <x v="2"/>
    <s v="Binder"/>
    <x v="0"/>
  </r>
  <r>
    <s v="O1460"/>
    <x v="362"/>
    <s v="C143"/>
    <s v="P019"/>
    <n v="1"/>
    <x v="458"/>
    <n v="0.2"/>
    <n v="122.47"/>
    <x v="0"/>
    <x v="2"/>
    <x v="0"/>
    <s v="Phone"/>
    <x v="0"/>
  </r>
  <r>
    <s v="O1461"/>
    <x v="82"/>
    <s v="C113"/>
    <s v="P057"/>
    <n v="2"/>
    <x v="459"/>
    <n v="0.2"/>
    <n v="161.88999999999999"/>
    <x v="0"/>
    <x v="1"/>
    <x v="0"/>
    <s v="Laptop"/>
    <x v="0"/>
  </r>
  <r>
    <s v="O1462"/>
    <x v="363"/>
    <s v="C066"/>
    <s v="P017"/>
    <n v="5"/>
    <x v="460"/>
    <n v="0.3"/>
    <n v="412.83"/>
    <x v="1"/>
    <x v="0"/>
    <x v="2"/>
    <s v="Pen"/>
    <x v="0"/>
  </r>
  <r>
    <s v="O1463"/>
    <x v="364"/>
    <s v="C191"/>
    <s v="P005"/>
    <n v="2"/>
    <x v="461"/>
    <n v="0"/>
    <n v="230.85"/>
    <x v="2"/>
    <x v="2"/>
    <x v="2"/>
    <s v="Paper"/>
    <x v="0"/>
  </r>
  <r>
    <s v="O1464"/>
    <x v="365"/>
    <s v="C137"/>
    <s v="P076"/>
    <n v="2"/>
    <x v="462"/>
    <n v="0.3"/>
    <n v="107.26"/>
    <x v="1"/>
    <x v="2"/>
    <x v="1"/>
    <s v="Shelf"/>
    <x v="0"/>
  </r>
  <r>
    <s v="O1465"/>
    <x v="109"/>
    <s v="C193"/>
    <s v="P075"/>
    <n v="2"/>
    <x v="463"/>
    <n v="0"/>
    <n v="68.91"/>
    <x v="1"/>
    <x v="2"/>
    <x v="2"/>
    <s v="Pen"/>
    <x v="1"/>
  </r>
  <r>
    <s v="O1466"/>
    <x v="328"/>
    <s v="C100"/>
    <s v="P096"/>
    <n v="2"/>
    <x v="464"/>
    <n v="0.2"/>
    <n v="356.99"/>
    <x v="2"/>
    <x v="1"/>
    <x v="0"/>
    <s v="Laptop"/>
    <x v="0"/>
  </r>
  <r>
    <s v="O1467"/>
    <x v="366"/>
    <s v="C181"/>
    <s v="P059"/>
    <n v="3"/>
    <x v="465"/>
    <n v="0.1"/>
    <n v="295.58"/>
    <x v="2"/>
    <x v="1"/>
    <x v="1"/>
    <s v="Table"/>
    <x v="0"/>
  </r>
  <r>
    <s v="O1468"/>
    <x v="367"/>
    <s v="C198"/>
    <s v="P003"/>
    <n v="1"/>
    <x v="466"/>
    <n v="0.3"/>
    <n v="39.42"/>
    <x v="0"/>
    <x v="1"/>
    <x v="2"/>
    <s v="Pen"/>
    <x v="0"/>
  </r>
  <r>
    <s v="O1469"/>
    <x v="246"/>
    <s v="C122"/>
    <s v="P075"/>
    <n v="4"/>
    <x v="467"/>
    <n v="0"/>
    <n v="263.20999999999998"/>
    <x v="0"/>
    <x v="2"/>
    <x v="2"/>
    <s v="Pen"/>
    <x v="1"/>
  </r>
  <r>
    <s v="O1470"/>
    <x v="368"/>
    <s v="C152"/>
    <s v="P095"/>
    <n v="2"/>
    <x v="468"/>
    <n v="0.2"/>
    <n v="151.34"/>
    <x v="1"/>
    <x v="1"/>
    <x v="0"/>
    <s v="Phone"/>
    <x v="0"/>
  </r>
  <r>
    <s v="O1471"/>
    <x v="54"/>
    <s v="C004"/>
    <s v="P020"/>
    <n v="5"/>
    <x v="469"/>
    <n v="0"/>
    <n v="45.91"/>
    <x v="2"/>
    <x v="2"/>
    <x v="2"/>
    <s v="Pen"/>
    <x v="0"/>
  </r>
  <r>
    <s v="O1472"/>
    <x v="93"/>
    <s v="C145"/>
    <s v="P015"/>
    <n v="2"/>
    <x v="470"/>
    <n v="0"/>
    <n v="96.48"/>
    <x v="1"/>
    <x v="2"/>
    <x v="0"/>
    <s v="Tablet"/>
    <x v="0"/>
  </r>
  <r>
    <s v="O1473"/>
    <x v="369"/>
    <s v="C153"/>
    <s v="P097"/>
    <n v="5"/>
    <x v="471"/>
    <n v="0"/>
    <n v="256.55"/>
    <x v="2"/>
    <x v="2"/>
    <x v="2"/>
    <s v="Paper"/>
    <x v="0"/>
  </r>
  <r>
    <s v="O1474"/>
    <x v="370"/>
    <s v="C047"/>
    <s v="P027"/>
    <n v="3"/>
    <x v="472"/>
    <n v="0.2"/>
    <n v="40.020000000000003"/>
    <x v="0"/>
    <x v="0"/>
    <x v="2"/>
    <s v="Storage"/>
    <x v="0"/>
  </r>
  <r>
    <s v="O1475"/>
    <x v="371"/>
    <s v="C131"/>
    <s v="P095"/>
    <n v="5"/>
    <x v="473"/>
    <n v="0.1"/>
    <n v="135.13"/>
    <x v="2"/>
    <x v="0"/>
    <x v="0"/>
    <s v="Phone"/>
    <x v="0"/>
  </r>
  <r>
    <s v="O1476"/>
    <x v="42"/>
    <s v="C148"/>
    <s v="P100"/>
    <n v="4"/>
    <x v="474"/>
    <n v="0.1"/>
    <n v="272.77999999999997"/>
    <x v="0"/>
    <x v="2"/>
    <x v="0"/>
    <s v="Phone"/>
    <x v="0"/>
  </r>
  <r>
    <s v="O1477"/>
    <x v="372"/>
    <s v="C042"/>
    <s v="P073"/>
    <n v="1"/>
    <x v="475"/>
    <n v="0.1"/>
    <n v="294.20999999999998"/>
    <x v="0"/>
    <x v="0"/>
    <x v="1"/>
    <s v="Table"/>
    <x v="1"/>
  </r>
  <r>
    <s v="O1478"/>
    <x v="373"/>
    <s v="C152"/>
    <s v="P069"/>
    <n v="5"/>
    <x v="476"/>
    <n v="0"/>
    <n v="155.97999999999999"/>
    <x v="1"/>
    <x v="1"/>
    <x v="2"/>
    <s v="Pen"/>
    <x v="0"/>
  </r>
  <r>
    <s v="O1479"/>
    <x v="142"/>
    <s v="C042"/>
    <s v="P042"/>
    <n v="5"/>
    <x v="477"/>
    <n v="0.2"/>
    <n v="105.17"/>
    <x v="0"/>
    <x v="0"/>
    <x v="0"/>
    <s v="Tablet"/>
    <x v="0"/>
  </r>
  <r>
    <s v="O1480"/>
    <x v="374"/>
    <s v="C173"/>
    <s v="P025"/>
    <n v="1"/>
    <x v="478"/>
    <n v="0"/>
    <n v="253.39"/>
    <x v="1"/>
    <x v="0"/>
    <x v="0"/>
    <s v="Accessories"/>
    <x v="0"/>
  </r>
  <r>
    <s v="O1481"/>
    <x v="109"/>
    <s v="C066"/>
    <s v="P032"/>
    <n v="4"/>
    <x v="479"/>
    <n v="0.1"/>
    <n v="155.38999999999999"/>
    <x v="1"/>
    <x v="0"/>
    <x v="2"/>
    <s v="Paper"/>
    <x v="0"/>
  </r>
  <r>
    <s v="O1482"/>
    <x v="375"/>
    <s v="C117"/>
    <s v="P008"/>
    <n v="2"/>
    <x v="480"/>
    <n v="0.1"/>
    <n v="61.83"/>
    <x v="1"/>
    <x v="0"/>
    <x v="0"/>
    <s v="Accessories"/>
    <x v="0"/>
  </r>
  <r>
    <s v="O1483"/>
    <x v="376"/>
    <s v="C032"/>
    <s v="P031"/>
    <n v="5"/>
    <x v="481"/>
    <n v="0.2"/>
    <n v="301.36"/>
    <x v="3"/>
    <x v="1"/>
    <x v="2"/>
    <s v="Storage"/>
    <x v="0"/>
  </r>
  <r>
    <s v="O1484"/>
    <x v="377"/>
    <s v="C086"/>
    <s v="P016"/>
    <n v="1"/>
    <x v="482"/>
    <n v="0"/>
    <n v="286.60000000000002"/>
    <x v="3"/>
    <x v="1"/>
    <x v="1"/>
    <s v="Chair"/>
    <x v="0"/>
  </r>
  <r>
    <s v="O1485"/>
    <x v="284"/>
    <s v="C029"/>
    <s v="P063"/>
    <n v="3"/>
    <x v="483"/>
    <n v="0.3"/>
    <n v="128.35"/>
    <x v="0"/>
    <x v="2"/>
    <x v="2"/>
    <s v="Pen"/>
    <x v="0"/>
  </r>
  <r>
    <s v="O1486"/>
    <x v="322"/>
    <s v="C180"/>
    <s v="P038"/>
    <n v="1"/>
    <x v="484"/>
    <n v="0.3"/>
    <n v="46.56"/>
    <x v="3"/>
    <x v="1"/>
    <x v="0"/>
    <s v="Accessories"/>
    <x v="1"/>
  </r>
  <r>
    <s v="O1487"/>
    <x v="378"/>
    <s v="C022"/>
    <s v="P057"/>
    <n v="3"/>
    <x v="485"/>
    <n v="0.1"/>
    <n v="94.33"/>
    <x v="1"/>
    <x v="2"/>
    <x v="0"/>
    <s v="Laptop"/>
    <x v="0"/>
  </r>
  <r>
    <s v="O1488"/>
    <x v="46"/>
    <s v="C199"/>
    <s v="P031"/>
    <n v="4"/>
    <x v="486"/>
    <n v="0.2"/>
    <n v="81.41"/>
    <x v="0"/>
    <x v="2"/>
    <x v="2"/>
    <s v="Storage"/>
    <x v="1"/>
  </r>
  <r>
    <s v="O1489"/>
    <x v="379"/>
    <s v="C066"/>
    <s v="P065"/>
    <n v="2"/>
    <x v="487"/>
    <n v="0"/>
    <n v="79.290000000000006"/>
    <x v="1"/>
    <x v="0"/>
    <x v="1"/>
    <s v="Chair"/>
    <x v="0"/>
  </r>
  <r>
    <s v="O1490"/>
    <x v="380"/>
    <s v="C126"/>
    <s v="P003"/>
    <n v="1"/>
    <x v="488"/>
    <n v="0"/>
    <n v="115.68"/>
    <x v="0"/>
    <x v="2"/>
    <x v="2"/>
    <s v="Pen"/>
    <x v="1"/>
  </r>
  <r>
    <s v="O1491"/>
    <x v="36"/>
    <s v="C040"/>
    <s v="P073"/>
    <n v="5"/>
    <x v="489"/>
    <n v="0.1"/>
    <n v="38.549999999999997"/>
    <x v="1"/>
    <x v="0"/>
    <x v="1"/>
    <s v="Table"/>
    <x v="1"/>
  </r>
  <r>
    <s v="O1492"/>
    <x v="381"/>
    <s v="C178"/>
    <s v="P038"/>
    <n v="4"/>
    <x v="490"/>
    <n v="0.1"/>
    <n v="289.43"/>
    <x v="2"/>
    <x v="0"/>
    <x v="0"/>
    <s v="Accessories"/>
    <x v="0"/>
  </r>
  <r>
    <s v="O1493"/>
    <x v="241"/>
    <s v="C078"/>
    <s v="P097"/>
    <n v="1"/>
    <x v="491"/>
    <n v="0"/>
    <n v="255.59"/>
    <x v="2"/>
    <x v="2"/>
    <x v="2"/>
    <s v="Paper"/>
    <x v="0"/>
  </r>
  <r>
    <s v="O1494"/>
    <x v="268"/>
    <s v="C055"/>
    <s v="P018"/>
    <n v="5"/>
    <x v="492"/>
    <n v="0"/>
    <n v="83.79"/>
    <x v="0"/>
    <x v="2"/>
    <x v="2"/>
    <s v="Storage"/>
    <x v="0"/>
  </r>
  <r>
    <s v="O1495"/>
    <x v="382"/>
    <s v="C158"/>
    <s v="P004"/>
    <n v="1"/>
    <x v="493"/>
    <n v="0.1"/>
    <n v="126.14"/>
    <x v="3"/>
    <x v="0"/>
    <x v="0"/>
    <s v="Laptop"/>
    <x v="1"/>
  </r>
  <r>
    <s v="O1496"/>
    <x v="50"/>
    <s v="C061"/>
    <s v="P055"/>
    <n v="3"/>
    <x v="494"/>
    <n v="0"/>
    <n v="519.16999999999996"/>
    <x v="2"/>
    <x v="1"/>
    <x v="2"/>
    <s v="Binder"/>
    <x v="0"/>
  </r>
  <r>
    <s v="O1497"/>
    <x v="287"/>
    <s v="C114"/>
    <s v="P049"/>
    <n v="1"/>
    <x v="495"/>
    <n v="0.3"/>
    <n v="314.87"/>
    <x v="3"/>
    <x v="1"/>
    <x v="2"/>
    <s v="Paper"/>
    <x v="1"/>
  </r>
  <r>
    <s v="O1498"/>
    <x v="336"/>
    <s v="C098"/>
    <s v="P089"/>
    <n v="1"/>
    <x v="496"/>
    <n v="0.1"/>
    <n v="112.71"/>
    <x v="3"/>
    <x v="0"/>
    <x v="0"/>
    <s v="Phone"/>
    <x v="0"/>
  </r>
  <r>
    <s v="O1499"/>
    <x v="383"/>
    <s v="C111"/>
    <s v="P063"/>
    <n v="1"/>
    <x v="497"/>
    <n v="0"/>
    <n v="104.5"/>
    <x v="0"/>
    <x v="1"/>
    <x v="2"/>
    <s v="Pen"/>
    <x v="0"/>
  </r>
  <r>
    <s v="O1500"/>
    <x v="160"/>
    <s v="C125"/>
    <s v="P050"/>
    <n v="4"/>
    <x v="498"/>
    <n v="0.1"/>
    <n v="336.88"/>
    <x v="0"/>
    <x v="2"/>
    <x v="2"/>
    <s v="Pen"/>
    <x v="0"/>
  </r>
  <r>
    <s v="O1501"/>
    <x v="384"/>
    <s v="C082"/>
    <s v="P052"/>
    <n v="1"/>
    <x v="499"/>
    <n v="0.2"/>
    <n v="246.44"/>
    <x v="3"/>
    <x v="2"/>
    <x v="1"/>
    <s v="Chair"/>
    <x v="0"/>
  </r>
  <r>
    <s v="O1502"/>
    <x v="385"/>
    <s v="C099"/>
    <s v="P038"/>
    <n v="5"/>
    <x v="500"/>
    <n v="0.1"/>
    <n v="10.42"/>
    <x v="0"/>
    <x v="1"/>
    <x v="0"/>
    <s v="Accessories"/>
    <x v="0"/>
  </r>
  <r>
    <s v="O1503"/>
    <x v="354"/>
    <s v="C078"/>
    <s v="P076"/>
    <n v="3"/>
    <x v="501"/>
    <n v="0.1"/>
    <n v="17.14"/>
    <x v="2"/>
    <x v="2"/>
    <x v="1"/>
    <s v="Shelf"/>
    <x v="0"/>
  </r>
  <r>
    <s v="O1504"/>
    <x v="386"/>
    <s v="C033"/>
    <s v="P009"/>
    <n v="3"/>
    <x v="452"/>
    <n v="0.2"/>
    <n v="254.56"/>
    <x v="2"/>
    <x v="0"/>
    <x v="1"/>
    <s v="Chair"/>
    <x v="0"/>
  </r>
  <r>
    <s v="O1505"/>
    <x v="240"/>
    <s v="C167"/>
    <s v="P041"/>
    <n v="1"/>
    <x v="502"/>
    <n v="0.3"/>
    <n v="200.94"/>
    <x v="2"/>
    <x v="0"/>
    <x v="0"/>
    <s v="Tablet"/>
    <x v="0"/>
  </r>
  <r>
    <s v="O1506"/>
    <x v="387"/>
    <s v="C155"/>
    <s v="P073"/>
    <n v="4"/>
    <x v="503"/>
    <n v="0"/>
    <n v="110.94"/>
    <x v="1"/>
    <x v="1"/>
    <x v="1"/>
    <s v="Table"/>
    <x v="0"/>
  </r>
  <r>
    <s v="O1507"/>
    <x v="241"/>
    <s v="C159"/>
    <s v="P063"/>
    <n v="4"/>
    <x v="504"/>
    <n v="0.2"/>
    <n v="184.31"/>
    <x v="2"/>
    <x v="2"/>
    <x v="2"/>
    <s v="Pen"/>
    <x v="1"/>
  </r>
  <r>
    <s v="O1508"/>
    <x v="388"/>
    <s v="C077"/>
    <s v="P020"/>
    <n v="5"/>
    <x v="505"/>
    <n v="0.1"/>
    <n v="72.75"/>
    <x v="1"/>
    <x v="1"/>
    <x v="2"/>
    <s v="Pen"/>
    <x v="0"/>
  </r>
  <r>
    <s v="O1509"/>
    <x v="389"/>
    <s v="C130"/>
    <s v="P024"/>
    <n v="1"/>
    <x v="506"/>
    <n v="0"/>
    <n v="88.27"/>
    <x v="3"/>
    <x v="0"/>
    <x v="1"/>
    <s v="Desk"/>
    <x v="0"/>
  </r>
  <r>
    <s v="O1510"/>
    <x v="390"/>
    <s v="C199"/>
    <s v="P088"/>
    <n v="3"/>
    <x v="507"/>
    <n v="0.2"/>
    <n v="322.76"/>
    <x v="0"/>
    <x v="2"/>
    <x v="0"/>
    <s v="Laptop"/>
    <x v="0"/>
  </r>
  <r>
    <s v="O1511"/>
    <x v="391"/>
    <s v="C019"/>
    <s v="P093"/>
    <n v="4"/>
    <x v="508"/>
    <n v="0"/>
    <n v="65.66"/>
    <x v="2"/>
    <x v="0"/>
    <x v="2"/>
    <s v="Storage"/>
    <x v="1"/>
  </r>
  <r>
    <s v="O1512"/>
    <x v="320"/>
    <s v="C005"/>
    <s v="P051"/>
    <n v="1"/>
    <x v="509"/>
    <n v="0"/>
    <n v="93.03"/>
    <x v="1"/>
    <x v="0"/>
    <x v="0"/>
    <s v="Tablet"/>
    <x v="1"/>
  </r>
  <r>
    <s v="O1513"/>
    <x v="392"/>
    <s v="C124"/>
    <s v="P099"/>
    <n v="4"/>
    <x v="510"/>
    <n v="0.2"/>
    <n v="122.11"/>
    <x v="3"/>
    <x v="2"/>
    <x v="1"/>
    <s v="Desk"/>
    <x v="0"/>
  </r>
  <r>
    <s v="O1514"/>
    <x v="393"/>
    <s v="C048"/>
    <s v="P036"/>
    <n v="4"/>
    <x v="511"/>
    <n v="0"/>
    <n v="125.95"/>
    <x v="2"/>
    <x v="2"/>
    <x v="1"/>
    <s v="Shelf"/>
    <x v="0"/>
  </r>
  <r>
    <s v="O1515"/>
    <x v="394"/>
    <s v="C005"/>
    <s v="P041"/>
    <n v="3"/>
    <x v="512"/>
    <n v="0.3"/>
    <n v="86.99"/>
    <x v="1"/>
    <x v="0"/>
    <x v="0"/>
    <s v="Tablet"/>
    <x v="1"/>
  </r>
  <r>
    <s v="O1516"/>
    <x v="337"/>
    <s v="C072"/>
    <s v="P049"/>
    <n v="2"/>
    <x v="513"/>
    <n v="0.2"/>
    <n v="39.56"/>
    <x v="3"/>
    <x v="2"/>
    <x v="2"/>
    <s v="Paper"/>
    <x v="0"/>
  </r>
  <r>
    <s v="O1517"/>
    <x v="395"/>
    <s v="C158"/>
    <s v="P066"/>
    <n v="5"/>
    <x v="514"/>
    <n v="0.3"/>
    <n v="256.18"/>
    <x v="3"/>
    <x v="0"/>
    <x v="1"/>
    <s v="Desk"/>
    <x v="0"/>
  </r>
  <r>
    <s v="O1518"/>
    <x v="396"/>
    <s v="C131"/>
    <s v="P047"/>
    <n v="5"/>
    <x v="515"/>
    <n v="0.1"/>
    <n v="312.52999999999997"/>
    <x v="2"/>
    <x v="0"/>
    <x v="2"/>
    <s v="Pen"/>
    <x v="0"/>
  </r>
  <r>
    <s v="O1519"/>
    <x v="397"/>
    <s v="C068"/>
    <s v="P024"/>
    <n v="3"/>
    <x v="516"/>
    <n v="0"/>
    <n v="150.94"/>
    <x v="0"/>
    <x v="1"/>
    <x v="1"/>
    <s v="Desk"/>
    <x v="1"/>
  </r>
  <r>
    <s v="O1520"/>
    <x v="53"/>
    <s v="C103"/>
    <s v="P087"/>
    <n v="4"/>
    <x v="517"/>
    <n v="0.1"/>
    <n v="251.18"/>
    <x v="3"/>
    <x v="1"/>
    <x v="0"/>
    <s v="Phone"/>
    <x v="0"/>
  </r>
  <r>
    <s v="O1521"/>
    <x v="361"/>
    <s v="C081"/>
    <s v="P056"/>
    <n v="1"/>
    <x v="518"/>
    <n v="0.1"/>
    <n v="51.12"/>
    <x v="2"/>
    <x v="0"/>
    <x v="2"/>
    <s v="Paper"/>
    <x v="0"/>
  </r>
  <r>
    <s v="O1522"/>
    <x v="362"/>
    <s v="C033"/>
    <s v="P071"/>
    <n v="4"/>
    <x v="519"/>
    <n v="0"/>
    <n v="298.36"/>
    <x v="2"/>
    <x v="0"/>
    <x v="0"/>
    <s v="Laptop"/>
    <x v="1"/>
  </r>
  <r>
    <s v="O1523"/>
    <x v="398"/>
    <s v="C061"/>
    <s v="P002"/>
    <n v="3"/>
    <x v="520"/>
    <n v="0.2"/>
    <n v="216.32"/>
    <x v="2"/>
    <x v="1"/>
    <x v="1"/>
    <s v="Chair"/>
    <x v="0"/>
  </r>
  <r>
    <s v="O1524"/>
    <x v="399"/>
    <s v="C081"/>
    <s v="P048"/>
    <n v="5"/>
    <x v="521"/>
    <n v="0"/>
    <n v="77.11"/>
    <x v="2"/>
    <x v="0"/>
    <x v="1"/>
    <s v="Table"/>
    <x v="0"/>
  </r>
  <r>
    <s v="O1525"/>
    <x v="343"/>
    <s v="C091"/>
    <s v="P011"/>
    <n v="4"/>
    <x v="522"/>
    <n v="0.1"/>
    <n v="189.31"/>
    <x v="3"/>
    <x v="1"/>
    <x v="0"/>
    <s v="Accessories"/>
    <x v="0"/>
  </r>
  <r>
    <s v="O1526"/>
    <x v="216"/>
    <s v="C199"/>
    <s v="P030"/>
    <n v="5"/>
    <x v="523"/>
    <n v="0.1"/>
    <n v="207.14"/>
    <x v="0"/>
    <x v="2"/>
    <x v="1"/>
    <s v="Shelf"/>
    <x v="0"/>
  </r>
  <r>
    <s v="O1527"/>
    <x v="400"/>
    <s v="C178"/>
    <s v="P078"/>
    <n v="1"/>
    <x v="524"/>
    <n v="0.2"/>
    <n v="53.8"/>
    <x v="2"/>
    <x v="0"/>
    <x v="2"/>
    <s v="Storage"/>
    <x v="1"/>
  </r>
  <r>
    <s v="O1528"/>
    <x v="77"/>
    <s v="C035"/>
    <s v="P016"/>
    <n v="5"/>
    <x v="525"/>
    <n v="0"/>
    <n v="244.95"/>
    <x v="1"/>
    <x v="1"/>
    <x v="1"/>
    <s v="Chair"/>
    <x v="1"/>
  </r>
  <r>
    <s v="O1529"/>
    <x v="401"/>
    <s v="C114"/>
    <s v="P062"/>
    <n v="5"/>
    <x v="526"/>
    <n v="0.1"/>
    <n v="136.4"/>
    <x v="3"/>
    <x v="1"/>
    <x v="1"/>
    <s v="Shelf"/>
    <x v="0"/>
  </r>
  <r>
    <s v="O1530"/>
    <x v="402"/>
    <s v="C064"/>
    <s v="P004"/>
    <n v="2"/>
    <x v="527"/>
    <n v="0.3"/>
    <n v="151.30000000000001"/>
    <x v="0"/>
    <x v="0"/>
    <x v="0"/>
    <s v="Laptop"/>
    <x v="0"/>
  </r>
  <r>
    <s v="O1531"/>
    <x v="403"/>
    <s v="C141"/>
    <s v="P071"/>
    <n v="2"/>
    <x v="528"/>
    <n v="0.1"/>
    <n v="574.01"/>
    <x v="1"/>
    <x v="2"/>
    <x v="0"/>
    <s v="Laptop"/>
    <x v="0"/>
  </r>
  <r>
    <s v="O1532"/>
    <x v="271"/>
    <s v="C119"/>
    <s v="P078"/>
    <n v="2"/>
    <x v="529"/>
    <n v="0.1"/>
    <n v="107.46"/>
    <x v="3"/>
    <x v="1"/>
    <x v="2"/>
    <s v="Storage"/>
    <x v="0"/>
  </r>
  <r>
    <s v="O1533"/>
    <x v="384"/>
    <s v="C173"/>
    <s v="P011"/>
    <n v="5"/>
    <x v="530"/>
    <n v="0.2"/>
    <n v="128.83000000000001"/>
    <x v="1"/>
    <x v="0"/>
    <x v="0"/>
    <s v="Accessories"/>
    <x v="0"/>
  </r>
  <r>
    <s v="O1534"/>
    <x v="300"/>
    <s v="C010"/>
    <s v="P015"/>
    <n v="3"/>
    <x v="531"/>
    <n v="0.3"/>
    <n v="90.1"/>
    <x v="2"/>
    <x v="2"/>
    <x v="0"/>
    <s v="Tablet"/>
    <x v="0"/>
  </r>
  <r>
    <s v="O1535"/>
    <x v="115"/>
    <s v="C074"/>
    <s v="P089"/>
    <n v="5"/>
    <x v="532"/>
    <n v="0.1"/>
    <n v="405.07"/>
    <x v="2"/>
    <x v="1"/>
    <x v="0"/>
    <s v="Phone"/>
    <x v="1"/>
  </r>
  <r>
    <s v="O1536"/>
    <x v="404"/>
    <s v="C010"/>
    <s v="P024"/>
    <n v="3"/>
    <x v="533"/>
    <n v="0.1"/>
    <n v="162.93"/>
    <x v="2"/>
    <x v="2"/>
    <x v="1"/>
    <s v="Desk"/>
    <x v="0"/>
  </r>
  <r>
    <s v="O1537"/>
    <x v="405"/>
    <s v="C152"/>
    <s v="P067"/>
    <n v="3"/>
    <x v="534"/>
    <n v="0.3"/>
    <n v="80.790000000000006"/>
    <x v="1"/>
    <x v="1"/>
    <x v="2"/>
    <s v="Binder"/>
    <x v="0"/>
  </r>
  <r>
    <s v="O1538"/>
    <x v="406"/>
    <s v="C102"/>
    <s v="P004"/>
    <n v="2"/>
    <x v="535"/>
    <n v="0"/>
    <n v="153.52000000000001"/>
    <x v="1"/>
    <x v="0"/>
    <x v="0"/>
    <s v="Laptop"/>
    <x v="0"/>
  </r>
  <r>
    <s v="O1539"/>
    <x v="308"/>
    <s v="C146"/>
    <s v="P018"/>
    <n v="4"/>
    <x v="536"/>
    <n v="0"/>
    <n v="216.38"/>
    <x v="3"/>
    <x v="0"/>
    <x v="2"/>
    <s v="Storage"/>
    <x v="1"/>
  </r>
  <r>
    <s v="O1540"/>
    <x v="407"/>
    <s v="C139"/>
    <s v="P056"/>
    <n v="1"/>
    <x v="537"/>
    <n v="0.1"/>
    <n v="61.92"/>
    <x v="0"/>
    <x v="0"/>
    <x v="2"/>
    <s v="Paper"/>
    <x v="0"/>
  </r>
  <r>
    <s v="O1541"/>
    <x v="408"/>
    <s v="C125"/>
    <s v="P054"/>
    <n v="2"/>
    <x v="538"/>
    <n v="0.1"/>
    <n v="214.04"/>
    <x v="0"/>
    <x v="2"/>
    <x v="1"/>
    <s v="Shelf"/>
    <x v="0"/>
  </r>
  <r>
    <s v="O1542"/>
    <x v="409"/>
    <s v="C059"/>
    <s v="P076"/>
    <n v="2"/>
    <x v="539"/>
    <n v="0"/>
    <n v="210.69"/>
    <x v="1"/>
    <x v="2"/>
    <x v="1"/>
    <s v="Shelf"/>
    <x v="0"/>
  </r>
  <r>
    <s v="O1543"/>
    <x v="410"/>
    <s v="C123"/>
    <s v="P036"/>
    <n v="4"/>
    <x v="540"/>
    <n v="0.2"/>
    <n v="298"/>
    <x v="2"/>
    <x v="0"/>
    <x v="1"/>
    <s v="Shelf"/>
    <x v="1"/>
  </r>
  <r>
    <s v="O1544"/>
    <x v="411"/>
    <s v="C085"/>
    <s v="P034"/>
    <n v="1"/>
    <x v="541"/>
    <n v="0.3"/>
    <n v="124.11"/>
    <x v="2"/>
    <x v="0"/>
    <x v="2"/>
    <s v="Storage"/>
    <x v="0"/>
  </r>
  <r>
    <s v="O1545"/>
    <x v="412"/>
    <s v="C038"/>
    <s v="P084"/>
    <n v="5"/>
    <x v="542"/>
    <n v="0.3"/>
    <n v="153.19999999999999"/>
    <x v="0"/>
    <x v="0"/>
    <x v="2"/>
    <s v="Paper"/>
    <x v="0"/>
  </r>
  <r>
    <s v="O1546"/>
    <x v="413"/>
    <s v="C110"/>
    <s v="P056"/>
    <n v="5"/>
    <x v="543"/>
    <n v="0.2"/>
    <n v="548"/>
    <x v="3"/>
    <x v="0"/>
    <x v="2"/>
    <s v="Paper"/>
    <x v="0"/>
  </r>
  <r>
    <s v="O1547"/>
    <x v="20"/>
    <s v="C186"/>
    <s v="P058"/>
    <n v="2"/>
    <x v="544"/>
    <n v="0.2"/>
    <n v="277.36"/>
    <x v="2"/>
    <x v="0"/>
    <x v="2"/>
    <s v="Paper"/>
    <x v="0"/>
  </r>
  <r>
    <s v="O1548"/>
    <x v="414"/>
    <s v="C061"/>
    <s v="P005"/>
    <n v="1"/>
    <x v="545"/>
    <n v="0.2"/>
    <n v="243.68"/>
    <x v="2"/>
    <x v="1"/>
    <x v="2"/>
    <s v="Paper"/>
    <x v="1"/>
  </r>
  <r>
    <s v="O1549"/>
    <x v="415"/>
    <s v="C189"/>
    <s v="P066"/>
    <n v="2"/>
    <x v="546"/>
    <n v="0.2"/>
    <n v="46.7"/>
    <x v="0"/>
    <x v="2"/>
    <x v="1"/>
    <s v="Desk"/>
    <x v="0"/>
  </r>
  <r>
    <s v="O1550"/>
    <x v="416"/>
    <s v="C040"/>
    <s v="P057"/>
    <n v="3"/>
    <x v="547"/>
    <n v="0.2"/>
    <n v="241.17"/>
    <x v="1"/>
    <x v="0"/>
    <x v="0"/>
    <s v="Laptop"/>
    <x v="0"/>
  </r>
  <r>
    <s v="O1551"/>
    <x v="64"/>
    <s v="C169"/>
    <s v="P060"/>
    <n v="2"/>
    <x v="548"/>
    <n v="0.2"/>
    <n v="239.93"/>
    <x v="3"/>
    <x v="1"/>
    <x v="1"/>
    <s v="Chair"/>
    <x v="0"/>
  </r>
  <r>
    <s v="O1552"/>
    <x v="417"/>
    <s v="C034"/>
    <s v="P097"/>
    <n v="2"/>
    <x v="549"/>
    <n v="0.3"/>
    <n v="77.489999999999995"/>
    <x v="1"/>
    <x v="0"/>
    <x v="2"/>
    <s v="Paper"/>
    <x v="0"/>
  </r>
  <r>
    <s v="O1553"/>
    <x v="196"/>
    <s v="C132"/>
    <s v="P041"/>
    <n v="5"/>
    <x v="550"/>
    <n v="0.2"/>
    <n v="22.15"/>
    <x v="1"/>
    <x v="0"/>
    <x v="0"/>
    <s v="Tablet"/>
    <x v="0"/>
  </r>
  <r>
    <s v="O1554"/>
    <x v="319"/>
    <s v="C167"/>
    <s v="P063"/>
    <n v="5"/>
    <x v="551"/>
    <n v="0"/>
    <n v="87.14"/>
    <x v="2"/>
    <x v="0"/>
    <x v="2"/>
    <s v="Pen"/>
    <x v="0"/>
  </r>
  <r>
    <s v="O1555"/>
    <x v="35"/>
    <s v="C083"/>
    <s v="P036"/>
    <n v="5"/>
    <x v="552"/>
    <n v="0.2"/>
    <n v="59.52"/>
    <x v="1"/>
    <x v="0"/>
    <x v="1"/>
    <s v="Shelf"/>
    <x v="1"/>
  </r>
  <r>
    <s v="O1556"/>
    <x v="418"/>
    <s v="C187"/>
    <s v="P074"/>
    <n v="3"/>
    <x v="553"/>
    <n v="0.2"/>
    <n v="426.71"/>
    <x v="2"/>
    <x v="2"/>
    <x v="1"/>
    <s v="Table"/>
    <x v="0"/>
  </r>
  <r>
    <s v="O1557"/>
    <x v="61"/>
    <s v="C154"/>
    <s v="P020"/>
    <n v="5"/>
    <x v="554"/>
    <n v="0.3"/>
    <n v="258.42"/>
    <x v="3"/>
    <x v="0"/>
    <x v="2"/>
    <s v="Pen"/>
    <x v="0"/>
  </r>
  <r>
    <s v="O1558"/>
    <x v="419"/>
    <s v="C138"/>
    <s v="P087"/>
    <n v="1"/>
    <x v="555"/>
    <n v="0.3"/>
    <n v="50.38"/>
    <x v="0"/>
    <x v="1"/>
    <x v="0"/>
    <s v="Phone"/>
    <x v="0"/>
  </r>
  <r>
    <s v="O1559"/>
    <x v="138"/>
    <s v="C182"/>
    <s v="P024"/>
    <n v="4"/>
    <x v="556"/>
    <n v="0.2"/>
    <n v="104.18"/>
    <x v="1"/>
    <x v="2"/>
    <x v="1"/>
    <s v="Desk"/>
    <x v="0"/>
  </r>
  <r>
    <s v="O1560"/>
    <x v="284"/>
    <s v="C074"/>
    <s v="P030"/>
    <n v="1"/>
    <x v="557"/>
    <n v="0.3"/>
    <n v="100.69"/>
    <x v="2"/>
    <x v="1"/>
    <x v="1"/>
    <s v="Shelf"/>
    <x v="0"/>
  </r>
  <r>
    <s v="O1561"/>
    <x v="420"/>
    <s v="C112"/>
    <s v="P059"/>
    <n v="1"/>
    <x v="558"/>
    <n v="0.1"/>
    <n v="489.99"/>
    <x v="2"/>
    <x v="0"/>
    <x v="1"/>
    <s v="Table"/>
    <x v="1"/>
  </r>
  <r>
    <s v="O1562"/>
    <x v="421"/>
    <s v="C134"/>
    <s v="P038"/>
    <n v="5"/>
    <x v="559"/>
    <n v="0.3"/>
    <n v="321.17"/>
    <x v="3"/>
    <x v="1"/>
    <x v="0"/>
    <s v="Accessories"/>
    <x v="0"/>
  </r>
  <r>
    <s v="O1563"/>
    <x v="422"/>
    <s v="C040"/>
    <s v="P082"/>
    <n v="4"/>
    <x v="560"/>
    <n v="0.3"/>
    <n v="91.92"/>
    <x v="1"/>
    <x v="0"/>
    <x v="0"/>
    <s v="Accessories"/>
    <x v="1"/>
  </r>
  <r>
    <s v="O1564"/>
    <x v="423"/>
    <s v="C014"/>
    <s v="P053"/>
    <n v="4"/>
    <x v="561"/>
    <n v="0.3"/>
    <n v="283.27"/>
    <x v="1"/>
    <x v="0"/>
    <x v="0"/>
    <s v="Accessories"/>
    <x v="0"/>
  </r>
  <r>
    <s v="O1565"/>
    <x v="424"/>
    <s v="C004"/>
    <s v="P074"/>
    <n v="4"/>
    <x v="562"/>
    <n v="0.3"/>
    <n v="168.45"/>
    <x v="2"/>
    <x v="2"/>
    <x v="1"/>
    <s v="Table"/>
    <x v="0"/>
  </r>
  <r>
    <s v="O1566"/>
    <x v="425"/>
    <s v="C025"/>
    <s v="P071"/>
    <n v="3"/>
    <x v="563"/>
    <n v="0"/>
    <n v="150.88"/>
    <x v="3"/>
    <x v="1"/>
    <x v="0"/>
    <s v="Laptop"/>
    <x v="0"/>
  </r>
  <r>
    <s v="O1567"/>
    <x v="426"/>
    <s v="C055"/>
    <s v="P035"/>
    <n v="5"/>
    <x v="564"/>
    <n v="0"/>
    <n v="448.43"/>
    <x v="0"/>
    <x v="2"/>
    <x v="1"/>
    <s v="Chair"/>
    <x v="0"/>
  </r>
  <r>
    <s v="O1568"/>
    <x v="427"/>
    <s v="C193"/>
    <s v="P075"/>
    <n v="4"/>
    <x v="565"/>
    <n v="0"/>
    <n v="206.36"/>
    <x v="1"/>
    <x v="2"/>
    <x v="2"/>
    <s v="Pen"/>
    <x v="0"/>
  </r>
  <r>
    <s v="O1569"/>
    <x v="19"/>
    <s v="C115"/>
    <s v="P098"/>
    <n v="3"/>
    <x v="566"/>
    <n v="0.2"/>
    <n v="214.3"/>
    <x v="1"/>
    <x v="1"/>
    <x v="1"/>
    <s v="Shelf"/>
    <x v="0"/>
  </r>
  <r>
    <s v="O1570"/>
    <x v="428"/>
    <s v="C050"/>
    <s v="P025"/>
    <n v="2"/>
    <x v="567"/>
    <n v="0.2"/>
    <n v="213.91"/>
    <x v="0"/>
    <x v="0"/>
    <x v="0"/>
    <s v="Accessories"/>
    <x v="0"/>
  </r>
  <r>
    <s v="O1571"/>
    <x v="429"/>
    <s v="C007"/>
    <s v="P012"/>
    <n v="2"/>
    <x v="568"/>
    <n v="0.1"/>
    <n v="138.62"/>
    <x v="1"/>
    <x v="2"/>
    <x v="0"/>
    <s v="Laptop"/>
    <x v="0"/>
  </r>
  <r>
    <s v="O1572"/>
    <x v="430"/>
    <s v="C185"/>
    <s v="P075"/>
    <n v="3"/>
    <x v="569"/>
    <n v="0"/>
    <n v="93.9"/>
    <x v="1"/>
    <x v="2"/>
    <x v="2"/>
    <s v="Pen"/>
    <x v="0"/>
  </r>
  <r>
    <s v="O1573"/>
    <x v="431"/>
    <s v="C079"/>
    <s v="P043"/>
    <n v="3"/>
    <x v="570"/>
    <n v="0.2"/>
    <n v="43.21"/>
    <x v="3"/>
    <x v="1"/>
    <x v="1"/>
    <s v="Table"/>
    <x v="1"/>
  </r>
  <r>
    <s v="O1574"/>
    <x v="432"/>
    <s v="C045"/>
    <s v="P052"/>
    <n v="5"/>
    <x v="571"/>
    <n v="0.3"/>
    <n v="402.73"/>
    <x v="2"/>
    <x v="0"/>
    <x v="1"/>
    <s v="Chair"/>
    <x v="0"/>
  </r>
  <r>
    <s v="O1575"/>
    <x v="103"/>
    <s v="C186"/>
    <s v="P071"/>
    <n v="5"/>
    <x v="572"/>
    <n v="0.3"/>
    <n v="400.81"/>
    <x v="2"/>
    <x v="0"/>
    <x v="0"/>
    <s v="Laptop"/>
    <x v="0"/>
  </r>
  <r>
    <s v="O1576"/>
    <x v="433"/>
    <s v="C006"/>
    <s v="P007"/>
    <n v="2"/>
    <x v="573"/>
    <n v="0"/>
    <n v="63.8"/>
    <x v="3"/>
    <x v="0"/>
    <x v="1"/>
    <s v="Desk"/>
    <x v="0"/>
  </r>
  <r>
    <s v="O1577"/>
    <x v="349"/>
    <s v="C133"/>
    <s v="P058"/>
    <n v="4"/>
    <x v="574"/>
    <n v="0.1"/>
    <n v="69.599999999999994"/>
    <x v="0"/>
    <x v="2"/>
    <x v="2"/>
    <s v="Paper"/>
    <x v="0"/>
  </r>
  <r>
    <s v="O1578"/>
    <x v="434"/>
    <s v="C082"/>
    <s v="P028"/>
    <n v="2"/>
    <x v="575"/>
    <n v="0.1"/>
    <n v="35.5"/>
    <x v="3"/>
    <x v="2"/>
    <x v="0"/>
    <s v="Laptop"/>
    <x v="0"/>
  </r>
  <r>
    <s v="O1579"/>
    <x v="33"/>
    <s v="C108"/>
    <s v="P010"/>
    <n v="4"/>
    <x v="576"/>
    <n v="0.3"/>
    <n v="181.99"/>
    <x v="2"/>
    <x v="0"/>
    <x v="2"/>
    <s v="Paper"/>
    <x v="0"/>
  </r>
  <r>
    <s v="O1580"/>
    <x v="435"/>
    <s v="C117"/>
    <s v="P026"/>
    <n v="4"/>
    <x v="577"/>
    <n v="0.1"/>
    <n v="161.07"/>
    <x v="1"/>
    <x v="0"/>
    <x v="0"/>
    <s v="Phone"/>
    <x v="0"/>
  </r>
  <r>
    <s v="O1581"/>
    <x v="247"/>
    <s v="C131"/>
    <s v="P001"/>
    <n v="5"/>
    <x v="578"/>
    <n v="0"/>
    <n v="162.09"/>
    <x v="2"/>
    <x v="0"/>
    <x v="2"/>
    <s v="Storage"/>
    <x v="0"/>
  </r>
  <r>
    <s v="O1582"/>
    <x v="399"/>
    <s v="C154"/>
    <s v="P085"/>
    <n v="1"/>
    <x v="579"/>
    <n v="0.3"/>
    <n v="272.99"/>
    <x v="3"/>
    <x v="0"/>
    <x v="0"/>
    <s v="Tablet"/>
    <x v="0"/>
  </r>
  <r>
    <s v="O1583"/>
    <x v="109"/>
    <s v="C101"/>
    <s v="P012"/>
    <n v="1"/>
    <x v="580"/>
    <n v="0.2"/>
    <n v="76.89"/>
    <x v="1"/>
    <x v="1"/>
    <x v="0"/>
    <s v="Laptop"/>
    <x v="0"/>
  </r>
  <r>
    <s v="O1584"/>
    <x v="7"/>
    <s v="C040"/>
    <s v="P078"/>
    <n v="3"/>
    <x v="581"/>
    <n v="0.2"/>
    <n v="101.22"/>
    <x v="1"/>
    <x v="0"/>
    <x v="2"/>
    <s v="Storage"/>
    <x v="0"/>
  </r>
  <r>
    <s v="O1585"/>
    <x v="53"/>
    <s v="C052"/>
    <s v="P012"/>
    <n v="5"/>
    <x v="582"/>
    <n v="0.1"/>
    <n v="283.93"/>
    <x v="2"/>
    <x v="2"/>
    <x v="0"/>
    <s v="Laptop"/>
    <x v="0"/>
  </r>
  <r>
    <s v="O1586"/>
    <x v="366"/>
    <s v="C107"/>
    <s v="P086"/>
    <n v="4"/>
    <x v="583"/>
    <n v="0.3"/>
    <n v="86.59"/>
    <x v="2"/>
    <x v="1"/>
    <x v="1"/>
    <s v="Shelf"/>
    <x v="0"/>
  </r>
  <r>
    <s v="O1587"/>
    <x v="436"/>
    <s v="C107"/>
    <s v="P049"/>
    <n v="1"/>
    <x v="584"/>
    <n v="0.3"/>
    <n v="580.57000000000005"/>
    <x v="2"/>
    <x v="1"/>
    <x v="2"/>
    <s v="Paper"/>
    <x v="1"/>
  </r>
  <r>
    <s v="O1588"/>
    <x v="437"/>
    <s v="C118"/>
    <s v="P005"/>
    <n v="4"/>
    <x v="585"/>
    <n v="0.2"/>
    <n v="133.44999999999999"/>
    <x v="3"/>
    <x v="0"/>
    <x v="2"/>
    <s v="Paper"/>
    <x v="0"/>
  </r>
  <r>
    <s v="O1589"/>
    <x v="438"/>
    <s v="C169"/>
    <s v="P005"/>
    <n v="1"/>
    <x v="586"/>
    <n v="0.3"/>
    <n v="28.07"/>
    <x v="3"/>
    <x v="1"/>
    <x v="2"/>
    <s v="Paper"/>
    <x v="0"/>
  </r>
  <r>
    <s v="O1590"/>
    <x v="430"/>
    <s v="C197"/>
    <s v="P099"/>
    <n v="1"/>
    <x v="587"/>
    <n v="0.3"/>
    <n v="139.69999999999999"/>
    <x v="3"/>
    <x v="1"/>
    <x v="1"/>
    <s v="Desk"/>
    <x v="0"/>
  </r>
  <r>
    <s v="O1591"/>
    <x v="19"/>
    <s v="C015"/>
    <s v="P029"/>
    <n v="1"/>
    <x v="588"/>
    <n v="0.3"/>
    <n v="173.87"/>
    <x v="3"/>
    <x v="1"/>
    <x v="1"/>
    <s v="Shelf"/>
    <x v="0"/>
  </r>
  <r>
    <s v="O1592"/>
    <x v="392"/>
    <s v="C059"/>
    <s v="P057"/>
    <n v="5"/>
    <x v="589"/>
    <n v="0.1"/>
    <n v="219.56"/>
    <x v="1"/>
    <x v="2"/>
    <x v="0"/>
    <s v="Laptop"/>
    <x v="0"/>
  </r>
  <r>
    <s v="O1593"/>
    <x v="293"/>
    <s v="C098"/>
    <s v="P015"/>
    <n v="2"/>
    <x v="590"/>
    <n v="0.3"/>
    <n v="44.46"/>
    <x v="3"/>
    <x v="0"/>
    <x v="0"/>
    <s v="Tablet"/>
    <x v="0"/>
  </r>
  <r>
    <s v="O1594"/>
    <x v="439"/>
    <s v="C048"/>
    <s v="P068"/>
    <n v="4"/>
    <x v="591"/>
    <n v="0"/>
    <n v="23.88"/>
    <x v="2"/>
    <x v="2"/>
    <x v="1"/>
    <s v="Table"/>
    <x v="0"/>
  </r>
  <r>
    <s v="O1595"/>
    <x v="61"/>
    <s v="C200"/>
    <s v="P093"/>
    <n v="5"/>
    <x v="592"/>
    <n v="0.1"/>
    <n v="101.15"/>
    <x v="3"/>
    <x v="0"/>
    <x v="2"/>
    <s v="Storage"/>
    <x v="0"/>
  </r>
  <r>
    <s v="O1596"/>
    <x v="440"/>
    <s v="C074"/>
    <s v="P075"/>
    <n v="5"/>
    <x v="593"/>
    <n v="0.3"/>
    <n v="85.84"/>
    <x v="2"/>
    <x v="1"/>
    <x v="2"/>
    <s v="Pen"/>
    <x v="1"/>
  </r>
  <r>
    <s v="O1597"/>
    <x v="190"/>
    <s v="C145"/>
    <s v="P066"/>
    <n v="5"/>
    <x v="594"/>
    <n v="0.3"/>
    <n v="429.63"/>
    <x v="1"/>
    <x v="2"/>
    <x v="1"/>
    <s v="Desk"/>
    <x v="0"/>
  </r>
  <r>
    <s v="O1598"/>
    <x v="441"/>
    <s v="C060"/>
    <s v="P029"/>
    <n v="5"/>
    <x v="595"/>
    <n v="0"/>
    <n v="171.09"/>
    <x v="1"/>
    <x v="2"/>
    <x v="1"/>
    <s v="Shelf"/>
    <x v="0"/>
  </r>
  <r>
    <s v="O1599"/>
    <x v="442"/>
    <s v="C157"/>
    <s v="P051"/>
    <n v="5"/>
    <x v="596"/>
    <n v="0.1"/>
    <n v="94.72"/>
    <x v="0"/>
    <x v="2"/>
    <x v="0"/>
    <s v="Tablet"/>
    <x v="0"/>
  </r>
  <r>
    <s v="O1600"/>
    <x v="93"/>
    <s v="C153"/>
    <s v="P016"/>
    <n v="3"/>
    <x v="597"/>
    <n v="0.2"/>
    <n v="261.91000000000003"/>
    <x v="2"/>
    <x v="2"/>
    <x v="1"/>
    <s v="Chair"/>
    <x v="0"/>
  </r>
  <r>
    <s v="O1601"/>
    <x v="95"/>
    <s v="C174"/>
    <s v="P081"/>
    <n v="4"/>
    <x v="598"/>
    <n v="0.2"/>
    <n v="298.91000000000003"/>
    <x v="1"/>
    <x v="2"/>
    <x v="2"/>
    <s v="Pen"/>
    <x v="0"/>
  </r>
  <r>
    <s v="O1602"/>
    <x v="443"/>
    <s v="C070"/>
    <s v="P063"/>
    <n v="5"/>
    <x v="599"/>
    <n v="0.1"/>
    <n v="99.97"/>
    <x v="3"/>
    <x v="1"/>
    <x v="2"/>
    <s v="Pen"/>
    <x v="0"/>
  </r>
  <r>
    <s v="O1603"/>
    <x v="169"/>
    <s v="C179"/>
    <s v="P063"/>
    <n v="4"/>
    <x v="600"/>
    <n v="0.3"/>
    <n v="129.72999999999999"/>
    <x v="3"/>
    <x v="1"/>
    <x v="2"/>
    <s v="Pen"/>
    <x v="0"/>
  </r>
  <r>
    <s v="O1604"/>
    <x v="444"/>
    <s v="C052"/>
    <s v="P074"/>
    <n v="3"/>
    <x v="601"/>
    <n v="0.3"/>
    <n v="13.6"/>
    <x v="2"/>
    <x v="2"/>
    <x v="1"/>
    <s v="Table"/>
    <x v="0"/>
  </r>
  <r>
    <s v="O1605"/>
    <x v="198"/>
    <s v="C002"/>
    <s v="P020"/>
    <n v="3"/>
    <x v="602"/>
    <n v="0.2"/>
    <n v="192.31"/>
    <x v="1"/>
    <x v="1"/>
    <x v="2"/>
    <s v="Pen"/>
    <x v="0"/>
  </r>
  <r>
    <s v="O1606"/>
    <x v="302"/>
    <s v="C155"/>
    <s v="P044"/>
    <n v="4"/>
    <x v="603"/>
    <n v="0.2"/>
    <n v="318.97000000000003"/>
    <x v="1"/>
    <x v="1"/>
    <x v="1"/>
    <s v="Table"/>
    <x v="0"/>
  </r>
  <r>
    <s v="O1607"/>
    <x v="64"/>
    <s v="C019"/>
    <s v="P026"/>
    <n v="1"/>
    <x v="604"/>
    <n v="0.2"/>
    <n v="537.22"/>
    <x v="2"/>
    <x v="0"/>
    <x v="0"/>
    <s v="Phone"/>
    <x v="0"/>
  </r>
  <r>
    <s v="O1608"/>
    <x v="180"/>
    <s v="C121"/>
    <s v="P092"/>
    <n v="2"/>
    <x v="605"/>
    <n v="0"/>
    <n v="384.68"/>
    <x v="0"/>
    <x v="2"/>
    <x v="0"/>
    <s v="Phone"/>
    <x v="0"/>
  </r>
  <r>
    <s v="O1609"/>
    <x v="361"/>
    <s v="C096"/>
    <s v="P009"/>
    <n v="1"/>
    <x v="606"/>
    <n v="0.2"/>
    <n v="219.1"/>
    <x v="0"/>
    <x v="2"/>
    <x v="1"/>
    <s v="Chair"/>
    <x v="0"/>
  </r>
  <r>
    <s v="O1610"/>
    <x v="445"/>
    <s v="C010"/>
    <s v="P024"/>
    <n v="1"/>
    <x v="607"/>
    <n v="0"/>
    <n v="454.72"/>
    <x v="2"/>
    <x v="2"/>
    <x v="1"/>
    <s v="Desk"/>
    <x v="0"/>
  </r>
  <r>
    <s v="O1611"/>
    <x v="446"/>
    <s v="C079"/>
    <s v="P073"/>
    <n v="1"/>
    <x v="608"/>
    <n v="0.1"/>
    <n v="162.11000000000001"/>
    <x v="3"/>
    <x v="1"/>
    <x v="1"/>
    <s v="Table"/>
    <x v="0"/>
  </r>
  <r>
    <s v="O1612"/>
    <x v="9"/>
    <s v="C182"/>
    <s v="P096"/>
    <n v="5"/>
    <x v="609"/>
    <n v="0.3"/>
    <n v="79.099999999999994"/>
    <x v="1"/>
    <x v="2"/>
    <x v="0"/>
    <s v="Laptop"/>
    <x v="0"/>
  </r>
  <r>
    <s v="O1613"/>
    <x v="447"/>
    <s v="C163"/>
    <s v="P024"/>
    <n v="3"/>
    <x v="610"/>
    <n v="0.2"/>
    <n v="410.69"/>
    <x v="0"/>
    <x v="1"/>
    <x v="1"/>
    <s v="Desk"/>
    <x v="0"/>
  </r>
  <r>
    <s v="O1614"/>
    <x v="448"/>
    <s v="C072"/>
    <s v="P056"/>
    <n v="1"/>
    <x v="611"/>
    <n v="0.3"/>
    <n v="331.68"/>
    <x v="3"/>
    <x v="2"/>
    <x v="2"/>
    <s v="Paper"/>
    <x v="0"/>
  </r>
  <r>
    <s v="O1615"/>
    <x v="283"/>
    <s v="C062"/>
    <s v="P009"/>
    <n v="3"/>
    <x v="612"/>
    <n v="0.3"/>
    <n v="328.89"/>
    <x v="1"/>
    <x v="2"/>
    <x v="1"/>
    <s v="Chair"/>
    <x v="1"/>
  </r>
  <r>
    <s v="O1616"/>
    <x v="71"/>
    <s v="C049"/>
    <s v="P005"/>
    <n v="4"/>
    <x v="613"/>
    <n v="0.2"/>
    <n v="31.46"/>
    <x v="1"/>
    <x v="0"/>
    <x v="2"/>
    <s v="Paper"/>
    <x v="0"/>
  </r>
  <r>
    <s v="O1617"/>
    <x v="449"/>
    <s v="C057"/>
    <s v="P021"/>
    <n v="2"/>
    <x v="614"/>
    <n v="0.2"/>
    <n v="236.88"/>
    <x v="0"/>
    <x v="0"/>
    <x v="1"/>
    <s v="Desk"/>
    <x v="0"/>
  </r>
  <r>
    <s v="O1618"/>
    <x v="450"/>
    <s v="C027"/>
    <s v="P030"/>
    <n v="4"/>
    <x v="615"/>
    <n v="0.1"/>
    <n v="228.7"/>
    <x v="3"/>
    <x v="0"/>
    <x v="1"/>
    <s v="Shelf"/>
    <x v="1"/>
  </r>
  <r>
    <s v="O1619"/>
    <x v="248"/>
    <s v="C039"/>
    <s v="P089"/>
    <n v="4"/>
    <x v="616"/>
    <n v="0"/>
    <n v="114.93"/>
    <x v="2"/>
    <x v="0"/>
    <x v="0"/>
    <s v="Phone"/>
    <x v="0"/>
  </r>
  <r>
    <s v="O1620"/>
    <x v="451"/>
    <s v="C122"/>
    <s v="P079"/>
    <n v="5"/>
    <x v="617"/>
    <n v="0"/>
    <n v="167.16"/>
    <x v="0"/>
    <x v="2"/>
    <x v="1"/>
    <s v="Chair"/>
    <x v="0"/>
  </r>
  <r>
    <s v="O1621"/>
    <x v="452"/>
    <s v="C041"/>
    <s v="P097"/>
    <n v="2"/>
    <x v="618"/>
    <n v="0.3"/>
    <n v="99.3"/>
    <x v="0"/>
    <x v="1"/>
    <x v="2"/>
    <s v="Paper"/>
    <x v="0"/>
  </r>
  <r>
    <s v="O1622"/>
    <x v="264"/>
    <s v="C069"/>
    <s v="P045"/>
    <n v="4"/>
    <x v="619"/>
    <n v="0.2"/>
    <n v="246.69"/>
    <x v="0"/>
    <x v="0"/>
    <x v="0"/>
    <s v="Tablet"/>
    <x v="0"/>
  </r>
  <r>
    <s v="O1623"/>
    <x v="396"/>
    <s v="C161"/>
    <s v="P098"/>
    <n v="4"/>
    <x v="620"/>
    <n v="0.1"/>
    <n v="91.79"/>
    <x v="3"/>
    <x v="2"/>
    <x v="1"/>
    <s v="Shelf"/>
    <x v="1"/>
  </r>
  <r>
    <s v="O1624"/>
    <x v="453"/>
    <s v="C080"/>
    <s v="P038"/>
    <n v="2"/>
    <x v="621"/>
    <n v="0.1"/>
    <n v="190.22"/>
    <x v="2"/>
    <x v="1"/>
    <x v="0"/>
    <s v="Accessories"/>
    <x v="0"/>
  </r>
  <r>
    <s v="O1625"/>
    <x v="454"/>
    <s v="C127"/>
    <s v="P015"/>
    <n v="2"/>
    <x v="622"/>
    <n v="0.1"/>
    <n v="41.26"/>
    <x v="1"/>
    <x v="0"/>
    <x v="0"/>
    <s v="Tablet"/>
    <x v="1"/>
  </r>
  <r>
    <s v="O1626"/>
    <x v="455"/>
    <s v="C046"/>
    <s v="P020"/>
    <n v="4"/>
    <x v="623"/>
    <n v="0.1"/>
    <n v="442.94"/>
    <x v="1"/>
    <x v="2"/>
    <x v="2"/>
    <s v="Pen"/>
    <x v="0"/>
  </r>
  <r>
    <s v="O1627"/>
    <x v="430"/>
    <s v="C082"/>
    <s v="P045"/>
    <n v="2"/>
    <x v="624"/>
    <n v="0.1"/>
    <n v="266.14"/>
    <x v="3"/>
    <x v="2"/>
    <x v="0"/>
    <s v="Tablet"/>
    <x v="1"/>
  </r>
  <r>
    <s v="O1628"/>
    <x v="456"/>
    <s v="C178"/>
    <s v="P002"/>
    <n v="4"/>
    <x v="625"/>
    <n v="0"/>
    <n v="158.31"/>
    <x v="2"/>
    <x v="0"/>
    <x v="1"/>
    <s v="Chair"/>
    <x v="0"/>
  </r>
  <r>
    <s v="O1629"/>
    <x v="320"/>
    <s v="C176"/>
    <s v="P045"/>
    <n v="4"/>
    <x v="626"/>
    <n v="0"/>
    <n v="274.57"/>
    <x v="3"/>
    <x v="2"/>
    <x v="0"/>
    <s v="Tablet"/>
    <x v="0"/>
  </r>
  <r>
    <s v="O1630"/>
    <x v="390"/>
    <s v="C046"/>
    <s v="P092"/>
    <n v="5"/>
    <x v="627"/>
    <n v="0"/>
    <n v="175.19"/>
    <x v="1"/>
    <x v="2"/>
    <x v="0"/>
    <s v="Phone"/>
    <x v="0"/>
  </r>
  <r>
    <s v="O1631"/>
    <x v="235"/>
    <s v="C088"/>
    <s v="P016"/>
    <n v="1"/>
    <x v="628"/>
    <n v="0.2"/>
    <n v="174.19"/>
    <x v="2"/>
    <x v="1"/>
    <x v="1"/>
    <s v="Chair"/>
    <x v="0"/>
  </r>
  <r>
    <s v="O1632"/>
    <x v="457"/>
    <s v="C077"/>
    <s v="P037"/>
    <n v="4"/>
    <x v="629"/>
    <n v="0.3"/>
    <n v="439.72"/>
    <x v="1"/>
    <x v="1"/>
    <x v="2"/>
    <s v="Storage"/>
    <x v="0"/>
  </r>
  <r>
    <s v="O1633"/>
    <x v="458"/>
    <s v="C138"/>
    <s v="P062"/>
    <n v="3"/>
    <x v="630"/>
    <n v="0.1"/>
    <n v="170.58"/>
    <x v="0"/>
    <x v="1"/>
    <x v="1"/>
    <s v="Shelf"/>
    <x v="1"/>
  </r>
  <r>
    <s v="O1634"/>
    <x v="37"/>
    <s v="C008"/>
    <s v="P011"/>
    <n v="1"/>
    <x v="631"/>
    <n v="0.2"/>
    <n v="17.66"/>
    <x v="1"/>
    <x v="2"/>
    <x v="0"/>
    <s v="Accessories"/>
    <x v="0"/>
  </r>
  <r>
    <s v="O1635"/>
    <x v="459"/>
    <s v="C103"/>
    <s v="P100"/>
    <n v="1"/>
    <x v="632"/>
    <n v="0.1"/>
    <n v="461.2"/>
    <x v="3"/>
    <x v="1"/>
    <x v="0"/>
    <s v="Phone"/>
    <x v="0"/>
  </r>
  <r>
    <s v="O1636"/>
    <x v="439"/>
    <s v="C032"/>
    <s v="P059"/>
    <n v="1"/>
    <x v="633"/>
    <n v="0"/>
    <n v="219.79"/>
    <x v="3"/>
    <x v="1"/>
    <x v="1"/>
    <s v="Table"/>
    <x v="1"/>
  </r>
  <r>
    <s v="O1637"/>
    <x v="460"/>
    <s v="C123"/>
    <s v="P086"/>
    <n v="5"/>
    <x v="634"/>
    <n v="0.2"/>
    <n v="137.19999999999999"/>
    <x v="2"/>
    <x v="0"/>
    <x v="1"/>
    <s v="Shelf"/>
    <x v="0"/>
  </r>
  <r>
    <s v="O1638"/>
    <x v="437"/>
    <s v="C056"/>
    <s v="P096"/>
    <n v="4"/>
    <x v="635"/>
    <n v="0"/>
    <n v="270.05"/>
    <x v="1"/>
    <x v="2"/>
    <x v="0"/>
    <s v="Laptop"/>
    <x v="0"/>
  </r>
  <r>
    <s v="O1639"/>
    <x v="461"/>
    <s v="C097"/>
    <s v="P087"/>
    <n v="5"/>
    <x v="636"/>
    <n v="0.1"/>
    <n v="149.58000000000001"/>
    <x v="2"/>
    <x v="0"/>
    <x v="0"/>
    <s v="Phone"/>
    <x v="0"/>
  </r>
  <r>
    <s v="O1640"/>
    <x v="462"/>
    <s v="C124"/>
    <s v="P023"/>
    <n v="4"/>
    <x v="637"/>
    <n v="0.1"/>
    <n v="188.28"/>
    <x v="3"/>
    <x v="2"/>
    <x v="1"/>
    <s v="Shelf"/>
    <x v="0"/>
  </r>
  <r>
    <s v="O1641"/>
    <x v="463"/>
    <s v="C185"/>
    <s v="P033"/>
    <n v="5"/>
    <x v="638"/>
    <n v="0.3"/>
    <n v="20.28"/>
    <x v="1"/>
    <x v="2"/>
    <x v="1"/>
    <s v="Table"/>
    <x v="0"/>
  </r>
  <r>
    <s v="O1642"/>
    <x v="464"/>
    <s v="C029"/>
    <s v="P082"/>
    <n v="5"/>
    <x v="639"/>
    <n v="0.1"/>
    <n v="179.6"/>
    <x v="0"/>
    <x v="2"/>
    <x v="0"/>
    <s v="Accessories"/>
    <x v="0"/>
  </r>
  <r>
    <s v="O1643"/>
    <x v="385"/>
    <s v="C045"/>
    <s v="P007"/>
    <n v="3"/>
    <x v="640"/>
    <n v="0"/>
    <n v="190.04"/>
    <x v="2"/>
    <x v="0"/>
    <x v="1"/>
    <s v="Desk"/>
    <x v="0"/>
  </r>
  <r>
    <s v="O1644"/>
    <x v="280"/>
    <s v="C064"/>
    <s v="P011"/>
    <n v="5"/>
    <x v="641"/>
    <n v="0.1"/>
    <n v="26.08"/>
    <x v="0"/>
    <x v="0"/>
    <x v="0"/>
    <s v="Accessories"/>
    <x v="1"/>
  </r>
  <r>
    <s v="O1645"/>
    <x v="465"/>
    <s v="C160"/>
    <s v="P071"/>
    <n v="2"/>
    <x v="642"/>
    <n v="0.3"/>
    <n v="77.62"/>
    <x v="2"/>
    <x v="0"/>
    <x v="0"/>
    <s v="Laptop"/>
    <x v="0"/>
  </r>
  <r>
    <s v="O1646"/>
    <x v="466"/>
    <s v="C012"/>
    <s v="P038"/>
    <n v="3"/>
    <x v="643"/>
    <n v="0.3"/>
    <n v="18.53"/>
    <x v="1"/>
    <x v="2"/>
    <x v="0"/>
    <s v="Accessories"/>
    <x v="0"/>
  </r>
  <r>
    <s v="O1647"/>
    <x v="258"/>
    <s v="C165"/>
    <s v="P046"/>
    <n v="5"/>
    <x v="644"/>
    <n v="0"/>
    <n v="63.75"/>
    <x v="3"/>
    <x v="2"/>
    <x v="1"/>
    <s v="Chair"/>
    <x v="0"/>
  </r>
  <r>
    <s v="O1648"/>
    <x v="454"/>
    <s v="C099"/>
    <s v="P097"/>
    <n v="1"/>
    <x v="645"/>
    <n v="0.2"/>
    <n v="131.66999999999999"/>
    <x v="0"/>
    <x v="1"/>
    <x v="2"/>
    <s v="Paper"/>
    <x v="0"/>
  </r>
  <r>
    <s v="O1649"/>
    <x v="156"/>
    <s v="C072"/>
    <s v="P076"/>
    <n v="2"/>
    <x v="646"/>
    <n v="0.1"/>
    <n v="335.3"/>
    <x v="3"/>
    <x v="2"/>
    <x v="1"/>
    <s v="Shelf"/>
    <x v="1"/>
  </r>
  <r>
    <s v="O1650"/>
    <x v="6"/>
    <s v="C087"/>
    <s v="P096"/>
    <n v="2"/>
    <x v="647"/>
    <n v="0.3"/>
    <n v="58.46"/>
    <x v="0"/>
    <x v="1"/>
    <x v="0"/>
    <s v="Laptop"/>
    <x v="0"/>
  </r>
  <r>
    <s v="O1651"/>
    <x v="467"/>
    <s v="C179"/>
    <s v="P048"/>
    <n v="2"/>
    <x v="648"/>
    <n v="0.1"/>
    <n v="133.6"/>
    <x v="3"/>
    <x v="1"/>
    <x v="1"/>
    <s v="Table"/>
    <x v="0"/>
  </r>
  <r>
    <s v="O1652"/>
    <x v="32"/>
    <s v="C185"/>
    <s v="P087"/>
    <n v="3"/>
    <x v="649"/>
    <n v="0.1"/>
    <n v="326.89"/>
    <x v="1"/>
    <x v="2"/>
    <x v="0"/>
    <s v="Phone"/>
    <x v="1"/>
  </r>
  <r>
    <s v="O1653"/>
    <x v="468"/>
    <s v="C079"/>
    <s v="P004"/>
    <n v="5"/>
    <x v="650"/>
    <n v="0.2"/>
    <n v="29.65"/>
    <x v="3"/>
    <x v="1"/>
    <x v="0"/>
    <s v="Laptop"/>
    <x v="0"/>
  </r>
  <r>
    <s v="O1654"/>
    <x v="374"/>
    <s v="C004"/>
    <s v="P095"/>
    <n v="5"/>
    <x v="651"/>
    <n v="0.3"/>
    <n v="408.99"/>
    <x v="2"/>
    <x v="2"/>
    <x v="0"/>
    <s v="Phone"/>
    <x v="1"/>
  </r>
  <r>
    <s v="O1655"/>
    <x v="110"/>
    <s v="C169"/>
    <s v="P070"/>
    <n v="1"/>
    <x v="652"/>
    <n v="0.1"/>
    <n v="262.51"/>
    <x v="3"/>
    <x v="1"/>
    <x v="2"/>
    <s v="Paper"/>
    <x v="0"/>
  </r>
  <r>
    <s v="O1656"/>
    <x v="469"/>
    <s v="C185"/>
    <s v="P075"/>
    <n v="1"/>
    <x v="653"/>
    <n v="0.3"/>
    <n v="241.13"/>
    <x v="1"/>
    <x v="2"/>
    <x v="2"/>
    <s v="Pen"/>
    <x v="0"/>
  </r>
  <r>
    <s v="O1657"/>
    <x v="470"/>
    <s v="C155"/>
    <s v="P044"/>
    <n v="2"/>
    <x v="654"/>
    <n v="0"/>
    <n v="63.61"/>
    <x v="1"/>
    <x v="1"/>
    <x v="1"/>
    <s v="Table"/>
    <x v="0"/>
  </r>
  <r>
    <s v="O1658"/>
    <x v="471"/>
    <s v="C195"/>
    <s v="P061"/>
    <n v="1"/>
    <x v="655"/>
    <n v="0"/>
    <n v="400.24"/>
    <x v="1"/>
    <x v="2"/>
    <x v="2"/>
    <s v="Pen"/>
    <x v="0"/>
  </r>
  <r>
    <s v="O1659"/>
    <x v="472"/>
    <s v="C176"/>
    <s v="P050"/>
    <n v="3"/>
    <x v="656"/>
    <n v="0.1"/>
    <n v="97.36"/>
    <x v="3"/>
    <x v="2"/>
    <x v="2"/>
    <s v="Pen"/>
    <x v="0"/>
  </r>
  <r>
    <s v="O1660"/>
    <x v="473"/>
    <s v="C138"/>
    <s v="P050"/>
    <n v="5"/>
    <x v="657"/>
    <n v="0.3"/>
    <n v="14.9"/>
    <x v="0"/>
    <x v="1"/>
    <x v="2"/>
    <s v="Pen"/>
    <x v="0"/>
  </r>
  <r>
    <s v="O1661"/>
    <x v="274"/>
    <s v="C126"/>
    <s v="P085"/>
    <n v="2"/>
    <x v="658"/>
    <n v="0.1"/>
    <n v="78.849999999999994"/>
    <x v="0"/>
    <x v="2"/>
    <x v="0"/>
    <s v="Tablet"/>
    <x v="0"/>
  </r>
  <r>
    <s v="O1662"/>
    <x v="474"/>
    <s v="C057"/>
    <s v="P042"/>
    <n v="1"/>
    <x v="659"/>
    <n v="0.3"/>
    <n v="474.47"/>
    <x v="0"/>
    <x v="0"/>
    <x v="0"/>
    <s v="Tablet"/>
    <x v="0"/>
  </r>
  <r>
    <s v="O1663"/>
    <x v="273"/>
    <s v="C043"/>
    <s v="P011"/>
    <n v="3"/>
    <x v="660"/>
    <n v="0.3"/>
    <n v="25.74"/>
    <x v="3"/>
    <x v="2"/>
    <x v="0"/>
    <s v="Accessories"/>
    <x v="0"/>
  </r>
  <r>
    <s v="O1664"/>
    <x v="47"/>
    <s v="C108"/>
    <s v="P001"/>
    <n v="3"/>
    <x v="661"/>
    <n v="0.2"/>
    <n v="211.87"/>
    <x v="2"/>
    <x v="0"/>
    <x v="2"/>
    <s v="Storage"/>
    <x v="1"/>
  </r>
  <r>
    <s v="O1665"/>
    <x v="475"/>
    <s v="C189"/>
    <s v="P035"/>
    <n v="1"/>
    <x v="662"/>
    <n v="0.2"/>
    <n v="552.55999999999995"/>
    <x v="0"/>
    <x v="2"/>
    <x v="1"/>
    <s v="Chair"/>
    <x v="0"/>
  </r>
  <r>
    <s v="O1666"/>
    <x v="476"/>
    <s v="C110"/>
    <s v="P062"/>
    <n v="5"/>
    <x v="663"/>
    <n v="0.2"/>
    <n v="395.76"/>
    <x v="3"/>
    <x v="0"/>
    <x v="1"/>
    <s v="Shelf"/>
    <x v="0"/>
  </r>
  <r>
    <s v="O1667"/>
    <x v="84"/>
    <s v="C028"/>
    <s v="P087"/>
    <n v="1"/>
    <x v="664"/>
    <n v="0.1"/>
    <n v="213.26"/>
    <x v="2"/>
    <x v="1"/>
    <x v="0"/>
    <s v="Phone"/>
    <x v="1"/>
  </r>
  <r>
    <s v="O1668"/>
    <x v="418"/>
    <s v="C078"/>
    <s v="P096"/>
    <n v="2"/>
    <x v="665"/>
    <n v="0.2"/>
    <n v="55.11"/>
    <x v="2"/>
    <x v="2"/>
    <x v="0"/>
    <s v="Laptop"/>
    <x v="0"/>
  </r>
  <r>
    <s v="O1669"/>
    <x v="222"/>
    <s v="C155"/>
    <s v="P061"/>
    <n v="1"/>
    <x v="666"/>
    <n v="0.2"/>
    <n v="446.93"/>
    <x v="1"/>
    <x v="1"/>
    <x v="2"/>
    <s v="Pen"/>
    <x v="0"/>
  </r>
  <r>
    <s v="O1670"/>
    <x v="477"/>
    <s v="C132"/>
    <s v="P007"/>
    <n v="3"/>
    <x v="667"/>
    <n v="0"/>
    <n v="203.32"/>
    <x v="1"/>
    <x v="0"/>
    <x v="1"/>
    <s v="Desk"/>
    <x v="1"/>
  </r>
  <r>
    <s v="O1671"/>
    <x v="478"/>
    <s v="C024"/>
    <s v="P080"/>
    <n v="1"/>
    <x v="668"/>
    <n v="0.3"/>
    <n v="53.73"/>
    <x v="2"/>
    <x v="0"/>
    <x v="2"/>
    <s v="Pen"/>
    <x v="0"/>
  </r>
  <r>
    <s v="O1672"/>
    <x v="479"/>
    <s v="C137"/>
    <s v="P006"/>
    <n v="5"/>
    <x v="669"/>
    <n v="0.3"/>
    <n v="40.78"/>
    <x v="1"/>
    <x v="2"/>
    <x v="1"/>
    <s v="Chair"/>
    <x v="0"/>
  </r>
  <r>
    <s v="O1673"/>
    <x v="480"/>
    <s v="C066"/>
    <s v="P001"/>
    <n v="4"/>
    <x v="670"/>
    <n v="0.2"/>
    <n v="533.27"/>
    <x v="1"/>
    <x v="0"/>
    <x v="2"/>
    <s v="Storage"/>
    <x v="0"/>
  </r>
  <r>
    <s v="O1674"/>
    <x v="105"/>
    <s v="C067"/>
    <s v="P089"/>
    <n v="1"/>
    <x v="671"/>
    <n v="0.3"/>
    <n v="307.61"/>
    <x v="1"/>
    <x v="2"/>
    <x v="0"/>
    <s v="Phone"/>
    <x v="0"/>
  </r>
  <r>
    <s v="O1675"/>
    <x v="481"/>
    <s v="C153"/>
    <s v="P011"/>
    <n v="5"/>
    <x v="672"/>
    <n v="0"/>
    <n v="118.64"/>
    <x v="2"/>
    <x v="2"/>
    <x v="0"/>
    <s v="Accessories"/>
    <x v="0"/>
  </r>
  <r>
    <s v="O1676"/>
    <x v="482"/>
    <s v="C142"/>
    <s v="P062"/>
    <n v="5"/>
    <x v="673"/>
    <n v="0"/>
    <n v="470.38"/>
    <x v="2"/>
    <x v="1"/>
    <x v="1"/>
    <s v="Shelf"/>
    <x v="0"/>
  </r>
  <r>
    <s v="O1677"/>
    <x v="483"/>
    <s v="C107"/>
    <s v="P024"/>
    <n v="3"/>
    <x v="674"/>
    <n v="0.2"/>
    <n v="201.85"/>
    <x v="2"/>
    <x v="1"/>
    <x v="1"/>
    <s v="Desk"/>
    <x v="0"/>
  </r>
  <r>
    <s v="O1678"/>
    <x v="410"/>
    <s v="C031"/>
    <s v="P061"/>
    <n v="5"/>
    <x v="675"/>
    <n v="0"/>
    <n v="72.78"/>
    <x v="2"/>
    <x v="1"/>
    <x v="2"/>
    <s v="Pen"/>
    <x v="1"/>
  </r>
  <r>
    <s v="O1679"/>
    <x v="418"/>
    <s v="C094"/>
    <s v="P058"/>
    <n v="5"/>
    <x v="676"/>
    <n v="0.3"/>
    <n v="172.02"/>
    <x v="3"/>
    <x v="1"/>
    <x v="2"/>
    <s v="Paper"/>
    <x v="1"/>
  </r>
  <r>
    <s v="O1680"/>
    <x v="349"/>
    <s v="C081"/>
    <s v="P025"/>
    <n v="5"/>
    <x v="677"/>
    <n v="0.1"/>
    <n v="108.34"/>
    <x v="2"/>
    <x v="0"/>
    <x v="0"/>
    <s v="Accessories"/>
    <x v="0"/>
  </r>
  <r>
    <s v="O1681"/>
    <x v="149"/>
    <s v="C009"/>
    <s v="P088"/>
    <n v="5"/>
    <x v="678"/>
    <n v="0.3"/>
    <n v="249.43"/>
    <x v="0"/>
    <x v="2"/>
    <x v="0"/>
    <s v="Laptop"/>
    <x v="0"/>
  </r>
  <r>
    <s v="O1682"/>
    <x v="484"/>
    <s v="C198"/>
    <s v="P067"/>
    <n v="2"/>
    <x v="679"/>
    <n v="0.1"/>
    <n v="158.61000000000001"/>
    <x v="0"/>
    <x v="1"/>
    <x v="2"/>
    <s v="Binder"/>
    <x v="0"/>
  </r>
  <r>
    <s v="O1683"/>
    <x v="485"/>
    <s v="C067"/>
    <s v="P019"/>
    <n v="2"/>
    <x v="680"/>
    <n v="0.2"/>
    <n v="319.14"/>
    <x v="1"/>
    <x v="2"/>
    <x v="0"/>
    <s v="Phone"/>
    <x v="1"/>
  </r>
  <r>
    <s v="O1684"/>
    <x v="259"/>
    <s v="C165"/>
    <s v="P076"/>
    <n v="3"/>
    <x v="681"/>
    <n v="0.1"/>
    <n v="340.16"/>
    <x v="3"/>
    <x v="2"/>
    <x v="1"/>
    <s v="Shelf"/>
    <x v="0"/>
  </r>
  <r>
    <s v="O1685"/>
    <x v="86"/>
    <s v="C118"/>
    <s v="P088"/>
    <n v="1"/>
    <x v="682"/>
    <n v="0"/>
    <n v="59.99"/>
    <x v="3"/>
    <x v="0"/>
    <x v="0"/>
    <s v="Laptop"/>
    <x v="1"/>
  </r>
  <r>
    <s v="O1686"/>
    <x v="336"/>
    <s v="C193"/>
    <s v="P002"/>
    <n v="5"/>
    <x v="683"/>
    <n v="0.3"/>
    <n v="367.22"/>
    <x v="1"/>
    <x v="2"/>
    <x v="1"/>
    <s v="Chair"/>
    <x v="0"/>
  </r>
  <r>
    <s v="O1687"/>
    <x v="41"/>
    <s v="C082"/>
    <s v="P089"/>
    <n v="1"/>
    <x v="684"/>
    <n v="0.1"/>
    <n v="231.51"/>
    <x v="3"/>
    <x v="2"/>
    <x v="0"/>
    <s v="Phone"/>
    <x v="1"/>
  </r>
  <r>
    <s v="O1688"/>
    <x v="258"/>
    <s v="C072"/>
    <s v="P096"/>
    <n v="1"/>
    <x v="685"/>
    <n v="0.3"/>
    <n v="150.24"/>
    <x v="3"/>
    <x v="2"/>
    <x v="0"/>
    <s v="Laptop"/>
    <x v="1"/>
  </r>
  <r>
    <s v="O1689"/>
    <x v="273"/>
    <s v="C105"/>
    <s v="P100"/>
    <n v="3"/>
    <x v="686"/>
    <n v="0.2"/>
    <n v="240.15"/>
    <x v="3"/>
    <x v="2"/>
    <x v="0"/>
    <s v="Phone"/>
    <x v="0"/>
  </r>
  <r>
    <s v="O1690"/>
    <x v="130"/>
    <s v="C145"/>
    <s v="P063"/>
    <n v="5"/>
    <x v="687"/>
    <n v="0.2"/>
    <n v="145.75"/>
    <x v="1"/>
    <x v="2"/>
    <x v="2"/>
    <s v="Pen"/>
    <x v="0"/>
  </r>
  <r>
    <s v="O1691"/>
    <x v="486"/>
    <s v="C051"/>
    <s v="P075"/>
    <n v="5"/>
    <x v="688"/>
    <n v="0"/>
    <n v="135.5"/>
    <x v="0"/>
    <x v="1"/>
    <x v="2"/>
    <s v="Pen"/>
    <x v="0"/>
  </r>
  <r>
    <s v="O1692"/>
    <x v="422"/>
    <s v="C058"/>
    <s v="P044"/>
    <n v="4"/>
    <x v="689"/>
    <n v="0.2"/>
    <n v="29.26"/>
    <x v="0"/>
    <x v="2"/>
    <x v="1"/>
    <s v="Table"/>
    <x v="0"/>
  </r>
  <r>
    <s v="O1693"/>
    <x v="487"/>
    <s v="C050"/>
    <s v="P023"/>
    <n v="1"/>
    <x v="690"/>
    <n v="0.1"/>
    <n v="68.33"/>
    <x v="0"/>
    <x v="0"/>
    <x v="1"/>
    <s v="Shelf"/>
    <x v="0"/>
  </r>
  <r>
    <s v="O1694"/>
    <x v="97"/>
    <s v="C181"/>
    <s v="P035"/>
    <n v="1"/>
    <x v="691"/>
    <n v="0.2"/>
    <n v="127.77"/>
    <x v="2"/>
    <x v="1"/>
    <x v="1"/>
    <s v="Chair"/>
    <x v="0"/>
  </r>
  <r>
    <s v="O1695"/>
    <x v="384"/>
    <s v="C070"/>
    <s v="P079"/>
    <n v="2"/>
    <x v="692"/>
    <n v="0"/>
    <n v="328.13"/>
    <x v="3"/>
    <x v="1"/>
    <x v="1"/>
    <s v="Chair"/>
    <x v="1"/>
  </r>
  <r>
    <s v="O1696"/>
    <x v="164"/>
    <s v="C198"/>
    <s v="P086"/>
    <n v="4"/>
    <x v="693"/>
    <n v="0.3"/>
    <n v="320.02999999999997"/>
    <x v="0"/>
    <x v="1"/>
    <x v="1"/>
    <s v="Shelf"/>
    <x v="0"/>
  </r>
  <r>
    <s v="O1697"/>
    <x v="488"/>
    <s v="C029"/>
    <s v="P002"/>
    <n v="2"/>
    <x v="694"/>
    <n v="0.3"/>
    <n v="132.65"/>
    <x v="0"/>
    <x v="2"/>
    <x v="1"/>
    <s v="Chair"/>
    <x v="0"/>
  </r>
  <r>
    <s v="O1698"/>
    <x v="305"/>
    <s v="C181"/>
    <s v="P065"/>
    <n v="2"/>
    <x v="695"/>
    <n v="0.2"/>
    <n v="138.49"/>
    <x v="2"/>
    <x v="1"/>
    <x v="1"/>
    <s v="Chair"/>
    <x v="0"/>
  </r>
  <r>
    <s v="O1699"/>
    <x v="390"/>
    <s v="C029"/>
    <s v="P063"/>
    <n v="2"/>
    <x v="696"/>
    <n v="0.1"/>
    <n v="141.43"/>
    <x v="0"/>
    <x v="2"/>
    <x v="2"/>
    <s v="Pen"/>
    <x v="1"/>
  </r>
  <r>
    <s v="O1700"/>
    <x v="211"/>
    <s v="C129"/>
    <s v="P028"/>
    <n v="3"/>
    <x v="697"/>
    <n v="0"/>
    <n v="371.84"/>
    <x v="1"/>
    <x v="2"/>
    <x v="0"/>
    <s v="Laptop"/>
    <x v="0"/>
  </r>
  <r>
    <s v="O1701"/>
    <x v="489"/>
    <s v="C152"/>
    <s v="P007"/>
    <n v="3"/>
    <x v="698"/>
    <n v="0.1"/>
    <n v="31.87"/>
    <x v="1"/>
    <x v="1"/>
    <x v="1"/>
    <s v="Desk"/>
    <x v="0"/>
  </r>
  <r>
    <s v="O1702"/>
    <x v="68"/>
    <s v="C011"/>
    <s v="P079"/>
    <n v="2"/>
    <x v="699"/>
    <n v="0"/>
    <n v="173.27"/>
    <x v="2"/>
    <x v="0"/>
    <x v="1"/>
    <s v="Chair"/>
    <x v="0"/>
  </r>
  <r>
    <s v="O1703"/>
    <x v="24"/>
    <s v="C076"/>
    <s v="P011"/>
    <n v="4"/>
    <x v="700"/>
    <n v="0.2"/>
    <n v="134.91"/>
    <x v="2"/>
    <x v="1"/>
    <x v="0"/>
    <s v="Accessories"/>
    <x v="1"/>
  </r>
  <r>
    <s v="O1704"/>
    <x v="66"/>
    <s v="C163"/>
    <s v="P012"/>
    <n v="1"/>
    <x v="701"/>
    <n v="0"/>
    <n v="94.58"/>
    <x v="0"/>
    <x v="1"/>
    <x v="0"/>
    <s v="Laptop"/>
    <x v="1"/>
  </r>
  <r>
    <s v="O1705"/>
    <x v="490"/>
    <s v="C180"/>
    <s v="P024"/>
    <n v="4"/>
    <x v="702"/>
    <n v="0"/>
    <n v="50.94"/>
    <x v="3"/>
    <x v="1"/>
    <x v="1"/>
    <s v="Desk"/>
    <x v="0"/>
  </r>
  <r>
    <s v="O1706"/>
    <x v="491"/>
    <s v="C052"/>
    <s v="P028"/>
    <n v="5"/>
    <x v="703"/>
    <n v="0.2"/>
    <n v="60.43"/>
    <x v="2"/>
    <x v="2"/>
    <x v="0"/>
    <s v="Laptop"/>
    <x v="0"/>
  </r>
  <r>
    <s v="O1707"/>
    <x v="72"/>
    <s v="C016"/>
    <s v="P035"/>
    <n v="3"/>
    <x v="704"/>
    <n v="0.1"/>
    <n v="142.35"/>
    <x v="0"/>
    <x v="2"/>
    <x v="1"/>
    <s v="Chair"/>
    <x v="0"/>
  </r>
  <r>
    <s v="O1708"/>
    <x v="383"/>
    <s v="C154"/>
    <s v="P077"/>
    <n v="1"/>
    <x v="705"/>
    <n v="0.2"/>
    <n v="575.85"/>
    <x v="3"/>
    <x v="0"/>
    <x v="0"/>
    <s v="Accessories"/>
    <x v="0"/>
  </r>
  <r>
    <s v="O1709"/>
    <x v="492"/>
    <s v="C119"/>
    <s v="P048"/>
    <n v="1"/>
    <x v="706"/>
    <n v="0"/>
    <n v="45.63"/>
    <x v="3"/>
    <x v="1"/>
    <x v="1"/>
    <s v="Table"/>
    <x v="0"/>
  </r>
  <r>
    <s v="O1710"/>
    <x v="493"/>
    <s v="C142"/>
    <s v="P068"/>
    <n v="5"/>
    <x v="707"/>
    <n v="0.2"/>
    <n v="75.349999999999994"/>
    <x v="2"/>
    <x v="1"/>
    <x v="1"/>
    <s v="Table"/>
    <x v="0"/>
  </r>
  <r>
    <s v="O1711"/>
    <x v="190"/>
    <s v="C088"/>
    <s v="P011"/>
    <n v="5"/>
    <x v="708"/>
    <n v="0"/>
    <n v="108.75"/>
    <x v="2"/>
    <x v="1"/>
    <x v="0"/>
    <s v="Accessories"/>
    <x v="0"/>
  </r>
  <r>
    <s v="O1712"/>
    <x v="494"/>
    <s v="C110"/>
    <s v="P094"/>
    <n v="2"/>
    <x v="709"/>
    <n v="0.2"/>
    <n v="151.83000000000001"/>
    <x v="3"/>
    <x v="0"/>
    <x v="1"/>
    <s v="Table"/>
    <x v="0"/>
  </r>
  <r>
    <s v="O1713"/>
    <x v="97"/>
    <s v="C137"/>
    <s v="P010"/>
    <n v="3"/>
    <x v="710"/>
    <n v="0.3"/>
    <n v="60.84"/>
    <x v="1"/>
    <x v="2"/>
    <x v="2"/>
    <s v="Paper"/>
    <x v="1"/>
  </r>
  <r>
    <s v="O1714"/>
    <x v="476"/>
    <s v="C121"/>
    <s v="P033"/>
    <n v="3"/>
    <x v="711"/>
    <n v="0.3"/>
    <n v="29.52"/>
    <x v="0"/>
    <x v="2"/>
    <x v="1"/>
    <s v="Table"/>
    <x v="1"/>
  </r>
  <r>
    <s v="O1715"/>
    <x v="487"/>
    <s v="C046"/>
    <s v="P044"/>
    <n v="4"/>
    <x v="712"/>
    <n v="0.2"/>
    <n v="59.98"/>
    <x v="1"/>
    <x v="2"/>
    <x v="1"/>
    <s v="Table"/>
    <x v="0"/>
  </r>
  <r>
    <s v="O1716"/>
    <x v="494"/>
    <s v="C001"/>
    <s v="P055"/>
    <n v="2"/>
    <x v="713"/>
    <n v="0.1"/>
    <n v="26.91"/>
    <x v="3"/>
    <x v="0"/>
    <x v="2"/>
    <s v="Binder"/>
    <x v="1"/>
  </r>
  <r>
    <s v="O1717"/>
    <x v="495"/>
    <s v="C111"/>
    <s v="P036"/>
    <n v="2"/>
    <x v="714"/>
    <n v="0"/>
    <n v="9.58"/>
    <x v="0"/>
    <x v="1"/>
    <x v="1"/>
    <s v="Shelf"/>
    <x v="0"/>
  </r>
  <r>
    <s v="O1718"/>
    <x v="211"/>
    <s v="C139"/>
    <s v="P082"/>
    <n v="2"/>
    <x v="715"/>
    <n v="0.3"/>
    <n v="86.17"/>
    <x v="0"/>
    <x v="0"/>
    <x v="0"/>
    <s v="Accessories"/>
    <x v="1"/>
  </r>
  <r>
    <s v="O1719"/>
    <x v="496"/>
    <s v="C150"/>
    <s v="P022"/>
    <n v="2"/>
    <x v="716"/>
    <n v="0.1"/>
    <n v="34.200000000000003"/>
    <x v="2"/>
    <x v="0"/>
    <x v="0"/>
    <s v="Tablet"/>
    <x v="0"/>
  </r>
  <r>
    <s v="O1720"/>
    <x v="497"/>
    <s v="C086"/>
    <s v="P083"/>
    <n v="3"/>
    <x v="717"/>
    <n v="0"/>
    <n v="47.95"/>
    <x v="3"/>
    <x v="1"/>
    <x v="2"/>
    <s v="Paper"/>
    <x v="0"/>
  </r>
  <r>
    <s v="O1721"/>
    <x v="498"/>
    <s v="C040"/>
    <s v="P036"/>
    <n v="3"/>
    <x v="718"/>
    <n v="0.3"/>
    <n v="42.23"/>
    <x v="1"/>
    <x v="0"/>
    <x v="1"/>
    <s v="Shelf"/>
    <x v="0"/>
  </r>
  <r>
    <s v="O1722"/>
    <x v="404"/>
    <s v="C129"/>
    <s v="P098"/>
    <n v="2"/>
    <x v="719"/>
    <n v="0.3"/>
    <n v="399.53"/>
    <x v="1"/>
    <x v="2"/>
    <x v="1"/>
    <s v="Shelf"/>
    <x v="1"/>
  </r>
  <r>
    <s v="O1723"/>
    <x v="238"/>
    <s v="C159"/>
    <s v="P041"/>
    <n v="4"/>
    <x v="720"/>
    <n v="0.2"/>
    <n v="62.46"/>
    <x v="2"/>
    <x v="2"/>
    <x v="0"/>
    <s v="Tablet"/>
    <x v="0"/>
  </r>
  <r>
    <s v="O1724"/>
    <x v="499"/>
    <s v="C169"/>
    <s v="P029"/>
    <n v="1"/>
    <x v="721"/>
    <n v="0"/>
    <n v="258.27999999999997"/>
    <x v="3"/>
    <x v="1"/>
    <x v="1"/>
    <s v="Shelf"/>
    <x v="0"/>
  </r>
  <r>
    <s v="O1725"/>
    <x v="500"/>
    <s v="C110"/>
    <s v="P053"/>
    <n v="1"/>
    <x v="722"/>
    <n v="0.1"/>
    <n v="179.75"/>
    <x v="3"/>
    <x v="0"/>
    <x v="0"/>
    <s v="Accessories"/>
    <x v="0"/>
  </r>
  <r>
    <s v="O1726"/>
    <x v="501"/>
    <s v="C168"/>
    <s v="P062"/>
    <n v="4"/>
    <x v="723"/>
    <n v="0.1"/>
    <n v="295.89999999999998"/>
    <x v="3"/>
    <x v="0"/>
    <x v="1"/>
    <s v="Shelf"/>
    <x v="1"/>
  </r>
  <r>
    <s v="O1727"/>
    <x v="74"/>
    <s v="C103"/>
    <s v="P007"/>
    <n v="2"/>
    <x v="724"/>
    <n v="0.1"/>
    <n v="157.1"/>
    <x v="3"/>
    <x v="1"/>
    <x v="1"/>
    <s v="Desk"/>
    <x v="0"/>
  </r>
  <r>
    <s v="O1728"/>
    <x v="502"/>
    <s v="C080"/>
    <s v="P017"/>
    <n v="3"/>
    <x v="725"/>
    <n v="0"/>
    <n v="44.93"/>
    <x v="2"/>
    <x v="1"/>
    <x v="2"/>
    <s v="Pen"/>
    <x v="0"/>
  </r>
  <r>
    <s v="O1729"/>
    <x v="503"/>
    <s v="C010"/>
    <s v="P054"/>
    <n v="1"/>
    <x v="726"/>
    <n v="0.1"/>
    <n v="187.43"/>
    <x v="2"/>
    <x v="2"/>
    <x v="1"/>
    <s v="Shelf"/>
    <x v="0"/>
  </r>
  <r>
    <s v="O1730"/>
    <x v="504"/>
    <s v="C104"/>
    <s v="P094"/>
    <n v="5"/>
    <x v="727"/>
    <n v="0.1"/>
    <n v="85.99"/>
    <x v="0"/>
    <x v="1"/>
    <x v="1"/>
    <s v="Table"/>
    <x v="0"/>
  </r>
  <r>
    <s v="O1731"/>
    <x v="505"/>
    <s v="C012"/>
    <s v="P066"/>
    <n v="5"/>
    <x v="728"/>
    <n v="0.1"/>
    <n v="206.73"/>
    <x v="1"/>
    <x v="2"/>
    <x v="1"/>
    <s v="Desk"/>
    <x v="1"/>
  </r>
  <r>
    <s v="O1732"/>
    <x v="506"/>
    <s v="C024"/>
    <s v="P006"/>
    <n v="4"/>
    <x v="729"/>
    <n v="0.2"/>
    <n v="142.54"/>
    <x v="2"/>
    <x v="0"/>
    <x v="1"/>
    <s v="Chair"/>
    <x v="0"/>
  </r>
  <r>
    <s v="O1733"/>
    <x v="7"/>
    <s v="C112"/>
    <s v="P037"/>
    <n v="2"/>
    <x v="730"/>
    <n v="0.2"/>
    <n v="358.84"/>
    <x v="2"/>
    <x v="0"/>
    <x v="2"/>
    <s v="Storage"/>
    <x v="0"/>
  </r>
  <r>
    <s v="O1734"/>
    <x v="308"/>
    <s v="C110"/>
    <s v="P037"/>
    <n v="1"/>
    <x v="731"/>
    <n v="0"/>
    <n v="292.36"/>
    <x v="3"/>
    <x v="0"/>
    <x v="2"/>
    <s v="Storage"/>
    <x v="0"/>
  </r>
  <r>
    <s v="O1735"/>
    <x v="507"/>
    <s v="C151"/>
    <s v="P091"/>
    <n v="2"/>
    <x v="732"/>
    <n v="0"/>
    <n v="416.68"/>
    <x v="3"/>
    <x v="2"/>
    <x v="1"/>
    <s v="Shelf"/>
    <x v="0"/>
  </r>
  <r>
    <s v="O1736"/>
    <x v="508"/>
    <s v="C037"/>
    <s v="P040"/>
    <n v="1"/>
    <x v="733"/>
    <n v="0.1"/>
    <n v="352.06"/>
    <x v="1"/>
    <x v="1"/>
    <x v="2"/>
    <s v="Binder"/>
    <x v="1"/>
  </r>
  <r>
    <s v="O1737"/>
    <x v="412"/>
    <s v="C117"/>
    <s v="P075"/>
    <n v="4"/>
    <x v="734"/>
    <n v="0.2"/>
    <n v="57.09"/>
    <x v="1"/>
    <x v="0"/>
    <x v="2"/>
    <s v="Pen"/>
    <x v="0"/>
  </r>
  <r>
    <s v="O1738"/>
    <x v="393"/>
    <s v="C182"/>
    <s v="P055"/>
    <n v="4"/>
    <x v="735"/>
    <n v="0.3"/>
    <n v="74.44"/>
    <x v="1"/>
    <x v="2"/>
    <x v="2"/>
    <s v="Binder"/>
    <x v="1"/>
  </r>
  <r>
    <s v="O1739"/>
    <x v="353"/>
    <s v="C049"/>
    <s v="P062"/>
    <n v="5"/>
    <x v="736"/>
    <n v="0.3"/>
    <n v="246.17"/>
    <x v="1"/>
    <x v="0"/>
    <x v="1"/>
    <s v="Shelf"/>
    <x v="0"/>
  </r>
  <r>
    <s v="O1740"/>
    <x v="509"/>
    <s v="C178"/>
    <s v="P059"/>
    <n v="2"/>
    <x v="737"/>
    <n v="0.1"/>
    <n v="77.260000000000005"/>
    <x v="2"/>
    <x v="0"/>
    <x v="1"/>
    <s v="Table"/>
    <x v="0"/>
  </r>
  <r>
    <s v="O1741"/>
    <x v="510"/>
    <s v="C021"/>
    <s v="P048"/>
    <n v="5"/>
    <x v="738"/>
    <n v="0.1"/>
    <n v="171.75"/>
    <x v="3"/>
    <x v="2"/>
    <x v="1"/>
    <s v="Table"/>
    <x v="0"/>
  </r>
  <r>
    <s v="O1742"/>
    <x v="511"/>
    <s v="C174"/>
    <s v="P036"/>
    <n v="2"/>
    <x v="739"/>
    <n v="0.2"/>
    <n v="220.1"/>
    <x v="1"/>
    <x v="2"/>
    <x v="1"/>
    <s v="Shelf"/>
    <x v="0"/>
  </r>
  <r>
    <s v="O1743"/>
    <x v="504"/>
    <s v="C199"/>
    <s v="P099"/>
    <n v="5"/>
    <x v="740"/>
    <n v="0.2"/>
    <n v="174.44"/>
    <x v="0"/>
    <x v="2"/>
    <x v="1"/>
    <s v="Desk"/>
    <x v="0"/>
  </r>
  <r>
    <s v="O1744"/>
    <x v="133"/>
    <s v="C095"/>
    <s v="P075"/>
    <n v="3"/>
    <x v="741"/>
    <n v="0.2"/>
    <n v="189.81"/>
    <x v="1"/>
    <x v="2"/>
    <x v="2"/>
    <s v="Pen"/>
    <x v="0"/>
  </r>
  <r>
    <s v="O1745"/>
    <x v="512"/>
    <s v="C114"/>
    <s v="P093"/>
    <n v="3"/>
    <x v="742"/>
    <n v="0"/>
    <n v="206.14"/>
    <x v="3"/>
    <x v="1"/>
    <x v="2"/>
    <s v="Storage"/>
    <x v="0"/>
  </r>
  <r>
    <s v="O1746"/>
    <x v="302"/>
    <s v="C082"/>
    <s v="P048"/>
    <n v="3"/>
    <x v="743"/>
    <n v="0"/>
    <n v="106.14"/>
    <x v="3"/>
    <x v="2"/>
    <x v="1"/>
    <s v="Table"/>
    <x v="1"/>
  </r>
  <r>
    <s v="O1747"/>
    <x v="513"/>
    <s v="C053"/>
    <s v="P074"/>
    <n v="3"/>
    <x v="744"/>
    <n v="0.1"/>
    <n v="372.65"/>
    <x v="0"/>
    <x v="2"/>
    <x v="1"/>
    <s v="Table"/>
    <x v="1"/>
  </r>
  <r>
    <s v="O1748"/>
    <x v="445"/>
    <s v="C058"/>
    <s v="P086"/>
    <n v="1"/>
    <x v="745"/>
    <n v="0"/>
    <n v="117.29"/>
    <x v="0"/>
    <x v="2"/>
    <x v="1"/>
    <s v="Shelf"/>
    <x v="0"/>
  </r>
  <r>
    <s v="O1749"/>
    <x v="514"/>
    <s v="C060"/>
    <s v="P045"/>
    <n v="3"/>
    <x v="746"/>
    <n v="0.2"/>
    <n v="9.1300000000000008"/>
    <x v="1"/>
    <x v="2"/>
    <x v="0"/>
    <s v="Tablet"/>
    <x v="0"/>
  </r>
  <r>
    <s v="O1750"/>
    <x v="421"/>
    <s v="C004"/>
    <s v="P042"/>
    <n v="4"/>
    <x v="747"/>
    <n v="0.2"/>
    <n v="209.32"/>
    <x v="2"/>
    <x v="2"/>
    <x v="0"/>
    <s v="Tablet"/>
    <x v="1"/>
  </r>
  <r>
    <s v="O1751"/>
    <x v="220"/>
    <s v="C014"/>
    <s v="P052"/>
    <n v="4"/>
    <x v="748"/>
    <n v="0"/>
    <n v="35.020000000000003"/>
    <x v="1"/>
    <x v="0"/>
    <x v="1"/>
    <s v="Chair"/>
    <x v="0"/>
  </r>
  <r>
    <s v="O1752"/>
    <x v="176"/>
    <s v="C097"/>
    <s v="P024"/>
    <n v="1"/>
    <x v="749"/>
    <n v="0.3"/>
    <n v="67.61"/>
    <x v="2"/>
    <x v="0"/>
    <x v="1"/>
    <s v="Desk"/>
    <x v="0"/>
  </r>
  <r>
    <s v="O1753"/>
    <x v="227"/>
    <s v="C089"/>
    <s v="P066"/>
    <n v="3"/>
    <x v="750"/>
    <n v="0.1"/>
    <n v="27.51"/>
    <x v="2"/>
    <x v="2"/>
    <x v="1"/>
    <s v="Desk"/>
    <x v="0"/>
  </r>
  <r>
    <s v="O1754"/>
    <x v="31"/>
    <s v="C089"/>
    <s v="P065"/>
    <n v="3"/>
    <x v="751"/>
    <n v="0.3"/>
    <n v="89.48"/>
    <x v="2"/>
    <x v="2"/>
    <x v="1"/>
    <s v="Chair"/>
    <x v="0"/>
  </r>
  <r>
    <s v="O1755"/>
    <x v="178"/>
    <s v="C180"/>
    <s v="P031"/>
    <n v="3"/>
    <x v="752"/>
    <n v="0.1"/>
    <n v="176.7"/>
    <x v="3"/>
    <x v="1"/>
    <x v="2"/>
    <s v="Storage"/>
    <x v="0"/>
  </r>
  <r>
    <s v="O1756"/>
    <x v="270"/>
    <s v="C194"/>
    <s v="P088"/>
    <n v="5"/>
    <x v="753"/>
    <n v="0.3"/>
    <n v="92.6"/>
    <x v="0"/>
    <x v="1"/>
    <x v="0"/>
    <s v="Laptop"/>
    <x v="0"/>
  </r>
  <r>
    <s v="O1757"/>
    <x v="515"/>
    <s v="C144"/>
    <s v="P017"/>
    <n v="2"/>
    <x v="754"/>
    <n v="0"/>
    <n v="237.32"/>
    <x v="0"/>
    <x v="0"/>
    <x v="2"/>
    <s v="Pen"/>
    <x v="0"/>
  </r>
  <r>
    <s v="O1758"/>
    <x v="516"/>
    <s v="C038"/>
    <s v="P024"/>
    <n v="5"/>
    <x v="755"/>
    <n v="0.1"/>
    <n v="129.29"/>
    <x v="0"/>
    <x v="0"/>
    <x v="1"/>
    <s v="Desk"/>
    <x v="1"/>
  </r>
  <r>
    <s v="O1759"/>
    <x v="232"/>
    <s v="C058"/>
    <s v="P019"/>
    <n v="2"/>
    <x v="756"/>
    <n v="0.1"/>
    <n v="154.4"/>
    <x v="0"/>
    <x v="2"/>
    <x v="0"/>
    <s v="Phone"/>
    <x v="0"/>
  </r>
  <r>
    <s v="O1760"/>
    <x v="503"/>
    <s v="C121"/>
    <s v="P042"/>
    <n v="3"/>
    <x v="757"/>
    <n v="0.1"/>
    <n v="91.53"/>
    <x v="0"/>
    <x v="2"/>
    <x v="0"/>
    <s v="Tablet"/>
    <x v="0"/>
  </r>
  <r>
    <s v="O1761"/>
    <x v="409"/>
    <s v="C077"/>
    <s v="P028"/>
    <n v="3"/>
    <x v="758"/>
    <n v="0.2"/>
    <n v="46.19"/>
    <x v="1"/>
    <x v="1"/>
    <x v="0"/>
    <s v="Laptop"/>
    <x v="0"/>
  </r>
  <r>
    <s v="O1762"/>
    <x v="517"/>
    <s v="C068"/>
    <s v="P008"/>
    <n v="5"/>
    <x v="759"/>
    <n v="0.2"/>
    <n v="385.89"/>
    <x v="0"/>
    <x v="1"/>
    <x v="0"/>
    <s v="Accessories"/>
    <x v="0"/>
  </r>
  <r>
    <s v="O1763"/>
    <x v="518"/>
    <s v="C097"/>
    <s v="P053"/>
    <n v="5"/>
    <x v="760"/>
    <n v="0.3"/>
    <n v="67.44"/>
    <x v="2"/>
    <x v="0"/>
    <x v="0"/>
    <s v="Accessories"/>
    <x v="0"/>
  </r>
  <r>
    <s v="O1764"/>
    <x v="33"/>
    <s v="C012"/>
    <s v="P056"/>
    <n v="2"/>
    <x v="761"/>
    <n v="0"/>
    <n v="18.38"/>
    <x v="1"/>
    <x v="2"/>
    <x v="2"/>
    <s v="Paper"/>
    <x v="0"/>
  </r>
  <r>
    <s v="O1765"/>
    <x v="519"/>
    <s v="C152"/>
    <s v="P039"/>
    <n v="4"/>
    <x v="762"/>
    <n v="0.2"/>
    <n v="69.95"/>
    <x v="1"/>
    <x v="1"/>
    <x v="2"/>
    <s v="Pen"/>
    <x v="0"/>
  </r>
  <r>
    <s v="O1766"/>
    <x v="513"/>
    <s v="C169"/>
    <s v="P016"/>
    <n v="2"/>
    <x v="763"/>
    <n v="0.1"/>
    <n v="548.24"/>
    <x v="3"/>
    <x v="1"/>
    <x v="1"/>
    <s v="Chair"/>
    <x v="0"/>
  </r>
  <r>
    <s v="O1767"/>
    <x v="300"/>
    <s v="C129"/>
    <s v="P056"/>
    <n v="5"/>
    <x v="764"/>
    <n v="0.2"/>
    <n v="252.66"/>
    <x v="1"/>
    <x v="2"/>
    <x v="2"/>
    <s v="Paper"/>
    <x v="0"/>
  </r>
  <r>
    <s v="O1768"/>
    <x v="477"/>
    <s v="C010"/>
    <s v="P086"/>
    <n v="5"/>
    <x v="765"/>
    <n v="0"/>
    <n v="74.400000000000006"/>
    <x v="2"/>
    <x v="2"/>
    <x v="1"/>
    <s v="Shelf"/>
    <x v="0"/>
  </r>
  <r>
    <s v="O1769"/>
    <x v="142"/>
    <s v="C023"/>
    <s v="P024"/>
    <n v="1"/>
    <x v="766"/>
    <n v="0.2"/>
    <n v="90.11"/>
    <x v="3"/>
    <x v="2"/>
    <x v="1"/>
    <s v="Desk"/>
    <x v="0"/>
  </r>
  <r>
    <s v="O1770"/>
    <x v="170"/>
    <s v="C070"/>
    <s v="P082"/>
    <n v="5"/>
    <x v="767"/>
    <n v="0.1"/>
    <n v="199.53"/>
    <x v="3"/>
    <x v="1"/>
    <x v="0"/>
    <s v="Accessories"/>
    <x v="0"/>
  </r>
  <r>
    <s v="O1771"/>
    <x v="21"/>
    <s v="C086"/>
    <s v="P054"/>
    <n v="1"/>
    <x v="768"/>
    <n v="0.3"/>
    <n v="26.62"/>
    <x v="3"/>
    <x v="1"/>
    <x v="1"/>
    <s v="Shelf"/>
    <x v="0"/>
  </r>
  <r>
    <s v="O1772"/>
    <x v="360"/>
    <s v="C052"/>
    <s v="P087"/>
    <n v="4"/>
    <x v="769"/>
    <n v="0.1"/>
    <n v="305.27999999999997"/>
    <x v="2"/>
    <x v="2"/>
    <x v="0"/>
    <s v="Phone"/>
    <x v="0"/>
  </r>
  <r>
    <s v="O1773"/>
    <x v="318"/>
    <s v="C054"/>
    <s v="P015"/>
    <n v="2"/>
    <x v="770"/>
    <n v="0"/>
    <n v="548.47"/>
    <x v="3"/>
    <x v="0"/>
    <x v="0"/>
    <s v="Tablet"/>
    <x v="1"/>
  </r>
  <r>
    <s v="O1774"/>
    <x v="255"/>
    <s v="C066"/>
    <s v="P048"/>
    <n v="2"/>
    <x v="771"/>
    <n v="0.3"/>
    <n v="154.04"/>
    <x v="1"/>
    <x v="0"/>
    <x v="1"/>
    <s v="Table"/>
    <x v="0"/>
  </r>
  <r>
    <s v="O1775"/>
    <x v="341"/>
    <s v="C021"/>
    <s v="P043"/>
    <n v="1"/>
    <x v="772"/>
    <n v="0.2"/>
    <n v="324.82"/>
    <x v="3"/>
    <x v="2"/>
    <x v="1"/>
    <s v="Table"/>
    <x v="0"/>
  </r>
  <r>
    <s v="O1776"/>
    <x v="520"/>
    <s v="C156"/>
    <s v="P048"/>
    <n v="2"/>
    <x v="773"/>
    <n v="0.2"/>
    <n v="270.51"/>
    <x v="2"/>
    <x v="1"/>
    <x v="1"/>
    <s v="Table"/>
    <x v="1"/>
  </r>
  <r>
    <s v="O1777"/>
    <x v="202"/>
    <s v="C061"/>
    <s v="P004"/>
    <n v="5"/>
    <x v="774"/>
    <n v="0.2"/>
    <n v="49.82"/>
    <x v="2"/>
    <x v="1"/>
    <x v="0"/>
    <s v="Laptop"/>
    <x v="0"/>
  </r>
  <r>
    <s v="O1778"/>
    <x v="521"/>
    <s v="C114"/>
    <s v="P057"/>
    <n v="3"/>
    <x v="775"/>
    <n v="0.3"/>
    <n v="167.48"/>
    <x v="3"/>
    <x v="1"/>
    <x v="0"/>
    <s v="Laptop"/>
    <x v="0"/>
  </r>
  <r>
    <s v="O1779"/>
    <x v="410"/>
    <s v="C048"/>
    <s v="P026"/>
    <n v="1"/>
    <x v="776"/>
    <n v="0.1"/>
    <n v="66.599999999999994"/>
    <x v="2"/>
    <x v="2"/>
    <x v="0"/>
    <s v="Phone"/>
    <x v="0"/>
  </r>
  <r>
    <s v="O1780"/>
    <x v="316"/>
    <s v="C147"/>
    <s v="P023"/>
    <n v="2"/>
    <x v="777"/>
    <n v="0.3"/>
    <n v="293.49"/>
    <x v="3"/>
    <x v="2"/>
    <x v="1"/>
    <s v="Shelf"/>
    <x v="1"/>
  </r>
  <r>
    <s v="O1781"/>
    <x v="12"/>
    <s v="C087"/>
    <s v="P026"/>
    <n v="1"/>
    <x v="778"/>
    <n v="0.3"/>
    <n v="64.61"/>
    <x v="0"/>
    <x v="1"/>
    <x v="0"/>
    <s v="Phone"/>
    <x v="0"/>
  </r>
  <r>
    <s v="O1782"/>
    <x v="522"/>
    <s v="C075"/>
    <s v="P085"/>
    <n v="1"/>
    <x v="779"/>
    <n v="0"/>
    <n v="24.55"/>
    <x v="3"/>
    <x v="1"/>
    <x v="0"/>
    <s v="Tablet"/>
    <x v="0"/>
  </r>
  <r>
    <s v="O1783"/>
    <x v="523"/>
    <s v="C185"/>
    <s v="P070"/>
    <n v="3"/>
    <x v="780"/>
    <n v="0.3"/>
    <n v="96.33"/>
    <x v="1"/>
    <x v="2"/>
    <x v="2"/>
    <s v="Paper"/>
    <x v="0"/>
  </r>
  <r>
    <s v="O1784"/>
    <x v="397"/>
    <s v="C031"/>
    <s v="P074"/>
    <n v="5"/>
    <x v="781"/>
    <n v="0.2"/>
    <n v="122.83"/>
    <x v="2"/>
    <x v="1"/>
    <x v="1"/>
    <s v="Table"/>
    <x v="0"/>
  </r>
  <r>
    <s v="O1785"/>
    <x v="482"/>
    <s v="C123"/>
    <s v="P055"/>
    <n v="1"/>
    <x v="782"/>
    <n v="0.1"/>
    <n v="228.98"/>
    <x v="2"/>
    <x v="0"/>
    <x v="2"/>
    <s v="Binder"/>
    <x v="0"/>
  </r>
  <r>
    <s v="O1786"/>
    <x v="524"/>
    <s v="C161"/>
    <s v="P018"/>
    <n v="2"/>
    <x v="783"/>
    <n v="0.1"/>
    <n v="213.96"/>
    <x v="3"/>
    <x v="2"/>
    <x v="2"/>
    <s v="Storage"/>
    <x v="0"/>
  </r>
  <r>
    <s v="O1787"/>
    <x v="525"/>
    <s v="C030"/>
    <s v="P019"/>
    <n v="4"/>
    <x v="784"/>
    <n v="0.1"/>
    <n v="54.49"/>
    <x v="1"/>
    <x v="1"/>
    <x v="0"/>
    <s v="Phone"/>
    <x v="0"/>
  </r>
  <r>
    <s v="O1788"/>
    <x v="329"/>
    <s v="C123"/>
    <s v="P043"/>
    <n v="1"/>
    <x v="785"/>
    <n v="0.2"/>
    <n v="67.69"/>
    <x v="2"/>
    <x v="0"/>
    <x v="1"/>
    <s v="Table"/>
    <x v="0"/>
  </r>
  <r>
    <s v="O1789"/>
    <x v="94"/>
    <s v="C076"/>
    <s v="P096"/>
    <n v="1"/>
    <x v="786"/>
    <n v="0.2"/>
    <n v="165.79"/>
    <x v="2"/>
    <x v="1"/>
    <x v="0"/>
    <s v="Laptop"/>
    <x v="0"/>
  </r>
  <r>
    <s v="O1790"/>
    <x v="500"/>
    <s v="C140"/>
    <s v="P057"/>
    <n v="3"/>
    <x v="787"/>
    <n v="0.2"/>
    <n v="182.77"/>
    <x v="1"/>
    <x v="2"/>
    <x v="0"/>
    <s v="Laptop"/>
    <x v="1"/>
  </r>
  <r>
    <s v="O1791"/>
    <x v="526"/>
    <s v="C064"/>
    <s v="P028"/>
    <n v="5"/>
    <x v="788"/>
    <n v="0.2"/>
    <n v="137.57"/>
    <x v="0"/>
    <x v="0"/>
    <x v="0"/>
    <s v="Laptop"/>
    <x v="0"/>
  </r>
  <r>
    <s v="O1792"/>
    <x v="113"/>
    <s v="C149"/>
    <s v="P048"/>
    <n v="4"/>
    <x v="789"/>
    <n v="0.2"/>
    <n v="195.72"/>
    <x v="1"/>
    <x v="2"/>
    <x v="1"/>
    <s v="Table"/>
    <x v="0"/>
  </r>
  <r>
    <s v="O1793"/>
    <x v="229"/>
    <s v="C099"/>
    <s v="P044"/>
    <n v="2"/>
    <x v="790"/>
    <n v="0.3"/>
    <n v="233.37"/>
    <x v="0"/>
    <x v="1"/>
    <x v="1"/>
    <s v="Table"/>
    <x v="0"/>
  </r>
  <r>
    <s v="O1794"/>
    <x v="527"/>
    <s v="C119"/>
    <s v="P091"/>
    <n v="4"/>
    <x v="791"/>
    <n v="0.2"/>
    <n v="223.62"/>
    <x v="3"/>
    <x v="1"/>
    <x v="1"/>
    <s v="Shelf"/>
    <x v="1"/>
  </r>
  <r>
    <s v="O1795"/>
    <x v="528"/>
    <s v="C133"/>
    <s v="P036"/>
    <n v="2"/>
    <x v="792"/>
    <n v="0.2"/>
    <n v="225.04"/>
    <x v="0"/>
    <x v="2"/>
    <x v="1"/>
    <s v="Shelf"/>
    <x v="0"/>
  </r>
  <r>
    <s v="O1796"/>
    <x v="529"/>
    <s v="C176"/>
    <s v="P049"/>
    <n v="5"/>
    <x v="793"/>
    <n v="0.2"/>
    <n v="235.81"/>
    <x v="3"/>
    <x v="2"/>
    <x v="2"/>
    <s v="Paper"/>
    <x v="1"/>
  </r>
  <r>
    <s v="O1797"/>
    <x v="530"/>
    <s v="C128"/>
    <s v="P051"/>
    <n v="2"/>
    <x v="794"/>
    <n v="0.2"/>
    <n v="154.87"/>
    <x v="1"/>
    <x v="2"/>
    <x v="0"/>
    <s v="Tablet"/>
    <x v="1"/>
  </r>
  <r>
    <s v="O1798"/>
    <x v="214"/>
    <s v="C192"/>
    <s v="P018"/>
    <n v="3"/>
    <x v="795"/>
    <n v="0.1"/>
    <n v="132.38999999999999"/>
    <x v="1"/>
    <x v="0"/>
    <x v="2"/>
    <s v="Storage"/>
    <x v="0"/>
  </r>
  <r>
    <s v="O1799"/>
    <x v="531"/>
    <s v="C042"/>
    <s v="P068"/>
    <n v="3"/>
    <x v="796"/>
    <n v="0.2"/>
    <n v="216.7"/>
    <x v="0"/>
    <x v="0"/>
    <x v="1"/>
    <s v="Table"/>
    <x v="0"/>
  </r>
  <r>
    <s v="O1800"/>
    <x v="532"/>
    <s v="C067"/>
    <s v="P076"/>
    <n v="3"/>
    <x v="797"/>
    <n v="0.3"/>
    <n v="239.42"/>
    <x v="1"/>
    <x v="2"/>
    <x v="1"/>
    <s v="Shelf"/>
    <x v="0"/>
  </r>
  <r>
    <s v="O1801"/>
    <x v="533"/>
    <s v="C045"/>
    <s v="P003"/>
    <n v="3"/>
    <x v="798"/>
    <n v="0.3"/>
    <n v="177.17"/>
    <x v="2"/>
    <x v="0"/>
    <x v="2"/>
    <s v="Pen"/>
    <x v="1"/>
  </r>
  <r>
    <s v="O1802"/>
    <x v="249"/>
    <s v="C135"/>
    <s v="P079"/>
    <n v="4"/>
    <x v="799"/>
    <n v="0.3"/>
    <n v="176.39"/>
    <x v="1"/>
    <x v="2"/>
    <x v="1"/>
    <s v="Chair"/>
    <x v="0"/>
  </r>
  <r>
    <s v="O1803"/>
    <x v="84"/>
    <s v="C043"/>
    <s v="P042"/>
    <n v="5"/>
    <x v="800"/>
    <n v="0"/>
    <n v="304.58999999999997"/>
    <x v="3"/>
    <x v="2"/>
    <x v="0"/>
    <s v="Tablet"/>
    <x v="1"/>
  </r>
  <r>
    <s v="O1804"/>
    <x v="71"/>
    <s v="C119"/>
    <s v="P023"/>
    <n v="2"/>
    <x v="801"/>
    <n v="0.1"/>
    <n v="212.18"/>
    <x v="3"/>
    <x v="1"/>
    <x v="1"/>
    <s v="Shelf"/>
    <x v="0"/>
  </r>
  <r>
    <s v="O1805"/>
    <x v="534"/>
    <s v="C030"/>
    <s v="P007"/>
    <n v="2"/>
    <x v="802"/>
    <n v="0.2"/>
    <n v="48.03"/>
    <x v="1"/>
    <x v="1"/>
    <x v="1"/>
    <s v="Desk"/>
    <x v="0"/>
  </r>
  <r>
    <s v="O1806"/>
    <x v="535"/>
    <s v="C023"/>
    <s v="P087"/>
    <n v="3"/>
    <x v="803"/>
    <n v="0"/>
    <n v="149.69"/>
    <x v="3"/>
    <x v="2"/>
    <x v="0"/>
    <s v="Phone"/>
    <x v="0"/>
  </r>
  <r>
    <s v="O1807"/>
    <x v="519"/>
    <s v="C170"/>
    <s v="P100"/>
    <n v="3"/>
    <x v="804"/>
    <n v="0.2"/>
    <n v="214.43"/>
    <x v="1"/>
    <x v="2"/>
    <x v="0"/>
    <s v="Phone"/>
    <x v="0"/>
  </r>
  <r>
    <s v="O1808"/>
    <x v="536"/>
    <s v="C046"/>
    <s v="P052"/>
    <n v="1"/>
    <x v="805"/>
    <n v="0"/>
    <n v="129.94999999999999"/>
    <x v="1"/>
    <x v="2"/>
    <x v="1"/>
    <s v="Chair"/>
    <x v="1"/>
  </r>
  <r>
    <s v="O1809"/>
    <x v="257"/>
    <s v="C082"/>
    <s v="P092"/>
    <n v="5"/>
    <x v="806"/>
    <n v="0"/>
    <n v="362.36"/>
    <x v="3"/>
    <x v="2"/>
    <x v="0"/>
    <s v="Phone"/>
    <x v="0"/>
  </r>
  <r>
    <s v="O1810"/>
    <x v="472"/>
    <s v="C124"/>
    <s v="P013"/>
    <n v="4"/>
    <x v="807"/>
    <n v="0.3"/>
    <n v="277.75"/>
    <x v="3"/>
    <x v="2"/>
    <x v="0"/>
    <s v="Laptop"/>
    <x v="0"/>
  </r>
  <r>
    <s v="O1811"/>
    <x v="79"/>
    <s v="C128"/>
    <s v="P055"/>
    <n v="2"/>
    <x v="808"/>
    <n v="0.3"/>
    <n v="374.32"/>
    <x v="1"/>
    <x v="2"/>
    <x v="2"/>
    <s v="Binder"/>
    <x v="0"/>
  </r>
  <r>
    <s v="O1812"/>
    <x v="159"/>
    <s v="C057"/>
    <s v="P014"/>
    <n v="1"/>
    <x v="809"/>
    <n v="0"/>
    <n v="68.88"/>
    <x v="0"/>
    <x v="0"/>
    <x v="1"/>
    <s v="Shelf"/>
    <x v="0"/>
  </r>
  <r>
    <s v="O1813"/>
    <x v="537"/>
    <s v="C017"/>
    <s v="P048"/>
    <n v="1"/>
    <x v="810"/>
    <n v="0.3"/>
    <n v="80.2"/>
    <x v="3"/>
    <x v="0"/>
    <x v="1"/>
    <s v="Table"/>
    <x v="1"/>
  </r>
  <r>
    <s v="O1814"/>
    <x v="93"/>
    <s v="C173"/>
    <s v="P053"/>
    <n v="2"/>
    <x v="811"/>
    <n v="0"/>
    <n v="245.1"/>
    <x v="1"/>
    <x v="0"/>
    <x v="0"/>
    <s v="Accessories"/>
    <x v="0"/>
  </r>
  <r>
    <s v="O1815"/>
    <x v="130"/>
    <s v="C040"/>
    <s v="P038"/>
    <n v="4"/>
    <x v="812"/>
    <n v="0.1"/>
    <n v="72.62"/>
    <x v="1"/>
    <x v="0"/>
    <x v="0"/>
    <s v="Accessories"/>
    <x v="0"/>
  </r>
  <r>
    <s v="O1816"/>
    <x v="538"/>
    <s v="C129"/>
    <s v="P035"/>
    <n v="1"/>
    <x v="813"/>
    <n v="0.3"/>
    <n v="411.08"/>
    <x v="1"/>
    <x v="2"/>
    <x v="1"/>
    <s v="Chair"/>
    <x v="0"/>
  </r>
  <r>
    <s v="O1817"/>
    <x v="345"/>
    <s v="C099"/>
    <s v="P037"/>
    <n v="1"/>
    <x v="814"/>
    <n v="0.3"/>
    <n v="108.28"/>
    <x v="0"/>
    <x v="1"/>
    <x v="2"/>
    <s v="Storage"/>
    <x v="1"/>
  </r>
  <r>
    <s v="O1818"/>
    <x v="539"/>
    <s v="C107"/>
    <s v="P030"/>
    <n v="5"/>
    <x v="815"/>
    <n v="0.3"/>
    <n v="28.77"/>
    <x v="2"/>
    <x v="1"/>
    <x v="1"/>
    <s v="Shelf"/>
    <x v="1"/>
  </r>
  <r>
    <s v="O1819"/>
    <x v="540"/>
    <s v="C024"/>
    <s v="P085"/>
    <n v="4"/>
    <x v="816"/>
    <n v="0.1"/>
    <n v="24.4"/>
    <x v="2"/>
    <x v="0"/>
    <x v="0"/>
    <s v="Tablet"/>
    <x v="0"/>
  </r>
  <r>
    <s v="O1820"/>
    <x v="527"/>
    <s v="C037"/>
    <s v="P007"/>
    <n v="1"/>
    <x v="817"/>
    <n v="0"/>
    <n v="197.23"/>
    <x v="1"/>
    <x v="1"/>
    <x v="1"/>
    <s v="Desk"/>
    <x v="0"/>
  </r>
  <r>
    <s v="O1821"/>
    <x v="541"/>
    <s v="C144"/>
    <s v="P071"/>
    <n v="4"/>
    <x v="818"/>
    <n v="0.2"/>
    <n v="349.49"/>
    <x v="0"/>
    <x v="0"/>
    <x v="0"/>
    <s v="Laptop"/>
    <x v="0"/>
  </r>
  <r>
    <s v="O1822"/>
    <x v="161"/>
    <s v="C186"/>
    <s v="P051"/>
    <n v="2"/>
    <x v="819"/>
    <n v="0.3"/>
    <n v="82.93"/>
    <x v="2"/>
    <x v="0"/>
    <x v="0"/>
    <s v="Tablet"/>
    <x v="1"/>
  </r>
  <r>
    <s v="O1823"/>
    <x v="542"/>
    <s v="C067"/>
    <s v="P085"/>
    <n v="3"/>
    <x v="820"/>
    <n v="0"/>
    <n v="68.91"/>
    <x v="1"/>
    <x v="2"/>
    <x v="0"/>
    <s v="Tablet"/>
    <x v="0"/>
  </r>
  <r>
    <s v="O1824"/>
    <x v="543"/>
    <s v="C174"/>
    <s v="P084"/>
    <n v="1"/>
    <x v="821"/>
    <n v="0.1"/>
    <n v="254.3"/>
    <x v="1"/>
    <x v="2"/>
    <x v="2"/>
    <s v="Paper"/>
    <x v="0"/>
  </r>
  <r>
    <s v="O1825"/>
    <x v="491"/>
    <s v="C173"/>
    <s v="P001"/>
    <n v="5"/>
    <x v="822"/>
    <n v="0.2"/>
    <n v="77.36"/>
    <x v="1"/>
    <x v="0"/>
    <x v="2"/>
    <s v="Storage"/>
    <x v="0"/>
  </r>
  <r>
    <s v="O1826"/>
    <x v="353"/>
    <s v="C144"/>
    <s v="P054"/>
    <n v="2"/>
    <x v="823"/>
    <n v="0.3"/>
    <n v="189.97"/>
    <x v="0"/>
    <x v="0"/>
    <x v="1"/>
    <s v="Shelf"/>
    <x v="0"/>
  </r>
  <r>
    <s v="O1827"/>
    <x v="544"/>
    <s v="C143"/>
    <s v="P007"/>
    <n v="4"/>
    <x v="824"/>
    <n v="0.1"/>
    <n v="342.63"/>
    <x v="0"/>
    <x v="2"/>
    <x v="1"/>
    <s v="Desk"/>
    <x v="0"/>
  </r>
  <r>
    <s v="O1828"/>
    <x v="318"/>
    <s v="C154"/>
    <s v="P085"/>
    <n v="2"/>
    <x v="825"/>
    <n v="0.1"/>
    <n v="231.2"/>
    <x v="3"/>
    <x v="0"/>
    <x v="0"/>
    <s v="Tablet"/>
    <x v="0"/>
  </r>
  <r>
    <s v="O1829"/>
    <x v="406"/>
    <s v="C137"/>
    <s v="P099"/>
    <n v="1"/>
    <x v="826"/>
    <n v="0.2"/>
    <n v="82.68"/>
    <x v="1"/>
    <x v="2"/>
    <x v="1"/>
    <s v="Desk"/>
    <x v="0"/>
  </r>
  <r>
    <s v="O1830"/>
    <x v="268"/>
    <s v="C167"/>
    <s v="P100"/>
    <n v="4"/>
    <x v="827"/>
    <n v="0"/>
    <n v="257.54000000000002"/>
    <x v="2"/>
    <x v="0"/>
    <x v="0"/>
    <s v="Phone"/>
    <x v="1"/>
  </r>
  <r>
    <s v="O1831"/>
    <x v="545"/>
    <s v="C137"/>
    <s v="P064"/>
    <n v="3"/>
    <x v="828"/>
    <n v="0.3"/>
    <n v="174.73"/>
    <x v="1"/>
    <x v="2"/>
    <x v="2"/>
    <s v="Binder"/>
    <x v="0"/>
  </r>
  <r>
    <s v="O1832"/>
    <x v="417"/>
    <s v="C106"/>
    <s v="P055"/>
    <n v="2"/>
    <x v="829"/>
    <n v="0.3"/>
    <n v="312.43"/>
    <x v="0"/>
    <x v="1"/>
    <x v="2"/>
    <s v="Binder"/>
    <x v="0"/>
  </r>
  <r>
    <s v="O1833"/>
    <x v="381"/>
    <s v="C144"/>
    <s v="P015"/>
    <n v="1"/>
    <x v="830"/>
    <n v="0"/>
    <n v="43.45"/>
    <x v="0"/>
    <x v="0"/>
    <x v="0"/>
    <s v="Tablet"/>
    <x v="0"/>
  </r>
  <r>
    <s v="O1834"/>
    <x v="289"/>
    <s v="C063"/>
    <s v="P030"/>
    <n v="5"/>
    <x v="831"/>
    <n v="0"/>
    <n v="239.41"/>
    <x v="0"/>
    <x v="0"/>
    <x v="1"/>
    <s v="Shelf"/>
    <x v="0"/>
  </r>
  <r>
    <s v="O1835"/>
    <x v="219"/>
    <s v="C080"/>
    <s v="P026"/>
    <n v="4"/>
    <x v="832"/>
    <n v="0"/>
    <n v="9.58"/>
    <x v="2"/>
    <x v="1"/>
    <x v="0"/>
    <s v="Phone"/>
    <x v="0"/>
  </r>
  <r>
    <s v="O1836"/>
    <x v="546"/>
    <s v="C026"/>
    <s v="P077"/>
    <n v="2"/>
    <x v="833"/>
    <n v="0.2"/>
    <n v="66.09"/>
    <x v="1"/>
    <x v="2"/>
    <x v="0"/>
    <s v="Accessories"/>
    <x v="0"/>
  </r>
  <r>
    <s v="O1837"/>
    <x v="236"/>
    <s v="C027"/>
    <s v="P048"/>
    <n v="2"/>
    <x v="834"/>
    <n v="0.2"/>
    <n v="283.12"/>
    <x v="3"/>
    <x v="0"/>
    <x v="1"/>
    <s v="Table"/>
    <x v="0"/>
  </r>
  <r>
    <s v="O1838"/>
    <x v="192"/>
    <s v="C142"/>
    <s v="P063"/>
    <n v="3"/>
    <x v="835"/>
    <n v="0.3"/>
    <n v="114.84"/>
    <x v="2"/>
    <x v="1"/>
    <x v="2"/>
    <s v="Pen"/>
    <x v="0"/>
  </r>
  <r>
    <s v="O1839"/>
    <x v="298"/>
    <s v="C199"/>
    <s v="P086"/>
    <n v="3"/>
    <x v="836"/>
    <n v="0.2"/>
    <n v="22.44"/>
    <x v="0"/>
    <x v="2"/>
    <x v="1"/>
    <s v="Shelf"/>
    <x v="1"/>
  </r>
  <r>
    <s v="O1840"/>
    <x v="293"/>
    <s v="C164"/>
    <s v="P092"/>
    <n v="5"/>
    <x v="837"/>
    <n v="0.1"/>
    <n v="27.44"/>
    <x v="2"/>
    <x v="2"/>
    <x v="0"/>
    <s v="Phone"/>
    <x v="1"/>
  </r>
  <r>
    <s v="O1841"/>
    <x v="547"/>
    <s v="C150"/>
    <s v="P078"/>
    <n v="5"/>
    <x v="838"/>
    <n v="0.3"/>
    <n v="108.99"/>
    <x v="2"/>
    <x v="0"/>
    <x v="2"/>
    <s v="Storage"/>
    <x v="0"/>
  </r>
  <r>
    <s v="O1842"/>
    <x v="434"/>
    <s v="C026"/>
    <s v="P010"/>
    <n v="1"/>
    <x v="839"/>
    <n v="0.2"/>
    <n v="39.619999999999997"/>
    <x v="1"/>
    <x v="2"/>
    <x v="2"/>
    <s v="Paper"/>
    <x v="1"/>
  </r>
  <r>
    <s v="O1843"/>
    <x v="478"/>
    <s v="C146"/>
    <s v="P011"/>
    <n v="1"/>
    <x v="840"/>
    <n v="0"/>
    <n v="18.39"/>
    <x v="3"/>
    <x v="0"/>
    <x v="0"/>
    <s v="Accessories"/>
    <x v="0"/>
  </r>
  <r>
    <s v="O1844"/>
    <x v="81"/>
    <s v="C084"/>
    <s v="P026"/>
    <n v="5"/>
    <x v="841"/>
    <n v="0.1"/>
    <n v="451.4"/>
    <x v="2"/>
    <x v="2"/>
    <x v="0"/>
    <s v="Phone"/>
    <x v="0"/>
  </r>
  <r>
    <s v="O1845"/>
    <x v="548"/>
    <s v="C103"/>
    <s v="P054"/>
    <n v="5"/>
    <x v="842"/>
    <n v="0"/>
    <n v="148.38"/>
    <x v="3"/>
    <x v="1"/>
    <x v="1"/>
    <s v="Shelf"/>
    <x v="0"/>
  </r>
  <r>
    <s v="O1846"/>
    <x v="384"/>
    <s v="C050"/>
    <s v="P058"/>
    <n v="4"/>
    <x v="843"/>
    <n v="0.3"/>
    <n v="104.7"/>
    <x v="0"/>
    <x v="0"/>
    <x v="2"/>
    <s v="Paper"/>
    <x v="0"/>
  </r>
  <r>
    <s v="O1847"/>
    <x v="20"/>
    <s v="C111"/>
    <s v="P085"/>
    <n v="3"/>
    <x v="844"/>
    <n v="0"/>
    <n v="351.42"/>
    <x v="0"/>
    <x v="1"/>
    <x v="0"/>
    <s v="Tablet"/>
    <x v="0"/>
  </r>
  <r>
    <s v="O1848"/>
    <x v="549"/>
    <s v="C040"/>
    <s v="P040"/>
    <n v="1"/>
    <x v="845"/>
    <n v="0.2"/>
    <n v="94.86"/>
    <x v="1"/>
    <x v="0"/>
    <x v="2"/>
    <s v="Binder"/>
    <x v="1"/>
  </r>
  <r>
    <s v="O1849"/>
    <x v="186"/>
    <s v="C110"/>
    <s v="P063"/>
    <n v="3"/>
    <x v="846"/>
    <n v="0.2"/>
    <n v="211.55"/>
    <x v="3"/>
    <x v="0"/>
    <x v="2"/>
    <s v="Pen"/>
    <x v="0"/>
  </r>
  <r>
    <s v="O1850"/>
    <x v="189"/>
    <s v="C149"/>
    <s v="P072"/>
    <n v="3"/>
    <x v="847"/>
    <n v="0.3"/>
    <n v="153.46"/>
    <x v="1"/>
    <x v="2"/>
    <x v="1"/>
    <s v="Chair"/>
    <x v="0"/>
  </r>
  <r>
    <s v="O1851"/>
    <x v="550"/>
    <s v="C041"/>
    <s v="P005"/>
    <n v="5"/>
    <x v="848"/>
    <n v="0"/>
    <n v="409.44"/>
    <x v="0"/>
    <x v="1"/>
    <x v="2"/>
    <s v="Paper"/>
    <x v="0"/>
  </r>
  <r>
    <s v="O1852"/>
    <x v="551"/>
    <s v="C115"/>
    <s v="P082"/>
    <n v="4"/>
    <x v="849"/>
    <n v="0.3"/>
    <n v="251.4"/>
    <x v="1"/>
    <x v="1"/>
    <x v="0"/>
    <s v="Accessories"/>
    <x v="0"/>
  </r>
  <r>
    <s v="O1853"/>
    <x v="45"/>
    <s v="C005"/>
    <s v="P043"/>
    <n v="2"/>
    <x v="850"/>
    <n v="0"/>
    <n v="120.53"/>
    <x v="1"/>
    <x v="0"/>
    <x v="1"/>
    <s v="Table"/>
    <x v="0"/>
  </r>
  <r>
    <s v="O1854"/>
    <x v="409"/>
    <s v="C183"/>
    <s v="P067"/>
    <n v="4"/>
    <x v="851"/>
    <n v="0.1"/>
    <n v="431.78"/>
    <x v="1"/>
    <x v="1"/>
    <x v="2"/>
    <s v="Binder"/>
    <x v="1"/>
  </r>
  <r>
    <s v="O1855"/>
    <x v="551"/>
    <s v="C146"/>
    <s v="P036"/>
    <n v="4"/>
    <x v="852"/>
    <n v="0.2"/>
    <n v="42.78"/>
    <x v="3"/>
    <x v="0"/>
    <x v="1"/>
    <s v="Shelf"/>
    <x v="0"/>
  </r>
  <r>
    <s v="O1856"/>
    <x v="56"/>
    <s v="C186"/>
    <s v="P004"/>
    <n v="3"/>
    <x v="853"/>
    <n v="0.3"/>
    <n v="383.37"/>
    <x v="2"/>
    <x v="0"/>
    <x v="0"/>
    <s v="Laptop"/>
    <x v="1"/>
  </r>
  <r>
    <s v="O1857"/>
    <x v="94"/>
    <s v="C033"/>
    <s v="P064"/>
    <n v="4"/>
    <x v="854"/>
    <n v="0.1"/>
    <n v="197.32"/>
    <x v="2"/>
    <x v="0"/>
    <x v="2"/>
    <s v="Binder"/>
    <x v="0"/>
  </r>
  <r>
    <s v="O1858"/>
    <x v="389"/>
    <s v="C077"/>
    <s v="P034"/>
    <n v="1"/>
    <x v="855"/>
    <n v="0.1"/>
    <n v="85.53"/>
    <x v="1"/>
    <x v="1"/>
    <x v="2"/>
    <s v="Storage"/>
    <x v="0"/>
  </r>
  <r>
    <s v="O1859"/>
    <x v="378"/>
    <s v="C172"/>
    <s v="P010"/>
    <n v="3"/>
    <x v="856"/>
    <n v="0.3"/>
    <n v="194.46"/>
    <x v="1"/>
    <x v="2"/>
    <x v="2"/>
    <s v="Paper"/>
    <x v="0"/>
  </r>
  <r>
    <s v="O1860"/>
    <x v="326"/>
    <s v="C114"/>
    <s v="P041"/>
    <n v="1"/>
    <x v="857"/>
    <n v="0.3"/>
    <n v="65"/>
    <x v="3"/>
    <x v="1"/>
    <x v="0"/>
    <s v="Tablet"/>
    <x v="0"/>
  </r>
  <r>
    <s v="O1861"/>
    <x v="50"/>
    <s v="C126"/>
    <s v="P048"/>
    <n v="2"/>
    <x v="858"/>
    <n v="0.1"/>
    <n v="102.52"/>
    <x v="0"/>
    <x v="2"/>
    <x v="1"/>
    <s v="Table"/>
    <x v="1"/>
  </r>
  <r>
    <s v="O1862"/>
    <x v="552"/>
    <s v="C143"/>
    <s v="P006"/>
    <n v="3"/>
    <x v="859"/>
    <n v="0"/>
    <n v="190.18"/>
    <x v="0"/>
    <x v="2"/>
    <x v="1"/>
    <s v="Chair"/>
    <x v="0"/>
  </r>
  <r>
    <s v="O1863"/>
    <x v="90"/>
    <s v="C014"/>
    <s v="P057"/>
    <n v="2"/>
    <x v="860"/>
    <n v="0.1"/>
    <n v="117.89"/>
    <x v="1"/>
    <x v="0"/>
    <x v="0"/>
    <s v="Laptop"/>
    <x v="1"/>
  </r>
  <r>
    <s v="O1864"/>
    <x v="73"/>
    <s v="C008"/>
    <s v="P001"/>
    <n v="3"/>
    <x v="861"/>
    <n v="0.3"/>
    <n v="129.13999999999999"/>
    <x v="1"/>
    <x v="2"/>
    <x v="2"/>
    <s v="Storage"/>
    <x v="1"/>
  </r>
  <r>
    <s v="O1865"/>
    <x v="518"/>
    <s v="C118"/>
    <s v="P051"/>
    <n v="5"/>
    <x v="862"/>
    <n v="0.1"/>
    <n v="485.52"/>
    <x v="3"/>
    <x v="0"/>
    <x v="0"/>
    <s v="Tablet"/>
    <x v="0"/>
  </r>
  <r>
    <s v="O1866"/>
    <x v="254"/>
    <s v="C096"/>
    <s v="P021"/>
    <n v="4"/>
    <x v="863"/>
    <n v="0"/>
    <n v="63.86"/>
    <x v="0"/>
    <x v="2"/>
    <x v="1"/>
    <s v="Desk"/>
    <x v="0"/>
  </r>
  <r>
    <s v="O1867"/>
    <x v="515"/>
    <s v="C007"/>
    <s v="P016"/>
    <n v="5"/>
    <x v="864"/>
    <n v="0.2"/>
    <n v="67.290000000000006"/>
    <x v="1"/>
    <x v="2"/>
    <x v="1"/>
    <s v="Chair"/>
    <x v="0"/>
  </r>
  <r>
    <s v="O1868"/>
    <x v="178"/>
    <s v="C031"/>
    <s v="P093"/>
    <n v="2"/>
    <x v="865"/>
    <n v="0.2"/>
    <n v="81.180000000000007"/>
    <x v="2"/>
    <x v="1"/>
    <x v="2"/>
    <s v="Storage"/>
    <x v="0"/>
  </r>
  <r>
    <s v="O1869"/>
    <x v="264"/>
    <s v="C114"/>
    <s v="P032"/>
    <n v="4"/>
    <x v="866"/>
    <n v="0.1"/>
    <n v="96.33"/>
    <x v="3"/>
    <x v="1"/>
    <x v="2"/>
    <s v="Paper"/>
    <x v="0"/>
  </r>
  <r>
    <s v="O1870"/>
    <x v="553"/>
    <s v="C091"/>
    <s v="P096"/>
    <n v="3"/>
    <x v="867"/>
    <n v="0"/>
    <n v="39.01"/>
    <x v="3"/>
    <x v="1"/>
    <x v="0"/>
    <s v="Laptop"/>
    <x v="0"/>
  </r>
  <r>
    <s v="O1871"/>
    <x v="17"/>
    <s v="C087"/>
    <s v="P063"/>
    <n v="4"/>
    <x v="868"/>
    <n v="0.2"/>
    <n v="61.11"/>
    <x v="0"/>
    <x v="1"/>
    <x v="2"/>
    <s v="Pen"/>
    <x v="1"/>
  </r>
  <r>
    <s v="O1872"/>
    <x v="28"/>
    <s v="C176"/>
    <s v="P095"/>
    <n v="1"/>
    <x v="869"/>
    <n v="0.1"/>
    <n v="75.11"/>
    <x v="3"/>
    <x v="2"/>
    <x v="0"/>
    <s v="Phone"/>
    <x v="0"/>
  </r>
  <r>
    <s v="O1873"/>
    <x v="554"/>
    <s v="C184"/>
    <s v="P085"/>
    <n v="4"/>
    <x v="870"/>
    <n v="0.1"/>
    <n v="212.38"/>
    <x v="1"/>
    <x v="0"/>
    <x v="0"/>
    <s v="Tablet"/>
    <x v="0"/>
  </r>
  <r>
    <s v="O1874"/>
    <x v="96"/>
    <s v="C113"/>
    <s v="P070"/>
    <n v="1"/>
    <x v="871"/>
    <n v="0"/>
    <n v="119.89"/>
    <x v="0"/>
    <x v="1"/>
    <x v="2"/>
    <s v="Paper"/>
    <x v="0"/>
  </r>
  <r>
    <s v="O1875"/>
    <x v="555"/>
    <s v="C099"/>
    <s v="P004"/>
    <n v="4"/>
    <x v="872"/>
    <n v="0.3"/>
    <n v="116.09"/>
    <x v="0"/>
    <x v="1"/>
    <x v="0"/>
    <s v="Laptop"/>
    <x v="0"/>
  </r>
  <r>
    <s v="O1876"/>
    <x v="556"/>
    <s v="C089"/>
    <s v="P082"/>
    <n v="1"/>
    <x v="873"/>
    <n v="0.1"/>
    <n v="271.86"/>
    <x v="2"/>
    <x v="2"/>
    <x v="0"/>
    <s v="Accessories"/>
    <x v="0"/>
  </r>
  <r>
    <s v="O1877"/>
    <x v="557"/>
    <s v="C108"/>
    <s v="P028"/>
    <n v="2"/>
    <x v="874"/>
    <n v="0.3"/>
    <n v="38.04"/>
    <x v="2"/>
    <x v="0"/>
    <x v="0"/>
    <s v="Laptop"/>
    <x v="0"/>
  </r>
  <r>
    <s v="O1878"/>
    <x v="143"/>
    <s v="C134"/>
    <s v="P026"/>
    <n v="5"/>
    <x v="875"/>
    <n v="0.3"/>
    <n v="133.69"/>
    <x v="3"/>
    <x v="1"/>
    <x v="0"/>
    <s v="Phone"/>
    <x v="0"/>
  </r>
  <r>
    <s v="O1879"/>
    <x v="558"/>
    <s v="C146"/>
    <s v="P053"/>
    <n v="3"/>
    <x v="876"/>
    <n v="0.2"/>
    <n v="190.55"/>
    <x v="3"/>
    <x v="0"/>
    <x v="0"/>
    <s v="Accessories"/>
    <x v="0"/>
  </r>
  <r>
    <s v="O1880"/>
    <x v="135"/>
    <s v="C160"/>
    <s v="P092"/>
    <n v="4"/>
    <x v="877"/>
    <n v="0.3"/>
    <n v="302.62"/>
    <x v="2"/>
    <x v="0"/>
    <x v="0"/>
    <s v="Phone"/>
    <x v="0"/>
  </r>
  <r>
    <s v="O1881"/>
    <x v="444"/>
    <s v="C110"/>
    <s v="P016"/>
    <n v="5"/>
    <x v="878"/>
    <n v="0"/>
    <n v="249.23"/>
    <x v="3"/>
    <x v="0"/>
    <x v="1"/>
    <s v="Chair"/>
    <x v="0"/>
  </r>
  <r>
    <s v="O1882"/>
    <x v="30"/>
    <s v="C200"/>
    <s v="P032"/>
    <n v="3"/>
    <x v="879"/>
    <n v="0.2"/>
    <n v="497.15"/>
    <x v="3"/>
    <x v="0"/>
    <x v="2"/>
    <s v="Paper"/>
    <x v="0"/>
  </r>
  <r>
    <s v="O1883"/>
    <x v="317"/>
    <s v="C071"/>
    <s v="P003"/>
    <n v="3"/>
    <x v="880"/>
    <n v="0.2"/>
    <n v="195.72"/>
    <x v="0"/>
    <x v="1"/>
    <x v="2"/>
    <s v="Pen"/>
    <x v="0"/>
  </r>
  <r>
    <s v="O1884"/>
    <x v="44"/>
    <s v="C055"/>
    <s v="P049"/>
    <n v="1"/>
    <x v="881"/>
    <n v="0.2"/>
    <n v="86.07"/>
    <x v="0"/>
    <x v="2"/>
    <x v="2"/>
    <s v="Paper"/>
    <x v="0"/>
  </r>
  <r>
    <s v="O1885"/>
    <x v="559"/>
    <s v="C106"/>
    <s v="P079"/>
    <n v="2"/>
    <x v="882"/>
    <n v="0.1"/>
    <n v="152.72"/>
    <x v="0"/>
    <x v="1"/>
    <x v="1"/>
    <s v="Chair"/>
    <x v="0"/>
  </r>
  <r>
    <s v="O1886"/>
    <x v="113"/>
    <s v="C023"/>
    <s v="P034"/>
    <n v="2"/>
    <x v="883"/>
    <n v="0.1"/>
    <n v="149.29"/>
    <x v="3"/>
    <x v="2"/>
    <x v="2"/>
    <s v="Storage"/>
    <x v="0"/>
  </r>
  <r>
    <s v="O1887"/>
    <x v="560"/>
    <s v="C104"/>
    <s v="P068"/>
    <n v="5"/>
    <x v="884"/>
    <n v="0.3"/>
    <n v="85.15"/>
    <x v="0"/>
    <x v="1"/>
    <x v="1"/>
    <s v="Table"/>
    <x v="0"/>
  </r>
  <r>
    <s v="O1888"/>
    <x v="561"/>
    <s v="C142"/>
    <s v="P005"/>
    <n v="2"/>
    <x v="885"/>
    <n v="0.2"/>
    <n v="207.95"/>
    <x v="2"/>
    <x v="1"/>
    <x v="2"/>
    <s v="Paper"/>
    <x v="0"/>
  </r>
  <r>
    <s v="O1889"/>
    <x v="562"/>
    <s v="C005"/>
    <s v="P047"/>
    <n v="4"/>
    <x v="886"/>
    <n v="0.2"/>
    <n v="46.29"/>
    <x v="1"/>
    <x v="0"/>
    <x v="2"/>
    <s v="Pen"/>
    <x v="0"/>
  </r>
  <r>
    <s v="O1890"/>
    <x v="383"/>
    <s v="C092"/>
    <s v="P099"/>
    <n v="2"/>
    <x v="887"/>
    <n v="0"/>
    <n v="262.14"/>
    <x v="1"/>
    <x v="1"/>
    <x v="1"/>
    <s v="Desk"/>
    <x v="0"/>
  </r>
  <r>
    <s v="O1891"/>
    <x v="563"/>
    <s v="C156"/>
    <s v="P082"/>
    <n v="5"/>
    <x v="888"/>
    <n v="0.3"/>
    <n v="158.35"/>
    <x v="2"/>
    <x v="1"/>
    <x v="0"/>
    <s v="Accessories"/>
    <x v="0"/>
  </r>
  <r>
    <s v="O1892"/>
    <x v="347"/>
    <s v="C136"/>
    <s v="P092"/>
    <n v="2"/>
    <x v="889"/>
    <n v="0"/>
    <n v="118.16"/>
    <x v="1"/>
    <x v="2"/>
    <x v="0"/>
    <s v="Phone"/>
    <x v="0"/>
  </r>
  <r>
    <s v="O1893"/>
    <x v="295"/>
    <s v="C119"/>
    <s v="P083"/>
    <n v="4"/>
    <x v="890"/>
    <n v="0.3"/>
    <n v="247.65"/>
    <x v="3"/>
    <x v="1"/>
    <x v="2"/>
    <s v="Paper"/>
    <x v="1"/>
  </r>
  <r>
    <s v="O1894"/>
    <x v="63"/>
    <s v="C088"/>
    <s v="P085"/>
    <n v="1"/>
    <x v="891"/>
    <n v="0.3"/>
    <n v="119.23"/>
    <x v="2"/>
    <x v="1"/>
    <x v="0"/>
    <s v="Tablet"/>
    <x v="0"/>
  </r>
  <r>
    <s v="O1895"/>
    <x v="370"/>
    <s v="C134"/>
    <s v="P043"/>
    <n v="5"/>
    <x v="892"/>
    <n v="0.1"/>
    <n v="331.79"/>
    <x v="3"/>
    <x v="1"/>
    <x v="1"/>
    <s v="Table"/>
    <x v="0"/>
  </r>
  <r>
    <s v="O1896"/>
    <x v="8"/>
    <s v="C093"/>
    <s v="P084"/>
    <n v="1"/>
    <x v="893"/>
    <n v="0.1"/>
    <n v="58.41"/>
    <x v="0"/>
    <x v="1"/>
    <x v="2"/>
    <s v="Paper"/>
    <x v="0"/>
  </r>
  <r>
    <s v="O1897"/>
    <x v="564"/>
    <s v="C147"/>
    <s v="P048"/>
    <n v="1"/>
    <x v="894"/>
    <n v="0"/>
    <n v="266.97000000000003"/>
    <x v="3"/>
    <x v="2"/>
    <x v="1"/>
    <s v="Table"/>
    <x v="0"/>
  </r>
  <r>
    <s v="O1898"/>
    <x v="565"/>
    <s v="C090"/>
    <s v="P025"/>
    <n v="1"/>
    <x v="895"/>
    <n v="0.3"/>
    <n v="46.09"/>
    <x v="2"/>
    <x v="2"/>
    <x v="0"/>
    <s v="Accessories"/>
    <x v="0"/>
  </r>
  <r>
    <s v="O1899"/>
    <x v="430"/>
    <s v="C056"/>
    <s v="P069"/>
    <n v="3"/>
    <x v="896"/>
    <n v="0.2"/>
    <n v="357.79"/>
    <x v="1"/>
    <x v="2"/>
    <x v="2"/>
    <s v="Pen"/>
    <x v="1"/>
  </r>
  <r>
    <s v="O1900"/>
    <x v="11"/>
    <s v="C011"/>
    <s v="P027"/>
    <n v="3"/>
    <x v="897"/>
    <n v="0.1"/>
    <n v="81.44"/>
    <x v="2"/>
    <x v="0"/>
    <x v="2"/>
    <s v="Storage"/>
    <x v="0"/>
  </r>
  <r>
    <s v="O1901"/>
    <x v="244"/>
    <s v="C151"/>
    <s v="P086"/>
    <n v="1"/>
    <x v="898"/>
    <n v="0.2"/>
    <n v="202.77"/>
    <x v="3"/>
    <x v="2"/>
    <x v="1"/>
    <s v="Shelf"/>
    <x v="0"/>
  </r>
  <r>
    <s v="O1902"/>
    <x v="330"/>
    <s v="C107"/>
    <s v="P024"/>
    <n v="5"/>
    <x v="899"/>
    <n v="0"/>
    <n v="157.80000000000001"/>
    <x v="2"/>
    <x v="1"/>
    <x v="1"/>
    <s v="Desk"/>
    <x v="0"/>
  </r>
  <r>
    <s v="O1903"/>
    <x v="100"/>
    <s v="C027"/>
    <s v="P068"/>
    <n v="4"/>
    <x v="900"/>
    <n v="0.1"/>
    <n v="218.12"/>
    <x v="3"/>
    <x v="0"/>
    <x v="1"/>
    <s v="Table"/>
    <x v="1"/>
  </r>
  <r>
    <s v="O1904"/>
    <x v="273"/>
    <s v="C024"/>
    <s v="P041"/>
    <n v="4"/>
    <x v="901"/>
    <n v="0.1"/>
    <n v="305.98"/>
    <x v="2"/>
    <x v="0"/>
    <x v="0"/>
    <s v="Tablet"/>
    <x v="0"/>
  </r>
  <r>
    <s v="O1905"/>
    <x v="566"/>
    <s v="C023"/>
    <s v="P064"/>
    <n v="2"/>
    <x v="902"/>
    <n v="0.3"/>
    <n v="88.69"/>
    <x v="3"/>
    <x v="2"/>
    <x v="2"/>
    <s v="Binder"/>
    <x v="0"/>
  </r>
  <r>
    <s v="O1906"/>
    <x v="417"/>
    <s v="C179"/>
    <s v="P046"/>
    <n v="5"/>
    <x v="903"/>
    <n v="0"/>
    <n v="218.56"/>
    <x v="3"/>
    <x v="1"/>
    <x v="1"/>
    <s v="Chair"/>
    <x v="0"/>
  </r>
  <r>
    <s v="O1907"/>
    <x v="198"/>
    <s v="C110"/>
    <s v="P040"/>
    <n v="3"/>
    <x v="904"/>
    <n v="0.3"/>
    <n v="582.96"/>
    <x v="3"/>
    <x v="0"/>
    <x v="2"/>
    <s v="Binder"/>
    <x v="0"/>
  </r>
  <r>
    <s v="O1908"/>
    <x v="567"/>
    <s v="C009"/>
    <s v="P052"/>
    <n v="1"/>
    <x v="905"/>
    <n v="0.1"/>
    <n v="108.25"/>
    <x v="0"/>
    <x v="2"/>
    <x v="1"/>
    <s v="Chair"/>
    <x v="0"/>
  </r>
  <r>
    <s v="O1909"/>
    <x v="73"/>
    <s v="C100"/>
    <s v="P085"/>
    <n v="2"/>
    <x v="906"/>
    <n v="0"/>
    <n v="375.27"/>
    <x v="2"/>
    <x v="1"/>
    <x v="0"/>
    <s v="Tablet"/>
    <x v="0"/>
  </r>
  <r>
    <s v="O1910"/>
    <x v="253"/>
    <s v="C191"/>
    <s v="P092"/>
    <n v="4"/>
    <x v="907"/>
    <n v="0.1"/>
    <n v="246.67"/>
    <x v="2"/>
    <x v="2"/>
    <x v="0"/>
    <s v="Phone"/>
    <x v="0"/>
  </r>
  <r>
    <s v="O1911"/>
    <x v="568"/>
    <s v="C041"/>
    <s v="P023"/>
    <n v="3"/>
    <x v="908"/>
    <n v="0"/>
    <n v="226.68"/>
    <x v="0"/>
    <x v="1"/>
    <x v="1"/>
    <s v="Shelf"/>
    <x v="0"/>
  </r>
  <r>
    <s v="O1912"/>
    <x v="172"/>
    <s v="C006"/>
    <s v="P008"/>
    <n v="3"/>
    <x v="909"/>
    <n v="0.1"/>
    <n v="57.28"/>
    <x v="3"/>
    <x v="0"/>
    <x v="0"/>
    <s v="Accessories"/>
    <x v="1"/>
  </r>
  <r>
    <s v="O1913"/>
    <x v="569"/>
    <s v="C130"/>
    <s v="P003"/>
    <n v="1"/>
    <x v="910"/>
    <n v="0.2"/>
    <n v="115.67"/>
    <x v="3"/>
    <x v="0"/>
    <x v="2"/>
    <s v="Pen"/>
    <x v="0"/>
  </r>
  <r>
    <s v="O1914"/>
    <x v="329"/>
    <s v="C099"/>
    <s v="P090"/>
    <n v="4"/>
    <x v="911"/>
    <n v="0.2"/>
    <n v="297.20999999999998"/>
    <x v="0"/>
    <x v="1"/>
    <x v="0"/>
    <s v="Accessories"/>
    <x v="0"/>
  </r>
  <r>
    <s v="O1915"/>
    <x v="336"/>
    <s v="C120"/>
    <s v="P064"/>
    <n v="5"/>
    <x v="912"/>
    <n v="0.3"/>
    <n v="99.02"/>
    <x v="1"/>
    <x v="0"/>
    <x v="2"/>
    <s v="Binder"/>
    <x v="0"/>
  </r>
  <r>
    <s v="O1916"/>
    <x v="556"/>
    <s v="C023"/>
    <s v="P047"/>
    <n v="3"/>
    <x v="913"/>
    <n v="0.2"/>
    <n v="180.65"/>
    <x v="3"/>
    <x v="2"/>
    <x v="2"/>
    <s v="Pen"/>
    <x v="0"/>
  </r>
  <r>
    <s v="O1917"/>
    <x v="306"/>
    <s v="C179"/>
    <s v="P091"/>
    <n v="1"/>
    <x v="914"/>
    <n v="0.1"/>
    <n v="138.16999999999999"/>
    <x v="3"/>
    <x v="1"/>
    <x v="1"/>
    <s v="Shelf"/>
    <x v="1"/>
  </r>
  <r>
    <s v="O1918"/>
    <x v="549"/>
    <s v="C159"/>
    <s v="P024"/>
    <n v="5"/>
    <x v="915"/>
    <n v="0.1"/>
    <n v="233.18"/>
    <x v="2"/>
    <x v="2"/>
    <x v="1"/>
    <s v="Desk"/>
    <x v="1"/>
  </r>
  <r>
    <s v="O1919"/>
    <x v="440"/>
    <s v="C146"/>
    <s v="P044"/>
    <n v="4"/>
    <x v="916"/>
    <n v="0.2"/>
    <n v="474.97"/>
    <x v="3"/>
    <x v="0"/>
    <x v="1"/>
    <s v="Table"/>
    <x v="0"/>
  </r>
  <r>
    <s v="O1920"/>
    <x v="553"/>
    <s v="C168"/>
    <s v="P088"/>
    <n v="3"/>
    <x v="917"/>
    <n v="0.3"/>
    <n v="377.61"/>
    <x v="3"/>
    <x v="0"/>
    <x v="0"/>
    <s v="Laptop"/>
    <x v="0"/>
  </r>
  <r>
    <s v="O1921"/>
    <x v="570"/>
    <s v="C078"/>
    <s v="P052"/>
    <n v="5"/>
    <x v="918"/>
    <n v="0.2"/>
    <n v="181.82"/>
    <x v="2"/>
    <x v="2"/>
    <x v="1"/>
    <s v="Chair"/>
    <x v="0"/>
  </r>
  <r>
    <s v="O1922"/>
    <x v="513"/>
    <s v="C045"/>
    <s v="P060"/>
    <n v="5"/>
    <x v="919"/>
    <n v="0"/>
    <n v="300.49"/>
    <x v="2"/>
    <x v="0"/>
    <x v="1"/>
    <s v="Chair"/>
    <x v="0"/>
  </r>
  <r>
    <s v="O1923"/>
    <x v="21"/>
    <s v="C059"/>
    <s v="P034"/>
    <n v="5"/>
    <x v="920"/>
    <n v="0"/>
    <n v="97.49"/>
    <x v="1"/>
    <x v="2"/>
    <x v="2"/>
    <s v="Storage"/>
    <x v="0"/>
  </r>
  <r>
    <s v="O1924"/>
    <x v="571"/>
    <s v="C073"/>
    <s v="P058"/>
    <n v="3"/>
    <x v="921"/>
    <n v="0"/>
    <n v="128.74"/>
    <x v="2"/>
    <x v="1"/>
    <x v="2"/>
    <s v="Paper"/>
    <x v="1"/>
  </r>
  <r>
    <s v="O1925"/>
    <x v="572"/>
    <s v="C086"/>
    <s v="P006"/>
    <n v="3"/>
    <x v="922"/>
    <n v="0.2"/>
    <n v="331.55"/>
    <x v="3"/>
    <x v="1"/>
    <x v="1"/>
    <s v="Chair"/>
    <x v="1"/>
  </r>
  <r>
    <s v="O1926"/>
    <x v="23"/>
    <s v="C045"/>
    <s v="P076"/>
    <n v="2"/>
    <x v="923"/>
    <n v="0.2"/>
    <n v="61.34"/>
    <x v="2"/>
    <x v="0"/>
    <x v="1"/>
    <s v="Shelf"/>
    <x v="0"/>
  </r>
  <r>
    <s v="O1927"/>
    <x v="573"/>
    <s v="C098"/>
    <s v="P066"/>
    <n v="4"/>
    <x v="924"/>
    <n v="0.2"/>
    <n v="29.36"/>
    <x v="3"/>
    <x v="0"/>
    <x v="1"/>
    <s v="Desk"/>
    <x v="0"/>
  </r>
  <r>
    <s v="O1928"/>
    <x v="47"/>
    <s v="C040"/>
    <s v="P006"/>
    <n v="1"/>
    <x v="925"/>
    <n v="0"/>
    <n v="303.22000000000003"/>
    <x v="1"/>
    <x v="0"/>
    <x v="1"/>
    <s v="Chair"/>
    <x v="0"/>
  </r>
  <r>
    <s v="O1929"/>
    <x v="574"/>
    <s v="C116"/>
    <s v="P066"/>
    <n v="5"/>
    <x v="926"/>
    <n v="0.3"/>
    <n v="122.13"/>
    <x v="2"/>
    <x v="0"/>
    <x v="1"/>
    <s v="Desk"/>
    <x v="0"/>
  </r>
  <r>
    <s v="O1930"/>
    <x v="164"/>
    <s v="C038"/>
    <s v="P032"/>
    <n v="2"/>
    <x v="927"/>
    <n v="0.1"/>
    <n v="195.75"/>
    <x v="0"/>
    <x v="0"/>
    <x v="2"/>
    <s v="Paper"/>
    <x v="0"/>
  </r>
  <r>
    <s v="O1931"/>
    <x v="479"/>
    <s v="C120"/>
    <s v="P028"/>
    <n v="1"/>
    <x v="928"/>
    <n v="0.2"/>
    <n v="298.27"/>
    <x v="1"/>
    <x v="0"/>
    <x v="0"/>
    <s v="Laptop"/>
    <x v="0"/>
  </r>
  <r>
    <s v="O1932"/>
    <x v="255"/>
    <s v="C131"/>
    <s v="P052"/>
    <n v="2"/>
    <x v="929"/>
    <n v="0.3"/>
    <n v="18.22"/>
    <x v="2"/>
    <x v="0"/>
    <x v="1"/>
    <s v="Chair"/>
    <x v="0"/>
  </r>
  <r>
    <s v="O1933"/>
    <x v="503"/>
    <s v="C036"/>
    <s v="P045"/>
    <n v="3"/>
    <x v="930"/>
    <n v="0.1"/>
    <n v="501.45"/>
    <x v="0"/>
    <x v="0"/>
    <x v="0"/>
    <s v="Tablet"/>
    <x v="0"/>
  </r>
  <r>
    <s v="O1934"/>
    <x v="418"/>
    <s v="C121"/>
    <s v="P027"/>
    <n v="5"/>
    <x v="931"/>
    <n v="0.1"/>
    <n v="254.06"/>
    <x v="0"/>
    <x v="2"/>
    <x v="2"/>
    <s v="Storage"/>
    <x v="1"/>
  </r>
  <r>
    <s v="O1935"/>
    <x v="547"/>
    <s v="C123"/>
    <s v="P013"/>
    <n v="1"/>
    <x v="932"/>
    <n v="0.1"/>
    <n v="242.75"/>
    <x v="2"/>
    <x v="0"/>
    <x v="0"/>
    <s v="Laptop"/>
    <x v="1"/>
  </r>
  <r>
    <s v="O1936"/>
    <x v="204"/>
    <s v="C162"/>
    <s v="P047"/>
    <n v="1"/>
    <x v="933"/>
    <n v="0.3"/>
    <n v="98.79"/>
    <x v="1"/>
    <x v="1"/>
    <x v="2"/>
    <s v="Pen"/>
    <x v="0"/>
  </r>
  <r>
    <s v="O1937"/>
    <x v="28"/>
    <s v="C044"/>
    <s v="P046"/>
    <n v="1"/>
    <x v="934"/>
    <n v="0.3"/>
    <n v="453.81"/>
    <x v="1"/>
    <x v="1"/>
    <x v="1"/>
    <s v="Chair"/>
    <x v="0"/>
  </r>
  <r>
    <s v="O1938"/>
    <x v="363"/>
    <s v="C033"/>
    <s v="P032"/>
    <n v="1"/>
    <x v="935"/>
    <n v="0"/>
    <n v="34.35"/>
    <x v="2"/>
    <x v="0"/>
    <x v="2"/>
    <s v="Paper"/>
    <x v="0"/>
  </r>
  <r>
    <s v="O1939"/>
    <x v="368"/>
    <s v="C139"/>
    <s v="P001"/>
    <n v="1"/>
    <x v="936"/>
    <n v="0.3"/>
    <n v="243.39"/>
    <x v="0"/>
    <x v="0"/>
    <x v="2"/>
    <s v="Storage"/>
    <x v="0"/>
  </r>
  <r>
    <s v="O1940"/>
    <x v="427"/>
    <s v="C178"/>
    <s v="P015"/>
    <n v="2"/>
    <x v="937"/>
    <n v="0.3"/>
    <n v="110.41"/>
    <x v="2"/>
    <x v="0"/>
    <x v="0"/>
    <s v="Tablet"/>
    <x v="0"/>
  </r>
  <r>
    <s v="O1941"/>
    <x v="265"/>
    <s v="C144"/>
    <s v="P065"/>
    <n v="5"/>
    <x v="938"/>
    <n v="0.3"/>
    <n v="310.8"/>
    <x v="0"/>
    <x v="0"/>
    <x v="1"/>
    <s v="Chair"/>
    <x v="1"/>
  </r>
  <r>
    <s v="O1942"/>
    <x v="490"/>
    <s v="C193"/>
    <s v="P002"/>
    <n v="3"/>
    <x v="939"/>
    <n v="0.1"/>
    <n v="366.1"/>
    <x v="1"/>
    <x v="2"/>
    <x v="1"/>
    <s v="Chair"/>
    <x v="0"/>
  </r>
  <r>
    <s v="O1943"/>
    <x v="575"/>
    <s v="C003"/>
    <s v="P016"/>
    <n v="3"/>
    <x v="940"/>
    <n v="0.2"/>
    <n v="69.069999999999993"/>
    <x v="0"/>
    <x v="0"/>
    <x v="1"/>
    <s v="Chair"/>
    <x v="0"/>
  </r>
  <r>
    <s v="O1944"/>
    <x v="383"/>
    <s v="C162"/>
    <s v="P051"/>
    <n v="3"/>
    <x v="941"/>
    <n v="0"/>
    <n v="141.53"/>
    <x v="1"/>
    <x v="1"/>
    <x v="0"/>
    <s v="Tablet"/>
    <x v="0"/>
  </r>
  <r>
    <s v="O1945"/>
    <x v="289"/>
    <s v="C040"/>
    <s v="P086"/>
    <n v="3"/>
    <x v="942"/>
    <n v="0.2"/>
    <n v="128.63999999999999"/>
    <x v="1"/>
    <x v="0"/>
    <x v="1"/>
    <s v="Shelf"/>
    <x v="0"/>
  </r>
  <r>
    <s v="O1946"/>
    <x v="471"/>
    <s v="C092"/>
    <s v="P070"/>
    <n v="2"/>
    <x v="943"/>
    <n v="0.2"/>
    <n v="296.66000000000003"/>
    <x v="1"/>
    <x v="1"/>
    <x v="2"/>
    <s v="Paper"/>
    <x v="0"/>
  </r>
  <r>
    <s v="O1947"/>
    <x v="170"/>
    <s v="C136"/>
    <s v="P005"/>
    <n v="4"/>
    <x v="944"/>
    <n v="0.3"/>
    <n v="36.89"/>
    <x v="1"/>
    <x v="2"/>
    <x v="2"/>
    <s v="Paper"/>
    <x v="0"/>
  </r>
  <r>
    <s v="O1948"/>
    <x v="576"/>
    <s v="C138"/>
    <s v="P072"/>
    <n v="5"/>
    <x v="945"/>
    <n v="0"/>
    <n v="104.94"/>
    <x v="0"/>
    <x v="1"/>
    <x v="1"/>
    <s v="Chair"/>
    <x v="0"/>
  </r>
  <r>
    <s v="O1949"/>
    <x v="357"/>
    <s v="C080"/>
    <s v="P056"/>
    <n v="1"/>
    <x v="946"/>
    <n v="0.2"/>
    <n v="135.03"/>
    <x v="2"/>
    <x v="1"/>
    <x v="2"/>
    <s v="Paper"/>
    <x v="0"/>
  </r>
  <r>
    <s v="O1950"/>
    <x v="498"/>
    <s v="C134"/>
    <s v="P043"/>
    <n v="4"/>
    <x v="947"/>
    <n v="0.2"/>
    <n v="18.55"/>
    <x v="3"/>
    <x v="1"/>
    <x v="1"/>
    <s v="Table"/>
    <x v="0"/>
  </r>
  <r>
    <s v="O1951"/>
    <x v="353"/>
    <s v="C041"/>
    <s v="P062"/>
    <n v="3"/>
    <x v="948"/>
    <n v="0"/>
    <n v="245.82"/>
    <x v="0"/>
    <x v="1"/>
    <x v="1"/>
    <s v="Shelf"/>
    <x v="0"/>
  </r>
  <r>
    <s v="O1952"/>
    <x v="577"/>
    <s v="C133"/>
    <s v="P083"/>
    <n v="4"/>
    <x v="949"/>
    <n v="0.3"/>
    <n v="258.27999999999997"/>
    <x v="0"/>
    <x v="2"/>
    <x v="2"/>
    <s v="Paper"/>
    <x v="1"/>
  </r>
  <r>
    <s v="O1953"/>
    <x v="535"/>
    <s v="C058"/>
    <s v="P073"/>
    <n v="5"/>
    <x v="950"/>
    <n v="0.2"/>
    <n v="139.54"/>
    <x v="0"/>
    <x v="2"/>
    <x v="1"/>
    <s v="Table"/>
    <x v="1"/>
  </r>
  <r>
    <s v="O1954"/>
    <x v="524"/>
    <s v="C024"/>
    <s v="P087"/>
    <n v="1"/>
    <x v="951"/>
    <n v="0.1"/>
    <n v="147.07"/>
    <x v="2"/>
    <x v="0"/>
    <x v="0"/>
    <s v="Phone"/>
    <x v="0"/>
  </r>
  <r>
    <s v="O1955"/>
    <x v="251"/>
    <s v="C009"/>
    <s v="P047"/>
    <n v="1"/>
    <x v="952"/>
    <n v="0.2"/>
    <n v="31.64"/>
    <x v="0"/>
    <x v="2"/>
    <x v="2"/>
    <s v="Pen"/>
    <x v="0"/>
  </r>
  <r>
    <s v="O1956"/>
    <x v="125"/>
    <s v="C115"/>
    <s v="P067"/>
    <n v="5"/>
    <x v="953"/>
    <n v="0.1"/>
    <n v="136.44"/>
    <x v="1"/>
    <x v="1"/>
    <x v="2"/>
    <s v="Binder"/>
    <x v="0"/>
  </r>
  <r>
    <s v="O1957"/>
    <x v="572"/>
    <s v="C069"/>
    <s v="P094"/>
    <n v="5"/>
    <x v="954"/>
    <n v="0.3"/>
    <n v="128.18"/>
    <x v="0"/>
    <x v="0"/>
    <x v="1"/>
    <s v="Table"/>
    <x v="0"/>
  </r>
  <r>
    <s v="O1958"/>
    <x v="494"/>
    <s v="C155"/>
    <s v="P047"/>
    <n v="3"/>
    <x v="955"/>
    <n v="0.2"/>
    <n v="130.16"/>
    <x v="1"/>
    <x v="1"/>
    <x v="2"/>
    <s v="Pen"/>
    <x v="0"/>
  </r>
  <r>
    <s v="O1959"/>
    <x v="578"/>
    <s v="C164"/>
    <s v="P063"/>
    <n v="1"/>
    <x v="956"/>
    <n v="0"/>
    <n v="100.02"/>
    <x v="2"/>
    <x v="2"/>
    <x v="2"/>
    <s v="Pen"/>
    <x v="0"/>
  </r>
  <r>
    <s v="O1960"/>
    <x v="120"/>
    <s v="C138"/>
    <s v="P026"/>
    <n v="4"/>
    <x v="957"/>
    <n v="0"/>
    <n v="278.81"/>
    <x v="0"/>
    <x v="1"/>
    <x v="0"/>
    <s v="Phone"/>
    <x v="0"/>
  </r>
  <r>
    <s v="O1961"/>
    <x v="579"/>
    <s v="C130"/>
    <s v="P026"/>
    <n v="2"/>
    <x v="958"/>
    <n v="0.2"/>
    <n v="260.39"/>
    <x v="3"/>
    <x v="0"/>
    <x v="0"/>
    <s v="Phone"/>
    <x v="0"/>
  </r>
  <r>
    <s v="O1962"/>
    <x v="17"/>
    <s v="C018"/>
    <s v="P029"/>
    <n v="2"/>
    <x v="959"/>
    <n v="0.3"/>
    <n v="103.61"/>
    <x v="2"/>
    <x v="0"/>
    <x v="1"/>
    <s v="Shelf"/>
    <x v="1"/>
  </r>
  <r>
    <s v="O1963"/>
    <x v="520"/>
    <s v="C028"/>
    <s v="P013"/>
    <n v="5"/>
    <x v="960"/>
    <n v="0.3"/>
    <n v="330.4"/>
    <x v="2"/>
    <x v="1"/>
    <x v="0"/>
    <s v="Laptop"/>
    <x v="1"/>
  </r>
  <r>
    <s v="O1964"/>
    <x v="551"/>
    <s v="C080"/>
    <s v="P054"/>
    <n v="3"/>
    <x v="961"/>
    <n v="0"/>
    <n v="455.84"/>
    <x v="2"/>
    <x v="1"/>
    <x v="1"/>
    <s v="Shelf"/>
    <x v="0"/>
  </r>
  <r>
    <s v="O1965"/>
    <x v="314"/>
    <s v="C041"/>
    <s v="P085"/>
    <n v="2"/>
    <x v="962"/>
    <n v="0.2"/>
    <n v="325.38"/>
    <x v="0"/>
    <x v="1"/>
    <x v="0"/>
    <s v="Tablet"/>
    <x v="0"/>
  </r>
  <r>
    <s v="O1966"/>
    <x v="580"/>
    <s v="C095"/>
    <s v="P047"/>
    <n v="1"/>
    <x v="963"/>
    <n v="0.3"/>
    <n v="55.42"/>
    <x v="1"/>
    <x v="2"/>
    <x v="2"/>
    <s v="Pen"/>
    <x v="1"/>
  </r>
  <r>
    <s v="O1967"/>
    <x v="581"/>
    <s v="C189"/>
    <s v="P040"/>
    <n v="5"/>
    <x v="964"/>
    <n v="0"/>
    <n v="70.64"/>
    <x v="0"/>
    <x v="2"/>
    <x v="2"/>
    <s v="Binder"/>
    <x v="1"/>
  </r>
  <r>
    <s v="O1968"/>
    <x v="183"/>
    <s v="C049"/>
    <s v="P046"/>
    <n v="4"/>
    <x v="965"/>
    <n v="0.1"/>
    <n v="19.329999999999998"/>
    <x v="1"/>
    <x v="0"/>
    <x v="1"/>
    <s v="Chair"/>
    <x v="0"/>
  </r>
  <r>
    <s v="O1969"/>
    <x v="331"/>
    <s v="C182"/>
    <s v="P043"/>
    <n v="5"/>
    <x v="966"/>
    <n v="0.2"/>
    <n v="54.49"/>
    <x v="1"/>
    <x v="2"/>
    <x v="1"/>
    <s v="Table"/>
    <x v="0"/>
  </r>
  <r>
    <s v="O1970"/>
    <x v="23"/>
    <s v="C054"/>
    <s v="P085"/>
    <n v="4"/>
    <x v="967"/>
    <n v="0.1"/>
    <n v="99.9"/>
    <x v="3"/>
    <x v="0"/>
    <x v="0"/>
    <s v="Tablet"/>
    <x v="0"/>
  </r>
  <r>
    <s v="O1971"/>
    <x v="461"/>
    <s v="C040"/>
    <s v="P091"/>
    <n v="5"/>
    <x v="968"/>
    <n v="0.1"/>
    <n v="18.920000000000002"/>
    <x v="1"/>
    <x v="0"/>
    <x v="1"/>
    <s v="Shelf"/>
    <x v="0"/>
  </r>
  <r>
    <s v="O1972"/>
    <x v="367"/>
    <s v="C102"/>
    <s v="P028"/>
    <n v="5"/>
    <x v="969"/>
    <n v="0.3"/>
    <n v="87.73"/>
    <x v="1"/>
    <x v="0"/>
    <x v="0"/>
    <s v="Laptop"/>
    <x v="0"/>
  </r>
  <r>
    <s v="O1973"/>
    <x v="582"/>
    <s v="C028"/>
    <s v="P023"/>
    <n v="5"/>
    <x v="970"/>
    <n v="0.3"/>
    <n v="45.47"/>
    <x v="2"/>
    <x v="1"/>
    <x v="1"/>
    <s v="Shelf"/>
    <x v="0"/>
  </r>
  <r>
    <s v="O1974"/>
    <x v="520"/>
    <s v="C113"/>
    <s v="P097"/>
    <n v="4"/>
    <x v="971"/>
    <n v="0.3"/>
    <n v="467.38"/>
    <x v="0"/>
    <x v="1"/>
    <x v="2"/>
    <s v="Paper"/>
    <x v="0"/>
  </r>
  <r>
    <s v="O1975"/>
    <x v="583"/>
    <s v="C032"/>
    <s v="P097"/>
    <n v="4"/>
    <x v="972"/>
    <n v="0.2"/>
    <n v="385.05"/>
    <x v="3"/>
    <x v="1"/>
    <x v="2"/>
    <s v="Paper"/>
    <x v="0"/>
  </r>
  <r>
    <s v="O1976"/>
    <x v="584"/>
    <s v="C177"/>
    <s v="P027"/>
    <n v="5"/>
    <x v="973"/>
    <n v="0.1"/>
    <n v="61.43"/>
    <x v="0"/>
    <x v="0"/>
    <x v="2"/>
    <s v="Storage"/>
    <x v="0"/>
  </r>
  <r>
    <s v="O1977"/>
    <x v="34"/>
    <s v="C021"/>
    <s v="P064"/>
    <n v="2"/>
    <x v="974"/>
    <n v="0.2"/>
    <n v="435.77"/>
    <x v="3"/>
    <x v="2"/>
    <x v="2"/>
    <s v="Binder"/>
    <x v="0"/>
  </r>
  <r>
    <s v="O1978"/>
    <x v="460"/>
    <s v="C070"/>
    <s v="P016"/>
    <n v="3"/>
    <x v="975"/>
    <n v="0.3"/>
    <n v="85.38"/>
    <x v="3"/>
    <x v="1"/>
    <x v="1"/>
    <s v="Chair"/>
    <x v="1"/>
  </r>
  <r>
    <s v="O1979"/>
    <x v="457"/>
    <s v="C105"/>
    <s v="P047"/>
    <n v="3"/>
    <x v="976"/>
    <n v="0.1"/>
    <n v="156.57"/>
    <x v="3"/>
    <x v="2"/>
    <x v="2"/>
    <s v="Pen"/>
    <x v="0"/>
  </r>
  <r>
    <s v="O1980"/>
    <x v="408"/>
    <s v="C195"/>
    <s v="P038"/>
    <n v="3"/>
    <x v="977"/>
    <n v="0.2"/>
    <n v="29.22"/>
    <x v="1"/>
    <x v="2"/>
    <x v="0"/>
    <s v="Accessories"/>
    <x v="0"/>
  </r>
  <r>
    <s v="O1981"/>
    <x v="585"/>
    <s v="C034"/>
    <s v="P079"/>
    <n v="4"/>
    <x v="978"/>
    <n v="0.2"/>
    <n v="220.52"/>
    <x v="1"/>
    <x v="0"/>
    <x v="1"/>
    <s v="Chair"/>
    <x v="0"/>
  </r>
  <r>
    <s v="O1982"/>
    <x v="227"/>
    <s v="C113"/>
    <s v="P082"/>
    <n v="4"/>
    <x v="979"/>
    <n v="0"/>
    <n v="217.68"/>
    <x v="0"/>
    <x v="1"/>
    <x v="0"/>
    <s v="Accessories"/>
    <x v="0"/>
  </r>
  <r>
    <s v="O1983"/>
    <x v="312"/>
    <s v="C001"/>
    <s v="P078"/>
    <n v="2"/>
    <x v="980"/>
    <n v="0.2"/>
    <n v="432.2"/>
    <x v="3"/>
    <x v="0"/>
    <x v="2"/>
    <s v="Storage"/>
    <x v="0"/>
  </r>
  <r>
    <s v="O1984"/>
    <x v="437"/>
    <s v="C112"/>
    <s v="P053"/>
    <n v="3"/>
    <x v="981"/>
    <n v="0.3"/>
    <n v="22.65"/>
    <x v="2"/>
    <x v="0"/>
    <x v="0"/>
    <s v="Accessories"/>
    <x v="1"/>
  </r>
  <r>
    <s v="O1985"/>
    <x v="69"/>
    <s v="C182"/>
    <s v="P051"/>
    <n v="3"/>
    <x v="982"/>
    <n v="0.2"/>
    <n v="28.57"/>
    <x v="1"/>
    <x v="2"/>
    <x v="0"/>
    <s v="Tablet"/>
    <x v="0"/>
  </r>
  <r>
    <s v="O1986"/>
    <x v="147"/>
    <s v="C158"/>
    <s v="P037"/>
    <n v="5"/>
    <x v="983"/>
    <n v="0.1"/>
    <n v="244.64"/>
    <x v="3"/>
    <x v="0"/>
    <x v="2"/>
    <s v="Storage"/>
    <x v="0"/>
  </r>
  <r>
    <s v="O1987"/>
    <x v="46"/>
    <s v="C095"/>
    <s v="P048"/>
    <n v="4"/>
    <x v="984"/>
    <n v="0.2"/>
    <n v="37.130000000000003"/>
    <x v="1"/>
    <x v="2"/>
    <x v="1"/>
    <s v="Table"/>
    <x v="0"/>
  </r>
  <r>
    <s v="O1988"/>
    <x v="586"/>
    <s v="C190"/>
    <s v="P019"/>
    <n v="3"/>
    <x v="985"/>
    <n v="0"/>
    <n v="121.4"/>
    <x v="0"/>
    <x v="2"/>
    <x v="0"/>
    <s v="Phone"/>
    <x v="0"/>
  </r>
  <r>
    <s v="O1989"/>
    <x v="269"/>
    <s v="C056"/>
    <s v="P071"/>
    <n v="2"/>
    <x v="986"/>
    <n v="0.1"/>
    <n v="146.63999999999999"/>
    <x v="1"/>
    <x v="2"/>
    <x v="0"/>
    <s v="Laptop"/>
    <x v="1"/>
  </r>
  <r>
    <s v="O1990"/>
    <x v="307"/>
    <s v="C195"/>
    <s v="P081"/>
    <n v="2"/>
    <x v="987"/>
    <n v="0.1"/>
    <n v="421.45"/>
    <x v="1"/>
    <x v="2"/>
    <x v="2"/>
    <s v="Pen"/>
    <x v="0"/>
  </r>
  <r>
    <s v="O1991"/>
    <x v="587"/>
    <s v="C093"/>
    <s v="P052"/>
    <n v="3"/>
    <x v="988"/>
    <n v="0"/>
    <n v="547.74"/>
    <x v="0"/>
    <x v="1"/>
    <x v="1"/>
    <s v="Chair"/>
    <x v="1"/>
  </r>
  <r>
    <s v="O1992"/>
    <x v="308"/>
    <s v="C102"/>
    <s v="P029"/>
    <n v="4"/>
    <x v="989"/>
    <n v="0.3"/>
    <n v="255.61"/>
    <x v="1"/>
    <x v="0"/>
    <x v="1"/>
    <s v="Shelf"/>
    <x v="0"/>
  </r>
  <r>
    <s v="O1993"/>
    <x v="588"/>
    <s v="C160"/>
    <s v="P022"/>
    <n v="2"/>
    <x v="990"/>
    <n v="0.1"/>
    <n v="120.81"/>
    <x v="2"/>
    <x v="0"/>
    <x v="0"/>
    <s v="Tablet"/>
    <x v="0"/>
  </r>
  <r>
    <s v="O1994"/>
    <x v="280"/>
    <s v="C055"/>
    <s v="P038"/>
    <n v="5"/>
    <x v="991"/>
    <n v="0.3"/>
    <n v="181.59"/>
    <x v="0"/>
    <x v="2"/>
    <x v="0"/>
    <s v="Accessories"/>
    <x v="1"/>
  </r>
  <r>
    <s v="O1995"/>
    <x v="288"/>
    <s v="C063"/>
    <s v="P006"/>
    <n v="2"/>
    <x v="992"/>
    <n v="0.1"/>
    <n v="212.68"/>
    <x v="0"/>
    <x v="0"/>
    <x v="1"/>
    <s v="Chair"/>
    <x v="0"/>
  </r>
  <r>
    <s v="O1996"/>
    <x v="365"/>
    <s v="C045"/>
    <s v="P077"/>
    <n v="1"/>
    <x v="993"/>
    <n v="0.1"/>
    <n v="112.16"/>
    <x v="2"/>
    <x v="0"/>
    <x v="0"/>
    <s v="Accessories"/>
    <x v="1"/>
  </r>
  <r>
    <s v="O1997"/>
    <x v="5"/>
    <s v="C139"/>
    <s v="P036"/>
    <n v="1"/>
    <x v="994"/>
    <n v="0.3"/>
    <n v="108.1"/>
    <x v="0"/>
    <x v="0"/>
    <x v="1"/>
    <s v="Shelf"/>
    <x v="1"/>
  </r>
  <r>
    <s v="O1998"/>
    <x v="589"/>
    <s v="C106"/>
    <s v="P064"/>
    <n v="4"/>
    <x v="995"/>
    <n v="0.1"/>
    <n v="416.6"/>
    <x v="0"/>
    <x v="1"/>
    <x v="2"/>
    <s v="Binder"/>
    <x v="0"/>
  </r>
  <r>
    <s v="O1999"/>
    <x v="217"/>
    <s v="C099"/>
    <s v="P068"/>
    <n v="3"/>
    <x v="996"/>
    <n v="0.3"/>
    <n v="368.53"/>
    <x v="0"/>
    <x v="1"/>
    <x v="1"/>
    <s v="Table"/>
    <x v="0"/>
  </r>
  <r>
    <s v="O2000"/>
    <x v="258"/>
    <s v="C155"/>
    <s v="P036"/>
    <n v="4"/>
    <x v="997"/>
    <n v="0"/>
    <n v="216.76"/>
    <x v="1"/>
    <x v="1"/>
    <x v="1"/>
    <s v="Shelf"/>
    <x v="0"/>
  </r>
  <r>
    <s v="O2001"/>
    <x v="590"/>
    <s v="C016"/>
    <s v="P016"/>
    <n v="4"/>
    <x v="998"/>
    <n v="0.3"/>
    <n v="212.65"/>
    <x v="0"/>
    <x v="2"/>
    <x v="1"/>
    <s v="Chair"/>
    <x v="0"/>
  </r>
  <r>
    <s v="O2002"/>
    <x v="519"/>
    <s v="C067"/>
    <s v="P017"/>
    <n v="4"/>
    <x v="999"/>
    <n v="0"/>
    <n v="20.010000000000002"/>
    <x v="1"/>
    <x v="2"/>
    <x v="2"/>
    <s v="Pen"/>
    <x v="0"/>
  </r>
  <r>
    <s v="O2003"/>
    <x v="591"/>
    <s v="C071"/>
    <s v="P049"/>
    <n v="4"/>
    <x v="1000"/>
    <n v="0.1"/>
    <n v="251.41"/>
    <x v="0"/>
    <x v="1"/>
    <x v="2"/>
    <s v="Paper"/>
    <x v="0"/>
  </r>
  <r>
    <s v="O2004"/>
    <x v="107"/>
    <s v="C024"/>
    <s v="P054"/>
    <n v="5"/>
    <x v="1001"/>
    <n v="0.3"/>
    <n v="270.93"/>
    <x v="2"/>
    <x v="0"/>
    <x v="1"/>
    <s v="Shelf"/>
    <x v="1"/>
  </r>
  <r>
    <s v="O2005"/>
    <x v="592"/>
    <s v="C194"/>
    <s v="P086"/>
    <n v="5"/>
    <x v="1002"/>
    <n v="0.1"/>
    <n v="214.95"/>
    <x v="0"/>
    <x v="1"/>
    <x v="1"/>
    <s v="Shelf"/>
    <x v="1"/>
  </r>
  <r>
    <s v="O2006"/>
    <x v="164"/>
    <s v="C179"/>
    <s v="P082"/>
    <n v="2"/>
    <x v="1003"/>
    <n v="0.3"/>
    <n v="199.97"/>
    <x v="3"/>
    <x v="1"/>
    <x v="0"/>
    <s v="Accessories"/>
    <x v="0"/>
  </r>
  <r>
    <s v="O2007"/>
    <x v="593"/>
    <s v="C119"/>
    <s v="P055"/>
    <n v="1"/>
    <x v="1004"/>
    <n v="0"/>
    <n v="82.08"/>
    <x v="3"/>
    <x v="1"/>
    <x v="2"/>
    <s v="Binder"/>
    <x v="0"/>
  </r>
  <r>
    <s v="O2008"/>
    <x v="242"/>
    <s v="C177"/>
    <s v="P072"/>
    <n v="4"/>
    <x v="1005"/>
    <n v="0"/>
    <n v="37.04"/>
    <x v="0"/>
    <x v="0"/>
    <x v="1"/>
    <s v="Chair"/>
    <x v="0"/>
  </r>
  <r>
    <s v="O2009"/>
    <x v="319"/>
    <s v="C050"/>
    <s v="P068"/>
    <n v="2"/>
    <x v="1006"/>
    <n v="0.3"/>
    <n v="233.65"/>
    <x v="0"/>
    <x v="0"/>
    <x v="1"/>
    <s v="Table"/>
    <x v="0"/>
  </r>
  <r>
    <s v="O2010"/>
    <x v="594"/>
    <s v="C123"/>
    <s v="P075"/>
    <n v="1"/>
    <x v="1007"/>
    <n v="0"/>
    <n v="157.9"/>
    <x v="2"/>
    <x v="0"/>
    <x v="2"/>
    <s v="Pen"/>
    <x v="0"/>
  </r>
  <r>
    <s v="O2011"/>
    <x v="130"/>
    <s v="C026"/>
    <s v="P057"/>
    <n v="3"/>
    <x v="1008"/>
    <n v="0.1"/>
    <n v="306.26"/>
    <x v="1"/>
    <x v="2"/>
    <x v="0"/>
    <s v="Laptop"/>
    <x v="1"/>
  </r>
  <r>
    <s v="O2012"/>
    <x v="595"/>
    <s v="C014"/>
    <s v="P032"/>
    <n v="5"/>
    <x v="1009"/>
    <n v="0.1"/>
    <n v="212.7"/>
    <x v="1"/>
    <x v="0"/>
    <x v="2"/>
    <s v="Paper"/>
    <x v="1"/>
  </r>
  <r>
    <s v="O2013"/>
    <x v="105"/>
    <s v="C040"/>
    <s v="P028"/>
    <n v="1"/>
    <x v="1010"/>
    <n v="0.2"/>
    <n v="295.12"/>
    <x v="1"/>
    <x v="0"/>
    <x v="0"/>
    <s v="Laptop"/>
    <x v="0"/>
  </r>
  <r>
    <s v="O2014"/>
    <x v="219"/>
    <s v="C169"/>
    <s v="P003"/>
    <n v="3"/>
    <x v="1011"/>
    <n v="0"/>
    <n v="76.47"/>
    <x v="3"/>
    <x v="1"/>
    <x v="2"/>
    <s v="Pen"/>
    <x v="0"/>
  </r>
  <r>
    <s v="O2015"/>
    <x v="244"/>
    <s v="C015"/>
    <s v="P070"/>
    <n v="1"/>
    <x v="1012"/>
    <n v="0.1"/>
    <n v="319.02999999999997"/>
    <x v="3"/>
    <x v="1"/>
    <x v="2"/>
    <s v="Paper"/>
    <x v="0"/>
  </r>
  <r>
    <s v="O2016"/>
    <x v="565"/>
    <s v="C081"/>
    <s v="P040"/>
    <n v="5"/>
    <x v="1013"/>
    <n v="0.3"/>
    <n v="52.01"/>
    <x v="2"/>
    <x v="0"/>
    <x v="2"/>
    <s v="Binder"/>
    <x v="1"/>
  </r>
  <r>
    <s v="O2017"/>
    <x v="513"/>
    <s v="C122"/>
    <s v="P073"/>
    <n v="5"/>
    <x v="1014"/>
    <n v="0"/>
    <n v="266.60000000000002"/>
    <x v="0"/>
    <x v="2"/>
    <x v="1"/>
    <s v="Table"/>
    <x v="0"/>
  </r>
  <r>
    <s v="O2018"/>
    <x v="558"/>
    <s v="C062"/>
    <s v="P008"/>
    <n v="2"/>
    <x v="1015"/>
    <n v="0.1"/>
    <n v="85.47"/>
    <x v="1"/>
    <x v="2"/>
    <x v="0"/>
    <s v="Accessories"/>
    <x v="0"/>
  </r>
  <r>
    <s v="O2019"/>
    <x v="550"/>
    <s v="C199"/>
    <s v="P092"/>
    <n v="4"/>
    <x v="1016"/>
    <n v="0"/>
    <n v="230.27"/>
    <x v="0"/>
    <x v="2"/>
    <x v="0"/>
    <s v="Phone"/>
    <x v="1"/>
  </r>
  <r>
    <s v="O2020"/>
    <x v="268"/>
    <s v="C096"/>
    <s v="P082"/>
    <n v="1"/>
    <x v="1017"/>
    <n v="0.3"/>
    <n v="137.97999999999999"/>
    <x v="0"/>
    <x v="2"/>
    <x v="0"/>
    <s v="Accessories"/>
    <x v="0"/>
  </r>
  <r>
    <s v="O2021"/>
    <x v="86"/>
    <s v="C126"/>
    <s v="P017"/>
    <n v="1"/>
    <x v="1018"/>
    <n v="0.1"/>
    <n v="81.069999999999993"/>
    <x v="0"/>
    <x v="2"/>
    <x v="2"/>
    <s v="Pen"/>
    <x v="0"/>
  </r>
  <r>
    <s v="O2022"/>
    <x v="218"/>
    <s v="C163"/>
    <s v="P055"/>
    <n v="3"/>
    <x v="1019"/>
    <n v="0.2"/>
    <n v="151.69999999999999"/>
    <x v="0"/>
    <x v="1"/>
    <x v="2"/>
    <s v="Binder"/>
    <x v="0"/>
  </r>
  <r>
    <s v="O2023"/>
    <x v="435"/>
    <s v="C004"/>
    <s v="P090"/>
    <n v="5"/>
    <x v="1020"/>
    <n v="0.2"/>
    <n v="26.2"/>
    <x v="2"/>
    <x v="2"/>
    <x v="0"/>
    <s v="Accessories"/>
    <x v="1"/>
  </r>
  <r>
    <s v="O2024"/>
    <x v="596"/>
    <s v="C089"/>
    <s v="P065"/>
    <n v="1"/>
    <x v="1021"/>
    <n v="0"/>
    <n v="123.79"/>
    <x v="2"/>
    <x v="2"/>
    <x v="1"/>
    <s v="Chair"/>
    <x v="0"/>
  </r>
  <r>
    <s v="O2025"/>
    <x v="57"/>
    <s v="C086"/>
    <s v="P033"/>
    <n v="5"/>
    <x v="1022"/>
    <n v="0.3"/>
    <n v="150.44"/>
    <x v="3"/>
    <x v="1"/>
    <x v="1"/>
    <s v="Table"/>
    <x v="0"/>
  </r>
  <r>
    <s v="O2026"/>
    <x v="426"/>
    <s v="C009"/>
    <s v="P062"/>
    <n v="1"/>
    <x v="1023"/>
    <n v="0.1"/>
    <n v="6.01"/>
    <x v="0"/>
    <x v="2"/>
    <x v="1"/>
    <s v="Shelf"/>
    <x v="0"/>
  </r>
  <r>
    <s v="O2027"/>
    <x v="410"/>
    <s v="C048"/>
    <s v="P001"/>
    <n v="2"/>
    <x v="1024"/>
    <n v="0.3"/>
    <n v="213.61"/>
    <x v="2"/>
    <x v="2"/>
    <x v="2"/>
    <s v="Storage"/>
    <x v="0"/>
  </r>
  <r>
    <s v="O2028"/>
    <x v="597"/>
    <s v="C051"/>
    <s v="P047"/>
    <n v="4"/>
    <x v="1025"/>
    <n v="0.1"/>
    <n v="50.55"/>
    <x v="0"/>
    <x v="1"/>
    <x v="2"/>
    <s v="Pen"/>
    <x v="1"/>
  </r>
  <r>
    <s v="O2029"/>
    <x v="457"/>
    <s v="C026"/>
    <s v="P038"/>
    <n v="1"/>
    <x v="1026"/>
    <n v="0"/>
    <n v="170.37"/>
    <x v="1"/>
    <x v="2"/>
    <x v="0"/>
    <s v="Accessories"/>
    <x v="0"/>
  </r>
  <r>
    <s v="O2030"/>
    <x v="561"/>
    <s v="C075"/>
    <s v="P022"/>
    <n v="5"/>
    <x v="1027"/>
    <n v="0.1"/>
    <n v="234.18"/>
    <x v="3"/>
    <x v="1"/>
    <x v="0"/>
    <s v="Tablet"/>
    <x v="0"/>
  </r>
  <r>
    <s v="O2031"/>
    <x v="598"/>
    <s v="C148"/>
    <s v="P069"/>
    <n v="2"/>
    <x v="1028"/>
    <n v="0.3"/>
    <n v="36.119999999999997"/>
    <x v="0"/>
    <x v="2"/>
    <x v="2"/>
    <s v="Pen"/>
    <x v="0"/>
  </r>
  <r>
    <s v="O2032"/>
    <x v="599"/>
    <s v="C190"/>
    <s v="P096"/>
    <n v="1"/>
    <x v="1029"/>
    <n v="0.3"/>
    <n v="117.35"/>
    <x v="0"/>
    <x v="2"/>
    <x v="0"/>
    <s v="Laptop"/>
    <x v="0"/>
  </r>
  <r>
    <s v="O2033"/>
    <x v="536"/>
    <s v="C178"/>
    <s v="P097"/>
    <n v="3"/>
    <x v="1030"/>
    <n v="0"/>
    <n v="23.35"/>
    <x v="2"/>
    <x v="0"/>
    <x v="2"/>
    <s v="Paper"/>
    <x v="1"/>
  </r>
  <r>
    <s v="O2034"/>
    <x v="544"/>
    <s v="C031"/>
    <s v="P017"/>
    <n v="4"/>
    <x v="1031"/>
    <n v="0.3"/>
    <n v="145.27000000000001"/>
    <x v="2"/>
    <x v="1"/>
    <x v="2"/>
    <s v="Pen"/>
    <x v="0"/>
  </r>
  <r>
    <s v="O2035"/>
    <x v="22"/>
    <s v="C091"/>
    <s v="P053"/>
    <n v="1"/>
    <x v="1032"/>
    <n v="0.1"/>
    <n v="167.6"/>
    <x v="3"/>
    <x v="1"/>
    <x v="0"/>
    <s v="Accessories"/>
    <x v="0"/>
  </r>
  <r>
    <s v="O2036"/>
    <x v="600"/>
    <s v="C051"/>
    <s v="P041"/>
    <n v="2"/>
    <x v="1033"/>
    <n v="0"/>
    <n v="108.87"/>
    <x v="0"/>
    <x v="1"/>
    <x v="0"/>
    <s v="Tablet"/>
    <x v="0"/>
  </r>
  <r>
    <s v="O2037"/>
    <x v="527"/>
    <s v="C111"/>
    <s v="P004"/>
    <n v="3"/>
    <x v="1034"/>
    <n v="0.1"/>
    <n v="76.25"/>
    <x v="0"/>
    <x v="1"/>
    <x v="0"/>
    <s v="Laptop"/>
    <x v="0"/>
  </r>
  <r>
    <s v="O2038"/>
    <x v="301"/>
    <s v="C139"/>
    <s v="P054"/>
    <n v="2"/>
    <x v="1035"/>
    <n v="0.3"/>
    <n v="211.23"/>
    <x v="0"/>
    <x v="0"/>
    <x v="1"/>
    <s v="Shelf"/>
    <x v="0"/>
  </r>
  <r>
    <s v="O2039"/>
    <x v="158"/>
    <s v="C076"/>
    <s v="P065"/>
    <n v="2"/>
    <x v="1036"/>
    <n v="0"/>
    <n v="68"/>
    <x v="2"/>
    <x v="1"/>
    <x v="1"/>
    <s v="Chair"/>
    <x v="0"/>
  </r>
  <r>
    <s v="O2040"/>
    <x v="601"/>
    <s v="C170"/>
    <s v="P060"/>
    <n v="3"/>
    <x v="1037"/>
    <n v="0.1"/>
    <n v="319.20999999999998"/>
    <x v="1"/>
    <x v="2"/>
    <x v="1"/>
    <s v="Chair"/>
    <x v="0"/>
  </r>
  <r>
    <s v="O2041"/>
    <x v="207"/>
    <s v="C045"/>
    <s v="P099"/>
    <n v="2"/>
    <x v="1038"/>
    <n v="0.3"/>
    <n v="68.23"/>
    <x v="2"/>
    <x v="0"/>
    <x v="1"/>
    <s v="Desk"/>
    <x v="0"/>
  </r>
  <r>
    <s v="O2042"/>
    <x v="602"/>
    <s v="C161"/>
    <s v="P010"/>
    <n v="3"/>
    <x v="1039"/>
    <n v="0.3"/>
    <n v="120.67"/>
    <x v="3"/>
    <x v="2"/>
    <x v="2"/>
    <s v="Paper"/>
    <x v="0"/>
  </r>
  <r>
    <s v="O2043"/>
    <x v="86"/>
    <s v="C057"/>
    <s v="P006"/>
    <n v="1"/>
    <x v="1040"/>
    <n v="0.2"/>
    <n v="498.49"/>
    <x v="0"/>
    <x v="0"/>
    <x v="1"/>
    <s v="Chair"/>
    <x v="0"/>
  </r>
  <r>
    <s v="O2044"/>
    <x v="154"/>
    <s v="C129"/>
    <s v="P008"/>
    <n v="3"/>
    <x v="1041"/>
    <n v="0.3"/>
    <n v="235.8"/>
    <x v="1"/>
    <x v="2"/>
    <x v="0"/>
    <s v="Accessories"/>
    <x v="1"/>
  </r>
  <r>
    <s v="O2045"/>
    <x v="379"/>
    <s v="C155"/>
    <s v="P054"/>
    <n v="3"/>
    <x v="1042"/>
    <n v="0.1"/>
    <n v="438.95"/>
    <x v="1"/>
    <x v="1"/>
    <x v="1"/>
    <s v="Shelf"/>
    <x v="0"/>
  </r>
  <r>
    <s v="O2046"/>
    <x v="603"/>
    <s v="C019"/>
    <s v="P007"/>
    <n v="4"/>
    <x v="1043"/>
    <n v="0"/>
    <n v="50.8"/>
    <x v="2"/>
    <x v="0"/>
    <x v="1"/>
    <s v="Desk"/>
    <x v="0"/>
  </r>
  <r>
    <s v="O2047"/>
    <x v="207"/>
    <s v="C122"/>
    <s v="P047"/>
    <n v="3"/>
    <x v="1044"/>
    <n v="0.2"/>
    <n v="504.06"/>
    <x v="0"/>
    <x v="2"/>
    <x v="2"/>
    <s v="Pen"/>
    <x v="0"/>
  </r>
  <r>
    <s v="O2048"/>
    <x v="370"/>
    <s v="C128"/>
    <s v="P034"/>
    <n v="3"/>
    <x v="1045"/>
    <n v="0.3"/>
    <n v="43.01"/>
    <x v="1"/>
    <x v="2"/>
    <x v="2"/>
    <s v="Storage"/>
    <x v="0"/>
  </r>
  <r>
    <s v="O2049"/>
    <x v="270"/>
    <s v="C002"/>
    <s v="P072"/>
    <n v="1"/>
    <x v="1046"/>
    <n v="0.3"/>
    <n v="190.56"/>
    <x v="1"/>
    <x v="1"/>
    <x v="1"/>
    <s v="Chair"/>
    <x v="0"/>
  </r>
  <r>
    <s v="O2050"/>
    <x v="186"/>
    <s v="C042"/>
    <s v="P026"/>
    <n v="4"/>
    <x v="1047"/>
    <n v="0.3"/>
    <n v="193.76"/>
    <x v="0"/>
    <x v="0"/>
    <x v="0"/>
    <s v="Phone"/>
    <x v="0"/>
  </r>
  <r>
    <s v="O2051"/>
    <x v="604"/>
    <s v="C098"/>
    <s v="P060"/>
    <n v="5"/>
    <x v="1048"/>
    <n v="0.1"/>
    <n v="60.93"/>
    <x v="3"/>
    <x v="0"/>
    <x v="1"/>
    <s v="Chair"/>
    <x v="0"/>
  </r>
  <r>
    <s v="O2052"/>
    <x v="605"/>
    <s v="C188"/>
    <s v="P088"/>
    <n v="1"/>
    <x v="1049"/>
    <n v="0.2"/>
    <n v="311.42"/>
    <x v="3"/>
    <x v="2"/>
    <x v="0"/>
    <s v="Laptop"/>
    <x v="0"/>
  </r>
  <r>
    <s v="O2053"/>
    <x v="606"/>
    <s v="C042"/>
    <s v="P005"/>
    <n v="1"/>
    <x v="1050"/>
    <n v="0.1"/>
    <n v="281.14999999999998"/>
    <x v="0"/>
    <x v="0"/>
    <x v="2"/>
    <s v="Paper"/>
    <x v="0"/>
  </r>
  <r>
    <s v="O2054"/>
    <x v="450"/>
    <s v="C155"/>
    <s v="P089"/>
    <n v="5"/>
    <x v="1051"/>
    <n v="0.2"/>
    <n v="10.47"/>
    <x v="1"/>
    <x v="1"/>
    <x v="0"/>
    <s v="Phone"/>
    <x v="0"/>
  </r>
  <r>
    <s v="O2055"/>
    <x v="252"/>
    <s v="C167"/>
    <s v="P052"/>
    <n v="3"/>
    <x v="1052"/>
    <n v="0"/>
    <n v="40.49"/>
    <x v="2"/>
    <x v="0"/>
    <x v="1"/>
    <s v="Chair"/>
    <x v="0"/>
  </r>
  <r>
    <s v="O2056"/>
    <x v="376"/>
    <s v="C078"/>
    <s v="P082"/>
    <n v="2"/>
    <x v="1053"/>
    <n v="0.1"/>
    <n v="139.75"/>
    <x v="2"/>
    <x v="2"/>
    <x v="0"/>
    <s v="Accessories"/>
    <x v="0"/>
  </r>
  <r>
    <s v="O2057"/>
    <x v="464"/>
    <s v="C020"/>
    <s v="P059"/>
    <n v="4"/>
    <x v="1054"/>
    <n v="0.1"/>
    <n v="87.77"/>
    <x v="0"/>
    <x v="1"/>
    <x v="1"/>
    <s v="Table"/>
    <x v="1"/>
  </r>
  <r>
    <s v="O2058"/>
    <x v="607"/>
    <s v="C030"/>
    <s v="P037"/>
    <n v="2"/>
    <x v="1055"/>
    <n v="0"/>
    <n v="381.19"/>
    <x v="1"/>
    <x v="1"/>
    <x v="2"/>
    <s v="Storage"/>
    <x v="0"/>
  </r>
  <r>
    <s v="O2059"/>
    <x v="608"/>
    <s v="C064"/>
    <s v="P057"/>
    <n v="5"/>
    <x v="1056"/>
    <n v="0.2"/>
    <n v="402.09"/>
    <x v="0"/>
    <x v="0"/>
    <x v="0"/>
    <s v="Laptop"/>
    <x v="0"/>
  </r>
  <r>
    <s v="O2060"/>
    <x v="166"/>
    <s v="C034"/>
    <s v="P028"/>
    <n v="1"/>
    <x v="1057"/>
    <n v="0.3"/>
    <n v="103.66"/>
    <x v="1"/>
    <x v="0"/>
    <x v="0"/>
    <s v="Laptop"/>
    <x v="1"/>
  </r>
  <r>
    <s v="O2061"/>
    <x v="609"/>
    <s v="C069"/>
    <s v="P061"/>
    <n v="1"/>
    <x v="1058"/>
    <n v="0"/>
    <n v="89.32"/>
    <x v="0"/>
    <x v="0"/>
    <x v="2"/>
    <s v="Pen"/>
    <x v="1"/>
  </r>
  <r>
    <s v="O2062"/>
    <x v="299"/>
    <s v="C044"/>
    <s v="P041"/>
    <n v="4"/>
    <x v="1059"/>
    <n v="0.3"/>
    <n v="128.72"/>
    <x v="1"/>
    <x v="1"/>
    <x v="0"/>
    <s v="Tablet"/>
    <x v="0"/>
  </r>
  <r>
    <s v="O2063"/>
    <x v="393"/>
    <s v="C151"/>
    <s v="P035"/>
    <n v="1"/>
    <x v="1060"/>
    <n v="0.3"/>
    <n v="76.510000000000005"/>
    <x v="3"/>
    <x v="2"/>
    <x v="1"/>
    <s v="Chair"/>
    <x v="0"/>
  </r>
  <r>
    <s v="O2064"/>
    <x v="143"/>
    <s v="C199"/>
    <s v="P034"/>
    <n v="1"/>
    <x v="1061"/>
    <n v="0"/>
    <n v="208.78"/>
    <x v="0"/>
    <x v="2"/>
    <x v="2"/>
    <s v="Storage"/>
    <x v="0"/>
  </r>
  <r>
    <s v="O2065"/>
    <x v="547"/>
    <s v="C196"/>
    <s v="P037"/>
    <n v="4"/>
    <x v="1062"/>
    <n v="0.2"/>
    <n v="181.91"/>
    <x v="3"/>
    <x v="1"/>
    <x v="2"/>
    <s v="Storage"/>
    <x v="0"/>
  </r>
  <r>
    <s v="O2066"/>
    <x v="610"/>
    <s v="C113"/>
    <s v="P030"/>
    <n v="4"/>
    <x v="1063"/>
    <n v="0.3"/>
    <n v="38.14"/>
    <x v="0"/>
    <x v="1"/>
    <x v="1"/>
    <s v="Shelf"/>
    <x v="1"/>
  </r>
  <r>
    <s v="O2067"/>
    <x v="197"/>
    <s v="C052"/>
    <s v="P082"/>
    <n v="5"/>
    <x v="1064"/>
    <n v="0"/>
    <n v="92.96"/>
    <x v="2"/>
    <x v="2"/>
    <x v="0"/>
    <s v="Accessories"/>
    <x v="0"/>
  </r>
  <r>
    <s v="O2068"/>
    <x v="559"/>
    <s v="C036"/>
    <s v="P080"/>
    <n v="1"/>
    <x v="1065"/>
    <n v="0.1"/>
    <n v="108.65"/>
    <x v="0"/>
    <x v="0"/>
    <x v="2"/>
    <s v="Pen"/>
    <x v="0"/>
  </r>
  <r>
    <s v="O2069"/>
    <x v="198"/>
    <s v="C156"/>
    <s v="P022"/>
    <n v="1"/>
    <x v="1066"/>
    <n v="0.1"/>
    <n v="245.68"/>
    <x v="2"/>
    <x v="1"/>
    <x v="0"/>
    <s v="Tablet"/>
    <x v="0"/>
  </r>
  <r>
    <s v="O2070"/>
    <x v="188"/>
    <s v="C077"/>
    <s v="P029"/>
    <n v="5"/>
    <x v="1067"/>
    <n v="0.1"/>
    <n v="190.35"/>
    <x v="1"/>
    <x v="1"/>
    <x v="1"/>
    <s v="Shelf"/>
    <x v="0"/>
  </r>
  <r>
    <s v="O2071"/>
    <x v="109"/>
    <s v="C039"/>
    <s v="P018"/>
    <n v="3"/>
    <x v="1068"/>
    <n v="0"/>
    <n v="189.26"/>
    <x v="2"/>
    <x v="0"/>
    <x v="2"/>
    <s v="Storage"/>
    <x v="0"/>
  </r>
  <r>
    <s v="O2072"/>
    <x v="611"/>
    <s v="C172"/>
    <s v="P016"/>
    <n v="3"/>
    <x v="1069"/>
    <n v="0.1"/>
    <n v="116.98"/>
    <x v="1"/>
    <x v="2"/>
    <x v="1"/>
    <s v="Chair"/>
    <x v="1"/>
  </r>
  <r>
    <s v="O2073"/>
    <x v="612"/>
    <s v="C016"/>
    <s v="P023"/>
    <n v="3"/>
    <x v="1070"/>
    <n v="0.3"/>
    <n v="175.16"/>
    <x v="0"/>
    <x v="2"/>
    <x v="1"/>
    <s v="Shelf"/>
    <x v="1"/>
  </r>
  <r>
    <s v="O2074"/>
    <x v="228"/>
    <s v="C014"/>
    <s v="P100"/>
    <n v="5"/>
    <x v="1071"/>
    <n v="0.1"/>
    <n v="81.45"/>
    <x v="1"/>
    <x v="0"/>
    <x v="0"/>
    <s v="Phone"/>
    <x v="1"/>
  </r>
  <r>
    <s v="O2075"/>
    <x v="112"/>
    <s v="C039"/>
    <s v="P012"/>
    <n v="1"/>
    <x v="1072"/>
    <n v="0.1"/>
    <n v="27.55"/>
    <x v="2"/>
    <x v="0"/>
    <x v="0"/>
    <s v="Laptop"/>
    <x v="0"/>
  </r>
  <r>
    <s v="O2076"/>
    <x v="613"/>
    <s v="C082"/>
    <s v="P061"/>
    <n v="5"/>
    <x v="1073"/>
    <n v="0.3"/>
    <n v="127.05"/>
    <x v="3"/>
    <x v="2"/>
    <x v="2"/>
    <s v="Pen"/>
    <x v="0"/>
  </r>
  <r>
    <s v="O2077"/>
    <x v="48"/>
    <s v="C024"/>
    <s v="P074"/>
    <n v="5"/>
    <x v="1074"/>
    <n v="0.1"/>
    <n v="73.510000000000005"/>
    <x v="2"/>
    <x v="0"/>
    <x v="1"/>
    <s v="Table"/>
    <x v="0"/>
  </r>
  <r>
    <s v="O2078"/>
    <x v="614"/>
    <s v="C100"/>
    <s v="P006"/>
    <n v="3"/>
    <x v="1075"/>
    <n v="0.3"/>
    <n v="364.09"/>
    <x v="2"/>
    <x v="1"/>
    <x v="1"/>
    <s v="Chair"/>
    <x v="0"/>
  </r>
  <r>
    <s v="O2079"/>
    <x v="412"/>
    <s v="C194"/>
    <s v="P018"/>
    <n v="2"/>
    <x v="1076"/>
    <n v="0.1"/>
    <n v="454.05"/>
    <x v="0"/>
    <x v="1"/>
    <x v="2"/>
    <s v="Storage"/>
    <x v="0"/>
  </r>
  <r>
    <s v="O2080"/>
    <x v="50"/>
    <s v="C142"/>
    <s v="P007"/>
    <n v="1"/>
    <x v="1077"/>
    <n v="0.3"/>
    <n v="146.15"/>
    <x v="2"/>
    <x v="1"/>
    <x v="1"/>
    <s v="Desk"/>
    <x v="0"/>
  </r>
  <r>
    <s v="O2081"/>
    <x v="615"/>
    <s v="C116"/>
    <s v="P043"/>
    <n v="3"/>
    <x v="1078"/>
    <n v="0.1"/>
    <n v="279.35000000000002"/>
    <x v="2"/>
    <x v="0"/>
    <x v="1"/>
    <s v="Table"/>
    <x v="0"/>
  </r>
  <r>
    <s v="O2082"/>
    <x v="616"/>
    <s v="C200"/>
    <s v="P033"/>
    <n v="2"/>
    <x v="1079"/>
    <n v="0.3"/>
    <n v="95.77"/>
    <x v="3"/>
    <x v="0"/>
    <x v="1"/>
    <s v="Table"/>
    <x v="1"/>
  </r>
  <r>
    <s v="O2083"/>
    <x v="372"/>
    <s v="C114"/>
    <s v="P029"/>
    <n v="2"/>
    <x v="1080"/>
    <n v="0"/>
    <n v="135.43"/>
    <x v="3"/>
    <x v="1"/>
    <x v="1"/>
    <s v="Shelf"/>
    <x v="0"/>
  </r>
  <r>
    <s v="O2084"/>
    <x v="225"/>
    <s v="C050"/>
    <s v="P043"/>
    <n v="4"/>
    <x v="1081"/>
    <n v="0.3"/>
    <n v="129.12"/>
    <x v="0"/>
    <x v="0"/>
    <x v="1"/>
    <s v="Table"/>
    <x v="0"/>
  </r>
  <r>
    <s v="O2085"/>
    <x v="617"/>
    <s v="C087"/>
    <s v="P042"/>
    <n v="1"/>
    <x v="1082"/>
    <n v="0.1"/>
    <n v="270.2"/>
    <x v="0"/>
    <x v="1"/>
    <x v="0"/>
    <s v="Tablet"/>
    <x v="0"/>
  </r>
  <r>
    <s v="O2086"/>
    <x v="618"/>
    <s v="C193"/>
    <s v="P079"/>
    <n v="2"/>
    <x v="1083"/>
    <n v="0.1"/>
    <n v="256.68"/>
    <x v="1"/>
    <x v="2"/>
    <x v="1"/>
    <s v="Chair"/>
    <x v="0"/>
  </r>
  <r>
    <s v="O2087"/>
    <x v="130"/>
    <s v="C081"/>
    <s v="P054"/>
    <n v="3"/>
    <x v="1084"/>
    <n v="0.2"/>
    <n v="162.19999999999999"/>
    <x v="2"/>
    <x v="0"/>
    <x v="1"/>
    <s v="Shelf"/>
    <x v="0"/>
  </r>
  <r>
    <s v="O2088"/>
    <x v="334"/>
    <s v="C181"/>
    <s v="P100"/>
    <n v="4"/>
    <x v="1085"/>
    <n v="0.3"/>
    <n v="81.19"/>
    <x v="2"/>
    <x v="1"/>
    <x v="0"/>
    <s v="Phone"/>
    <x v="0"/>
  </r>
  <r>
    <s v="O2089"/>
    <x v="20"/>
    <s v="C023"/>
    <s v="P082"/>
    <n v="1"/>
    <x v="1086"/>
    <n v="0"/>
    <n v="346.06"/>
    <x v="3"/>
    <x v="2"/>
    <x v="0"/>
    <s v="Accessories"/>
    <x v="0"/>
  </r>
  <r>
    <s v="O2090"/>
    <x v="619"/>
    <s v="C044"/>
    <s v="P052"/>
    <n v="5"/>
    <x v="1087"/>
    <n v="0.3"/>
    <n v="96.29"/>
    <x v="1"/>
    <x v="1"/>
    <x v="1"/>
    <s v="Chair"/>
    <x v="0"/>
  </r>
  <r>
    <s v="O2091"/>
    <x v="620"/>
    <s v="C063"/>
    <s v="P040"/>
    <n v="3"/>
    <x v="1088"/>
    <n v="0.3"/>
    <n v="165.74"/>
    <x v="0"/>
    <x v="0"/>
    <x v="2"/>
    <s v="Binder"/>
    <x v="0"/>
  </r>
  <r>
    <s v="O2092"/>
    <x v="621"/>
    <s v="C040"/>
    <s v="P036"/>
    <n v="2"/>
    <x v="1089"/>
    <n v="0"/>
    <n v="348.14"/>
    <x v="1"/>
    <x v="0"/>
    <x v="1"/>
    <s v="Shelf"/>
    <x v="0"/>
  </r>
  <r>
    <s v="O2093"/>
    <x v="196"/>
    <s v="C139"/>
    <s v="P017"/>
    <n v="2"/>
    <x v="1090"/>
    <n v="0.3"/>
    <n v="103.39"/>
    <x v="0"/>
    <x v="0"/>
    <x v="2"/>
    <s v="Pen"/>
    <x v="0"/>
  </r>
  <r>
    <s v="O2094"/>
    <x v="622"/>
    <s v="C035"/>
    <s v="P005"/>
    <n v="3"/>
    <x v="1091"/>
    <n v="0"/>
    <n v="305.73"/>
    <x v="1"/>
    <x v="1"/>
    <x v="2"/>
    <s v="Paper"/>
    <x v="0"/>
  </r>
  <r>
    <s v="O2095"/>
    <x v="252"/>
    <s v="C165"/>
    <s v="P081"/>
    <n v="2"/>
    <x v="1092"/>
    <n v="0"/>
    <n v="61.51"/>
    <x v="3"/>
    <x v="2"/>
    <x v="2"/>
    <s v="Pen"/>
    <x v="0"/>
  </r>
  <r>
    <s v="O2096"/>
    <x v="522"/>
    <s v="C044"/>
    <s v="P064"/>
    <n v="4"/>
    <x v="1093"/>
    <n v="0.3"/>
    <n v="518.6"/>
    <x v="1"/>
    <x v="1"/>
    <x v="2"/>
    <s v="Binder"/>
    <x v="0"/>
  </r>
  <r>
    <s v="O2097"/>
    <x v="623"/>
    <s v="C024"/>
    <s v="P015"/>
    <n v="1"/>
    <x v="1094"/>
    <n v="0.3"/>
    <n v="37.700000000000003"/>
    <x v="2"/>
    <x v="0"/>
    <x v="0"/>
    <s v="Tablet"/>
    <x v="0"/>
  </r>
  <r>
    <s v="O2098"/>
    <x v="464"/>
    <s v="C007"/>
    <s v="P084"/>
    <n v="4"/>
    <x v="1095"/>
    <n v="0.1"/>
    <n v="155.72"/>
    <x v="1"/>
    <x v="2"/>
    <x v="2"/>
    <s v="Paper"/>
    <x v="0"/>
  </r>
  <r>
    <s v="O2099"/>
    <x v="275"/>
    <s v="C048"/>
    <s v="P020"/>
    <n v="2"/>
    <x v="1096"/>
    <n v="0.1"/>
    <n v="19.28"/>
    <x v="2"/>
    <x v="2"/>
    <x v="2"/>
    <s v="Pen"/>
    <x v="0"/>
  </r>
  <r>
    <s v="O2100"/>
    <x v="301"/>
    <s v="C046"/>
    <s v="P094"/>
    <n v="5"/>
    <x v="1097"/>
    <n v="0.2"/>
    <n v="71.12"/>
    <x v="1"/>
    <x v="2"/>
    <x v="1"/>
    <s v="Table"/>
    <x v="1"/>
  </r>
  <r>
    <s v="O2101"/>
    <x v="50"/>
    <s v="C111"/>
    <s v="P004"/>
    <n v="1"/>
    <x v="1098"/>
    <n v="0.2"/>
    <n v="101.5"/>
    <x v="0"/>
    <x v="1"/>
    <x v="0"/>
    <s v="Laptop"/>
    <x v="1"/>
  </r>
  <r>
    <s v="O2102"/>
    <x v="152"/>
    <s v="C080"/>
    <s v="P052"/>
    <n v="1"/>
    <x v="1099"/>
    <n v="0.3"/>
    <n v="66.23"/>
    <x v="2"/>
    <x v="1"/>
    <x v="1"/>
    <s v="Chair"/>
    <x v="0"/>
  </r>
  <r>
    <s v="O2103"/>
    <x v="624"/>
    <s v="C052"/>
    <s v="P039"/>
    <n v="3"/>
    <x v="1100"/>
    <n v="0"/>
    <n v="292.92"/>
    <x v="2"/>
    <x v="2"/>
    <x v="2"/>
    <s v="Pen"/>
    <x v="0"/>
  </r>
  <r>
    <s v="O2104"/>
    <x v="34"/>
    <s v="C168"/>
    <s v="P033"/>
    <n v="3"/>
    <x v="1101"/>
    <n v="0.2"/>
    <n v="35.65"/>
    <x v="3"/>
    <x v="0"/>
    <x v="1"/>
    <s v="Table"/>
    <x v="0"/>
  </r>
  <r>
    <s v="O2105"/>
    <x v="384"/>
    <s v="C157"/>
    <s v="P053"/>
    <n v="5"/>
    <x v="1102"/>
    <n v="0.3"/>
    <n v="84.43"/>
    <x v="0"/>
    <x v="2"/>
    <x v="0"/>
    <s v="Accessories"/>
    <x v="0"/>
  </r>
  <r>
    <s v="O2106"/>
    <x v="579"/>
    <s v="C056"/>
    <s v="P085"/>
    <n v="1"/>
    <x v="1103"/>
    <n v="0.2"/>
    <n v="63.77"/>
    <x v="1"/>
    <x v="2"/>
    <x v="0"/>
    <s v="Tablet"/>
    <x v="1"/>
  </r>
  <r>
    <s v="O2107"/>
    <x v="515"/>
    <s v="C080"/>
    <s v="P098"/>
    <n v="5"/>
    <x v="1104"/>
    <n v="0"/>
    <n v="32.78"/>
    <x v="2"/>
    <x v="1"/>
    <x v="1"/>
    <s v="Shelf"/>
    <x v="0"/>
  </r>
  <r>
    <s v="O2108"/>
    <x v="551"/>
    <s v="C192"/>
    <s v="P029"/>
    <n v="3"/>
    <x v="1105"/>
    <n v="0.3"/>
    <n v="58.9"/>
    <x v="1"/>
    <x v="0"/>
    <x v="1"/>
    <s v="Shelf"/>
    <x v="0"/>
  </r>
  <r>
    <s v="O2109"/>
    <x v="625"/>
    <s v="C117"/>
    <s v="P057"/>
    <n v="3"/>
    <x v="1106"/>
    <n v="0"/>
    <n v="246.24"/>
    <x v="1"/>
    <x v="0"/>
    <x v="0"/>
    <s v="Laptop"/>
    <x v="0"/>
  </r>
  <r>
    <s v="O2110"/>
    <x v="492"/>
    <s v="C036"/>
    <s v="P059"/>
    <n v="1"/>
    <x v="1107"/>
    <n v="0.3"/>
    <n v="89.81"/>
    <x v="0"/>
    <x v="0"/>
    <x v="1"/>
    <s v="Table"/>
    <x v="0"/>
  </r>
  <r>
    <s v="O2111"/>
    <x v="626"/>
    <s v="C089"/>
    <s v="P078"/>
    <n v="4"/>
    <x v="1108"/>
    <n v="0.2"/>
    <n v="183.6"/>
    <x v="2"/>
    <x v="2"/>
    <x v="2"/>
    <s v="Storage"/>
    <x v="0"/>
  </r>
  <r>
    <s v="O2112"/>
    <x v="445"/>
    <s v="C071"/>
    <s v="P038"/>
    <n v="2"/>
    <x v="1109"/>
    <n v="0.1"/>
    <n v="119.99"/>
    <x v="0"/>
    <x v="1"/>
    <x v="0"/>
    <s v="Accessories"/>
    <x v="1"/>
  </r>
  <r>
    <s v="O2113"/>
    <x v="627"/>
    <s v="C026"/>
    <s v="P064"/>
    <n v="3"/>
    <x v="1110"/>
    <n v="0.2"/>
    <n v="109.77"/>
    <x v="1"/>
    <x v="2"/>
    <x v="2"/>
    <s v="Binder"/>
    <x v="0"/>
  </r>
  <r>
    <s v="O2114"/>
    <x v="600"/>
    <s v="C085"/>
    <s v="P094"/>
    <n v="3"/>
    <x v="1111"/>
    <n v="0.2"/>
    <n v="26.25"/>
    <x v="2"/>
    <x v="0"/>
    <x v="1"/>
    <s v="Table"/>
    <x v="0"/>
  </r>
  <r>
    <s v="O2115"/>
    <x v="586"/>
    <s v="C112"/>
    <s v="P065"/>
    <n v="4"/>
    <x v="1112"/>
    <n v="0.1"/>
    <n v="194.81"/>
    <x v="2"/>
    <x v="0"/>
    <x v="1"/>
    <s v="Chair"/>
    <x v="0"/>
  </r>
  <r>
    <s v="O2116"/>
    <x v="29"/>
    <s v="C047"/>
    <s v="P091"/>
    <n v="4"/>
    <x v="1113"/>
    <n v="0.1"/>
    <n v="460.86"/>
    <x v="0"/>
    <x v="0"/>
    <x v="1"/>
    <s v="Shelf"/>
    <x v="0"/>
  </r>
  <r>
    <s v="O2117"/>
    <x v="628"/>
    <s v="C184"/>
    <s v="P097"/>
    <n v="5"/>
    <x v="1114"/>
    <n v="0.3"/>
    <n v="138.34"/>
    <x v="1"/>
    <x v="0"/>
    <x v="2"/>
    <s v="Paper"/>
    <x v="0"/>
  </r>
  <r>
    <s v="O2118"/>
    <x v="7"/>
    <s v="C018"/>
    <s v="P030"/>
    <n v="5"/>
    <x v="1115"/>
    <n v="0.3"/>
    <n v="224.74"/>
    <x v="2"/>
    <x v="0"/>
    <x v="1"/>
    <s v="Shelf"/>
    <x v="0"/>
  </r>
  <r>
    <s v="O2119"/>
    <x v="77"/>
    <s v="C052"/>
    <s v="P049"/>
    <n v="2"/>
    <x v="1116"/>
    <n v="0"/>
    <n v="104.83"/>
    <x v="2"/>
    <x v="2"/>
    <x v="2"/>
    <s v="Paper"/>
    <x v="0"/>
  </r>
  <r>
    <s v="O2120"/>
    <x v="399"/>
    <s v="C044"/>
    <s v="P034"/>
    <n v="2"/>
    <x v="1117"/>
    <n v="0"/>
    <n v="464.93"/>
    <x v="1"/>
    <x v="1"/>
    <x v="2"/>
    <s v="Storage"/>
    <x v="0"/>
  </r>
  <r>
    <s v="O2121"/>
    <x v="492"/>
    <s v="C190"/>
    <s v="P062"/>
    <n v="1"/>
    <x v="1118"/>
    <n v="0.2"/>
    <n v="193.03"/>
    <x v="0"/>
    <x v="2"/>
    <x v="1"/>
    <s v="Shelf"/>
    <x v="0"/>
  </r>
  <r>
    <s v="O2122"/>
    <x v="484"/>
    <s v="C009"/>
    <s v="P070"/>
    <n v="5"/>
    <x v="1119"/>
    <n v="0.1"/>
    <n v="134.88999999999999"/>
    <x v="0"/>
    <x v="2"/>
    <x v="2"/>
    <s v="Paper"/>
    <x v="0"/>
  </r>
  <r>
    <s v="O2123"/>
    <x v="584"/>
    <s v="C129"/>
    <s v="P006"/>
    <n v="3"/>
    <x v="1120"/>
    <n v="0"/>
    <n v="270.95999999999998"/>
    <x v="1"/>
    <x v="2"/>
    <x v="1"/>
    <s v="Chair"/>
    <x v="0"/>
  </r>
  <r>
    <s v="O2124"/>
    <x v="185"/>
    <s v="C168"/>
    <s v="P089"/>
    <n v="5"/>
    <x v="1121"/>
    <n v="0.2"/>
    <n v="64.709999999999994"/>
    <x v="3"/>
    <x v="0"/>
    <x v="0"/>
    <s v="Phone"/>
    <x v="0"/>
  </r>
  <r>
    <s v="O2125"/>
    <x v="629"/>
    <s v="C052"/>
    <s v="P040"/>
    <n v="3"/>
    <x v="1122"/>
    <n v="0.1"/>
    <n v="14.95"/>
    <x v="2"/>
    <x v="2"/>
    <x v="2"/>
    <s v="Binder"/>
    <x v="0"/>
  </r>
  <r>
    <s v="O2126"/>
    <x v="231"/>
    <s v="C108"/>
    <s v="P011"/>
    <n v="4"/>
    <x v="1123"/>
    <n v="0.3"/>
    <n v="435.88"/>
    <x v="2"/>
    <x v="0"/>
    <x v="0"/>
    <s v="Accessories"/>
    <x v="1"/>
  </r>
  <r>
    <s v="O2127"/>
    <x v="613"/>
    <s v="C034"/>
    <s v="P046"/>
    <n v="5"/>
    <x v="1124"/>
    <n v="0.2"/>
    <n v="190.19"/>
    <x v="1"/>
    <x v="0"/>
    <x v="1"/>
    <s v="Chair"/>
    <x v="1"/>
  </r>
  <r>
    <s v="O2128"/>
    <x v="591"/>
    <s v="C076"/>
    <s v="P093"/>
    <n v="4"/>
    <x v="1125"/>
    <n v="0.3"/>
    <n v="89.96"/>
    <x v="2"/>
    <x v="1"/>
    <x v="2"/>
    <s v="Storage"/>
    <x v="0"/>
  </r>
  <r>
    <s v="O2129"/>
    <x v="630"/>
    <s v="C199"/>
    <s v="P049"/>
    <n v="2"/>
    <x v="1126"/>
    <n v="0"/>
    <n v="45.87"/>
    <x v="0"/>
    <x v="2"/>
    <x v="2"/>
    <s v="Paper"/>
    <x v="0"/>
  </r>
  <r>
    <s v="O2130"/>
    <x v="616"/>
    <s v="C077"/>
    <s v="P013"/>
    <n v="2"/>
    <x v="1127"/>
    <n v="0"/>
    <n v="28.56"/>
    <x v="1"/>
    <x v="1"/>
    <x v="0"/>
    <s v="Laptop"/>
    <x v="0"/>
  </r>
  <r>
    <s v="O2131"/>
    <x v="631"/>
    <s v="C119"/>
    <s v="P011"/>
    <n v="1"/>
    <x v="1128"/>
    <n v="0.1"/>
    <n v="181.9"/>
    <x v="3"/>
    <x v="1"/>
    <x v="0"/>
    <s v="Accessories"/>
    <x v="0"/>
  </r>
  <r>
    <s v="O2132"/>
    <x v="567"/>
    <s v="C058"/>
    <s v="P033"/>
    <n v="5"/>
    <x v="1129"/>
    <n v="0.2"/>
    <n v="144.63999999999999"/>
    <x v="0"/>
    <x v="2"/>
    <x v="1"/>
    <s v="Table"/>
    <x v="1"/>
  </r>
  <r>
    <s v="O2133"/>
    <x v="632"/>
    <s v="C169"/>
    <s v="P050"/>
    <n v="4"/>
    <x v="1130"/>
    <n v="0.3"/>
    <n v="316.64999999999998"/>
    <x v="3"/>
    <x v="1"/>
    <x v="2"/>
    <s v="Pen"/>
    <x v="0"/>
  </r>
  <r>
    <s v="O2134"/>
    <x v="505"/>
    <s v="C179"/>
    <s v="P066"/>
    <n v="3"/>
    <x v="1131"/>
    <n v="0.1"/>
    <n v="124.27"/>
    <x v="3"/>
    <x v="1"/>
    <x v="1"/>
    <s v="Desk"/>
    <x v="0"/>
  </r>
  <r>
    <s v="O2135"/>
    <x v="595"/>
    <s v="C132"/>
    <s v="P003"/>
    <n v="2"/>
    <x v="1132"/>
    <n v="0"/>
    <n v="230.95"/>
    <x v="1"/>
    <x v="0"/>
    <x v="2"/>
    <s v="Pen"/>
    <x v="0"/>
  </r>
  <r>
    <s v="O2136"/>
    <x v="436"/>
    <s v="C200"/>
    <s v="P054"/>
    <n v="2"/>
    <x v="1133"/>
    <n v="0"/>
    <n v="22.48"/>
    <x v="3"/>
    <x v="0"/>
    <x v="1"/>
    <s v="Shelf"/>
    <x v="1"/>
  </r>
  <r>
    <s v="O2137"/>
    <x v="127"/>
    <s v="C076"/>
    <s v="P061"/>
    <n v="3"/>
    <x v="1134"/>
    <n v="0.2"/>
    <n v="83.97"/>
    <x v="2"/>
    <x v="1"/>
    <x v="2"/>
    <s v="Pen"/>
    <x v="0"/>
  </r>
  <r>
    <s v="O2138"/>
    <x v="486"/>
    <s v="C058"/>
    <s v="P046"/>
    <n v="4"/>
    <x v="1135"/>
    <n v="0.3"/>
    <n v="128.94"/>
    <x v="0"/>
    <x v="2"/>
    <x v="1"/>
    <s v="Chair"/>
    <x v="0"/>
  </r>
  <r>
    <s v="O2139"/>
    <x v="633"/>
    <s v="C091"/>
    <s v="P058"/>
    <n v="4"/>
    <x v="1136"/>
    <n v="0.2"/>
    <n v="245.69"/>
    <x v="3"/>
    <x v="1"/>
    <x v="2"/>
    <s v="Paper"/>
    <x v="0"/>
  </r>
  <r>
    <s v="O2140"/>
    <x v="331"/>
    <s v="C180"/>
    <s v="P056"/>
    <n v="5"/>
    <x v="1137"/>
    <n v="0.3"/>
    <n v="125.22"/>
    <x v="3"/>
    <x v="1"/>
    <x v="2"/>
    <s v="Paper"/>
    <x v="0"/>
  </r>
  <r>
    <s v="O2141"/>
    <x v="622"/>
    <s v="C143"/>
    <s v="P058"/>
    <n v="5"/>
    <x v="1138"/>
    <n v="0.3"/>
    <n v="12.45"/>
    <x v="0"/>
    <x v="2"/>
    <x v="2"/>
    <s v="Paper"/>
    <x v="0"/>
  </r>
  <r>
    <s v="O2142"/>
    <x v="493"/>
    <s v="C012"/>
    <s v="P007"/>
    <n v="1"/>
    <x v="1139"/>
    <n v="0.2"/>
    <n v="137.65"/>
    <x v="1"/>
    <x v="2"/>
    <x v="1"/>
    <s v="Desk"/>
    <x v="0"/>
  </r>
  <r>
    <s v="O2143"/>
    <x v="59"/>
    <s v="C042"/>
    <s v="P053"/>
    <n v="2"/>
    <x v="1140"/>
    <n v="0.1"/>
    <n v="247.32"/>
    <x v="0"/>
    <x v="0"/>
    <x v="0"/>
    <s v="Accessories"/>
    <x v="0"/>
  </r>
  <r>
    <s v="O2144"/>
    <x v="634"/>
    <s v="C183"/>
    <s v="P049"/>
    <n v="5"/>
    <x v="1141"/>
    <n v="0.2"/>
    <n v="393.93"/>
    <x v="1"/>
    <x v="1"/>
    <x v="2"/>
    <s v="Paper"/>
    <x v="1"/>
  </r>
  <r>
    <s v="O2145"/>
    <x v="614"/>
    <s v="C141"/>
    <s v="P015"/>
    <n v="4"/>
    <x v="1142"/>
    <n v="0.2"/>
    <n v="82.8"/>
    <x v="1"/>
    <x v="2"/>
    <x v="0"/>
    <s v="Tablet"/>
    <x v="0"/>
  </r>
  <r>
    <s v="O2146"/>
    <x v="267"/>
    <s v="C160"/>
    <s v="P065"/>
    <n v="3"/>
    <x v="1143"/>
    <n v="0"/>
    <n v="70.709999999999994"/>
    <x v="2"/>
    <x v="0"/>
    <x v="1"/>
    <s v="Chair"/>
    <x v="0"/>
  </r>
  <r>
    <s v="O2147"/>
    <x v="635"/>
    <s v="C194"/>
    <s v="P034"/>
    <n v="4"/>
    <x v="1144"/>
    <n v="0"/>
    <n v="142.44"/>
    <x v="0"/>
    <x v="1"/>
    <x v="2"/>
    <s v="Storage"/>
    <x v="1"/>
  </r>
  <r>
    <s v="O2148"/>
    <x v="362"/>
    <s v="C008"/>
    <s v="P002"/>
    <n v="2"/>
    <x v="1145"/>
    <n v="0.2"/>
    <n v="22.32"/>
    <x v="1"/>
    <x v="2"/>
    <x v="1"/>
    <s v="Chair"/>
    <x v="1"/>
  </r>
  <r>
    <s v="O2149"/>
    <x v="476"/>
    <s v="C007"/>
    <s v="P031"/>
    <n v="4"/>
    <x v="1146"/>
    <n v="0.2"/>
    <n v="39.700000000000003"/>
    <x v="1"/>
    <x v="2"/>
    <x v="2"/>
    <s v="Storage"/>
    <x v="0"/>
  </r>
  <r>
    <s v="O2150"/>
    <x v="617"/>
    <s v="C092"/>
    <s v="P074"/>
    <n v="1"/>
    <x v="1147"/>
    <n v="0"/>
    <n v="52.14"/>
    <x v="1"/>
    <x v="1"/>
    <x v="1"/>
    <s v="Table"/>
    <x v="0"/>
  </r>
  <r>
    <s v="O2151"/>
    <x v="585"/>
    <s v="C074"/>
    <s v="P041"/>
    <n v="2"/>
    <x v="1148"/>
    <n v="0.3"/>
    <n v="286.48"/>
    <x v="2"/>
    <x v="1"/>
    <x v="0"/>
    <s v="Tablet"/>
    <x v="0"/>
  </r>
  <r>
    <s v="O2152"/>
    <x v="461"/>
    <s v="C003"/>
    <s v="P051"/>
    <n v="3"/>
    <x v="1149"/>
    <n v="0.2"/>
    <n v="388.19"/>
    <x v="0"/>
    <x v="0"/>
    <x v="0"/>
    <s v="Tablet"/>
    <x v="0"/>
  </r>
  <r>
    <s v="O2153"/>
    <x v="634"/>
    <s v="C167"/>
    <s v="P067"/>
    <n v="1"/>
    <x v="1150"/>
    <n v="0.1"/>
    <n v="138.55000000000001"/>
    <x v="2"/>
    <x v="0"/>
    <x v="2"/>
    <s v="Binder"/>
    <x v="1"/>
  </r>
  <r>
    <s v="O2154"/>
    <x v="29"/>
    <s v="C030"/>
    <s v="P097"/>
    <n v="2"/>
    <x v="1151"/>
    <n v="0.1"/>
    <n v="44.91"/>
    <x v="1"/>
    <x v="1"/>
    <x v="2"/>
    <s v="Paper"/>
    <x v="1"/>
  </r>
  <r>
    <s v="O2155"/>
    <x v="225"/>
    <s v="C035"/>
    <s v="P074"/>
    <n v="3"/>
    <x v="1152"/>
    <n v="0.1"/>
    <n v="353.86"/>
    <x v="1"/>
    <x v="1"/>
    <x v="1"/>
    <s v="Table"/>
    <x v="0"/>
  </r>
  <r>
    <s v="O2156"/>
    <x v="449"/>
    <s v="C048"/>
    <s v="P052"/>
    <n v="1"/>
    <x v="1153"/>
    <n v="0.2"/>
    <n v="414.7"/>
    <x v="2"/>
    <x v="2"/>
    <x v="1"/>
    <s v="Chair"/>
    <x v="1"/>
  </r>
  <r>
    <s v="O2157"/>
    <x v="481"/>
    <s v="C075"/>
    <s v="P018"/>
    <n v="1"/>
    <x v="1154"/>
    <n v="0.3"/>
    <n v="351.27"/>
    <x v="3"/>
    <x v="1"/>
    <x v="2"/>
    <s v="Storage"/>
    <x v="0"/>
  </r>
  <r>
    <s v="O2158"/>
    <x v="149"/>
    <s v="C189"/>
    <s v="P055"/>
    <n v="2"/>
    <x v="1155"/>
    <n v="0.3"/>
    <n v="410.95"/>
    <x v="0"/>
    <x v="2"/>
    <x v="2"/>
    <s v="Binder"/>
    <x v="0"/>
  </r>
  <r>
    <s v="O2159"/>
    <x v="510"/>
    <s v="C032"/>
    <s v="P051"/>
    <n v="5"/>
    <x v="1156"/>
    <n v="0"/>
    <n v="132.19999999999999"/>
    <x v="3"/>
    <x v="1"/>
    <x v="0"/>
    <s v="Tablet"/>
    <x v="0"/>
  </r>
  <r>
    <s v="O2160"/>
    <x v="636"/>
    <s v="C051"/>
    <s v="P046"/>
    <n v="1"/>
    <x v="1157"/>
    <n v="0.2"/>
    <n v="115.28"/>
    <x v="0"/>
    <x v="1"/>
    <x v="1"/>
    <s v="Chair"/>
    <x v="0"/>
  </r>
  <r>
    <s v="O2161"/>
    <x v="154"/>
    <s v="C146"/>
    <s v="P093"/>
    <n v="1"/>
    <x v="1158"/>
    <n v="0.3"/>
    <n v="39.93"/>
    <x v="3"/>
    <x v="0"/>
    <x v="2"/>
    <s v="Storage"/>
    <x v="1"/>
  </r>
  <r>
    <s v="O2162"/>
    <x v="637"/>
    <s v="C100"/>
    <s v="P072"/>
    <n v="3"/>
    <x v="1159"/>
    <n v="0.2"/>
    <n v="216.77"/>
    <x v="2"/>
    <x v="1"/>
    <x v="1"/>
    <s v="Chair"/>
    <x v="0"/>
  </r>
  <r>
    <s v="O2163"/>
    <x v="606"/>
    <s v="C072"/>
    <s v="P034"/>
    <n v="4"/>
    <x v="1160"/>
    <n v="0"/>
    <n v="101.62"/>
    <x v="3"/>
    <x v="2"/>
    <x v="2"/>
    <s v="Storage"/>
    <x v="1"/>
  </r>
  <r>
    <s v="O2164"/>
    <x v="563"/>
    <s v="C148"/>
    <s v="P007"/>
    <n v="2"/>
    <x v="1161"/>
    <n v="0"/>
    <n v="121.84"/>
    <x v="0"/>
    <x v="2"/>
    <x v="1"/>
    <s v="Desk"/>
    <x v="0"/>
  </r>
  <r>
    <s v="O2165"/>
    <x v="638"/>
    <s v="C009"/>
    <s v="P075"/>
    <n v="2"/>
    <x v="1162"/>
    <n v="0"/>
    <n v="109.49"/>
    <x v="0"/>
    <x v="2"/>
    <x v="2"/>
    <s v="Pen"/>
    <x v="0"/>
  </r>
  <r>
    <s v="O2166"/>
    <x v="639"/>
    <s v="C013"/>
    <s v="P045"/>
    <n v="5"/>
    <x v="1163"/>
    <n v="0.1"/>
    <n v="116.59"/>
    <x v="2"/>
    <x v="0"/>
    <x v="0"/>
    <s v="Tablet"/>
    <x v="0"/>
  </r>
  <r>
    <s v="O2167"/>
    <x v="335"/>
    <s v="C177"/>
    <s v="P082"/>
    <n v="5"/>
    <x v="1164"/>
    <n v="0.2"/>
    <n v="353.26"/>
    <x v="0"/>
    <x v="0"/>
    <x v="0"/>
    <s v="Accessories"/>
    <x v="0"/>
  </r>
  <r>
    <s v="O2168"/>
    <x v="372"/>
    <s v="C095"/>
    <s v="P037"/>
    <n v="2"/>
    <x v="1165"/>
    <n v="0"/>
    <n v="262.02"/>
    <x v="1"/>
    <x v="2"/>
    <x v="2"/>
    <s v="Storage"/>
    <x v="1"/>
  </r>
  <r>
    <s v="O2169"/>
    <x v="64"/>
    <s v="C089"/>
    <s v="P085"/>
    <n v="5"/>
    <x v="1166"/>
    <n v="0.2"/>
    <n v="111.87"/>
    <x v="2"/>
    <x v="2"/>
    <x v="0"/>
    <s v="Tablet"/>
    <x v="0"/>
  </r>
  <r>
    <s v="O2170"/>
    <x v="433"/>
    <s v="C155"/>
    <s v="P036"/>
    <n v="3"/>
    <x v="1167"/>
    <n v="0.1"/>
    <n v="486.43"/>
    <x v="1"/>
    <x v="1"/>
    <x v="1"/>
    <s v="Shelf"/>
    <x v="0"/>
  </r>
  <r>
    <s v="O2171"/>
    <x v="640"/>
    <s v="C198"/>
    <s v="P057"/>
    <n v="2"/>
    <x v="1168"/>
    <n v="0.1"/>
    <n v="290.01"/>
    <x v="0"/>
    <x v="1"/>
    <x v="0"/>
    <s v="Laptop"/>
    <x v="0"/>
  </r>
  <r>
    <s v="O2172"/>
    <x v="175"/>
    <s v="C113"/>
    <s v="P081"/>
    <n v="5"/>
    <x v="1169"/>
    <n v="0"/>
    <n v="92.88"/>
    <x v="0"/>
    <x v="1"/>
    <x v="2"/>
    <s v="Pen"/>
    <x v="1"/>
  </r>
  <r>
    <s v="O2173"/>
    <x v="26"/>
    <s v="C029"/>
    <s v="P014"/>
    <n v="2"/>
    <x v="1170"/>
    <n v="0"/>
    <n v="344.71"/>
    <x v="0"/>
    <x v="2"/>
    <x v="1"/>
    <s v="Shelf"/>
    <x v="0"/>
  </r>
  <r>
    <s v="O2174"/>
    <x v="641"/>
    <s v="C024"/>
    <s v="P009"/>
    <n v="4"/>
    <x v="1171"/>
    <n v="0.3"/>
    <n v="45.58"/>
    <x v="2"/>
    <x v="0"/>
    <x v="1"/>
    <s v="Chair"/>
    <x v="1"/>
  </r>
  <r>
    <s v="O2175"/>
    <x v="196"/>
    <s v="C120"/>
    <s v="P094"/>
    <n v="1"/>
    <x v="1172"/>
    <n v="0.2"/>
    <n v="185.32"/>
    <x v="1"/>
    <x v="0"/>
    <x v="1"/>
    <s v="Table"/>
    <x v="0"/>
  </r>
  <r>
    <s v="O2176"/>
    <x v="642"/>
    <s v="C186"/>
    <s v="P086"/>
    <n v="2"/>
    <x v="1173"/>
    <n v="0"/>
    <n v="511.58"/>
    <x v="2"/>
    <x v="0"/>
    <x v="1"/>
    <s v="Shelf"/>
    <x v="0"/>
  </r>
  <r>
    <s v="O2177"/>
    <x v="314"/>
    <s v="C096"/>
    <s v="P051"/>
    <n v="1"/>
    <x v="1174"/>
    <n v="0.3"/>
    <n v="95"/>
    <x v="0"/>
    <x v="2"/>
    <x v="0"/>
    <s v="Tablet"/>
    <x v="0"/>
  </r>
  <r>
    <s v="O2178"/>
    <x v="548"/>
    <s v="C019"/>
    <s v="P005"/>
    <n v="5"/>
    <x v="1175"/>
    <n v="0.2"/>
    <n v="206.2"/>
    <x v="2"/>
    <x v="0"/>
    <x v="2"/>
    <s v="Paper"/>
    <x v="0"/>
  </r>
  <r>
    <s v="O2179"/>
    <x v="221"/>
    <s v="C090"/>
    <s v="P086"/>
    <n v="1"/>
    <x v="1176"/>
    <n v="0"/>
    <n v="282.19"/>
    <x v="2"/>
    <x v="2"/>
    <x v="1"/>
    <s v="Shelf"/>
    <x v="0"/>
  </r>
  <r>
    <s v="O2180"/>
    <x v="643"/>
    <s v="C032"/>
    <s v="P052"/>
    <n v="2"/>
    <x v="1177"/>
    <n v="0.3"/>
    <n v="230.34"/>
    <x v="3"/>
    <x v="1"/>
    <x v="1"/>
    <s v="Chair"/>
    <x v="0"/>
  </r>
  <r>
    <s v="O2181"/>
    <x v="498"/>
    <s v="C154"/>
    <s v="P069"/>
    <n v="4"/>
    <x v="1178"/>
    <n v="0.3"/>
    <n v="27.84"/>
    <x v="3"/>
    <x v="0"/>
    <x v="2"/>
    <s v="Pen"/>
    <x v="1"/>
  </r>
  <r>
    <s v="O2182"/>
    <x v="232"/>
    <s v="C136"/>
    <s v="P079"/>
    <n v="5"/>
    <x v="1179"/>
    <n v="0.2"/>
    <n v="91.37"/>
    <x v="1"/>
    <x v="2"/>
    <x v="1"/>
    <s v="Chair"/>
    <x v="0"/>
  </r>
  <r>
    <s v="O2183"/>
    <x v="192"/>
    <s v="C007"/>
    <s v="P034"/>
    <n v="2"/>
    <x v="1180"/>
    <n v="0.3"/>
    <n v="32.64"/>
    <x v="1"/>
    <x v="2"/>
    <x v="2"/>
    <s v="Storage"/>
    <x v="1"/>
  </r>
  <r>
    <s v="O2184"/>
    <x v="572"/>
    <s v="C064"/>
    <s v="P042"/>
    <n v="5"/>
    <x v="1181"/>
    <n v="0.2"/>
    <n v="370.39"/>
    <x v="0"/>
    <x v="0"/>
    <x v="0"/>
    <s v="Tablet"/>
    <x v="0"/>
  </r>
  <r>
    <s v="O2185"/>
    <x v="347"/>
    <s v="C074"/>
    <s v="P006"/>
    <n v="3"/>
    <x v="1182"/>
    <n v="0.2"/>
    <n v="89.06"/>
    <x v="2"/>
    <x v="1"/>
    <x v="1"/>
    <s v="Chair"/>
    <x v="0"/>
  </r>
  <r>
    <s v="O2186"/>
    <x v="594"/>
    <s v="C069"/>
    <s v="P053"/>
    <n v="1"/>
    <x v="1183"/>
    <n v="0.2"/>
    <n v="95.42"/>
    <x v="0"/>
    <x v="0"/>
    <x v="0"/>
    <s v="Accessories"/>
    <x v="0"/>
  </r>
  <r>
    <s v="O2187"/>
    <x v="618"/>
    <s v="C057"/>
    <s v="P056"/>
    <n v="3"/>
    <x v="1184"/>
    <n v="0.1"/>
    <n v="449.98"/>
    <x v="0"/>
    <x v="0"/>
    <x v="2"/>
    <s v="Paper"/>
    <x v="0"/>
  </r>
  <r>
    <s v="O2188"/>
    <x v="52"/>
    <s v="C053"/>
    <s v="P036"/>
    <n v="2"/>
    <x v="1185"/>
    <n v="0.3"/>
    <n v="125.25"/>
    <x v="0"/>
    <x v="2"/>
    <x v="1"/>
    <s v="Shelf"/>
    <x v="0"/>
  </r>
  <r>
    <s v="O2189"/>
    <x v="406"/>
    <s v="C108"/>
    <s v="P073"/>
    <n v="4"/>
    <x v="642"/>
    <n v="0.2"/>
    <n v="37.39"/>
    <x v="2"/>
    <x v="0"/>
    <x v="1"/>
    <s v="Table"/>
    <x v="0"/>
  </r>
  <r>
    <s v="O2190"/>
    <x v="607"/>
    <s v="C047"/>
    <s v="P041"/>
    <n v="5"/>
    <x v="1186"/>
    <n v="0"/>
    <n v="122.98"/>
    <x v="0"/>
    <x v="0"/>
    <x v="0"/>
    <s v="Tablet"/>
    <x v="1"/>
  </r>
  <r>
    <s v="O2191"/>
    <x v="644"/>
    <s v="C173"/>
    <s v="P083"/>
    <n v="1"/>
    <x v="1187"/>
    <n v="0.1"/>
    <n v="386.85"/>
    <x v="1"/>
    <x v="0"/>
    <x v="2"/>
    <s v="Paper"/>
    <x v="0"/>
  </r>
  <r>
    <s v="O2192"/>
    <x v="367"/>
    <s v="C012"/>
    <s v="P008"/>
    <n v="5"/>
    <x v="1188"/>
    <n v="0.1"/>
    <n v="51"/>
    <x v="1"/>
    <x v="2"/>
    <x v="0"/>
    <s v="Accessories"/>
    <x v="0"/>
  </r>
  <r>
    <s v="O2193"/>
    <x v="404"/>
    <s v="C156"/>
    <s v="P051"/>
    <n v="2"/>
    <x v="1189"/>
    <n v="0.3"/>
    <n v="143.21"/>
    <x v="2"/>
    <x v="1"/>
    <x v="0"/>
    <s v="Tablet"/>
    <x v="0"/>
  </r>
  <r>
    <s v="O2194"/>
    <x v="211"/>
    <s v="C124"/>
    <s v="P028"/>
    <n v="5"/>
    <x v="1190"/>
    <n v="0.2"/>
    <n v="186.66"/>
    <x v="3"/>
    <x v="2"/>
    <x v="0"/>
    <s v="Laptop"/>
    <x v="0"/>
  </r>
  <r>
    <s v="O2195"/>
    <x v="176"/>
    <s v="C084"/>
    <s v="P050"/>
    <n v="1"/>
    <x v="1191"/>
    <n v="0.3"/>
    <n v="223.72"/>
    <x v="2"/>
    <x v="2"/>
    <x v="2"/>
    <s v="Pen"/>
    <x v="0"/>
  </r>
  <r>
    <s v="O2196"/>
    <x v="440"/>
    <s v="C171"/>
    <s v="P098"/>
    <n v="2"/>
    <x v="1192"/>
    <n v="0.1"/>
    <n v="64.930000000000007"/>
    <x v="2"/>
    <x v="1"/>
    <x v="1"/>
    <s v="Shelf"/>
    <x v="0"/>
  </r>
  <r>
    <s v="O2197"/>
    <x v="617"/>
    <s v="C195"/>
    <s v="P034"/>
    <n v="5"/>
    <x v="1193"/>
    <n v="0.2"/>
    <n v="132.66"/>
    <x v="1"/>
    <x v="2"/>
    <x v="2"/>
    <s v="Storage"/>
    <x v="1"/>
  </r>
  <r>
    <s v="O2198"/>
    <x v="569"/>
    <s v="C036"/>
    <s v="P062"/>
    <n v="4"/>
    <x v="1194"/>
    <n v="0"/>
    <n v="37.909999999999997"/>
    <x v="0"/>
    <x v="0"/>
    <x v="1"/>
    <s v="Shelf"/>
    <x v="0"/>
  </r>
  <r>
    <s v="O2199"/>
    <x v="495"/>
    <s v="C095"/>
    <s v="P073"/>
    <n v="2"/>
    <x v="1195"/>
    <n v="0.2"/>
    <n v="35.9"/>
    <x v="1"/>
    <x v="2"/>
    <x v="1"/>
    <s v="Table"/>
    <x v="0"/>
  </r>
  <r>
    <s v="O2200"/>
    <x v="263"/>
    <s v="C086"/>
    <s v="P025"/>
    <n v="2"/>
    <x v="1196"/>
    <n v="0.1"/>
    <n v="242.08"/>
    <x v="3"/>
    <x v="1"/>
    <x v="0"/>
    <s v="Accessories"/>
    <x v="0"/>
  </r>
  <r>
    <s v="O2201"/>
    <x v="592"/>
    <s v="C038"/>
    <s v="P074"/>
    <n v="4"/>
    <x v="1197"/>
    <n v="0"/>
    <n v="54.1"/>
    <x v="0"/>
    <x v="0"/>
    <x v="1"/>
    <s v="Table"/>
    <x v="0"/>
  </r>
  <r>
    <s v="O2202"/>
    <x v="645"/>
    <s v="C183"/>
    <s v="P005"/>
    <n v="3"/>
    <x v="1198"/>
    <n v="0.2"/>
    <n v="41.54"/>
    <x v="1"/>
    <x v="1"/>
    <x v="2"/>
    <s v="Paper"/>
    <x v="0"/>
  </r>
  <r>
    <s v="O2203"/>
    <x v="608"/>
    <s v="C037"/>
    <s v="P016"/>
    <n v="1"/>
    <x v="1199"/>
    <n v="0"/>
    <n v="257.64999999999998"/>
    <x v="1"/>
    <x v="1"/>
    <x v="1"/>
    <s v="Chair"/>
    <x v="1"/>
  </r>
  <r>
    <s v="O2204"/>
    <x v="646"/>
    <s v="C099"/>
    <s v="P084"/>
    <n v="3"/>
    <x v="1200"/>
    <n v="0"/>
    <n v="390.91"/>
    <x v="0"/>
    <x v="1"/>
    <x v="2"/>
    <s v="Paper"/>
    <x v="0"/>
  </r>
  <r>
    <s v="O2205"/>
    <x v="647"/>
    <s v="C005"/>
    <s v="P087"/>
    <n v="5"/>
    <x v="1201"/>
    <n v="0.1"/>
    <n v="123.52"/>
    <x v="1"/>
    <x v="0"/>
    <x v="0"/>
    <s v="Phone"/>
    <x v="1"/>
  </r>
  <r>
    <s v="O2206"/>
    <x v="648"/>
    <s v="C186"/>
    <s v="P085"/>
    <n v="4"/>
    <x v="1202"/>
    <n v="0"/>
    <n v="93.39"/>
    <x v="2"/>
    <x v="0"/>
    <x v="0"/>
    <s v="Tablet"/>
    <x v="0"/>
  </r>
  <r>
    <s v="O2207"/>
    <x v="196"/>
    <s v="C001"/>
    <s v="P082"/>
    <n v="3"/>
    <x v="1203"/>
    <n v="0.3"/>
    <n v="155.27000000000001"/>
    <x v="3"/>
    <x v="0"/>
    <x v="0"/>
    <s v="Accessories"/>
    <x v="0"/>
  </r>
  <r>
    <s v="O2208"/>
    <x v="624"/>
    <s v="C058"/>
    <s v="P033"/>
    <n v="2"/>
    <x v="1204"/>
    <n v="0.1"/>
    <n v="226.03"/>
    <x v="0"/>
    <x v="2"/>
    <x v="1"/>
    <s v="Table"/>
    <x v="0"/>
  </r>
  <r>
    <s v="O2209"/>
    <x v="111"/>
    <s v="C117"/>
    <s v="P003"/>
    <n v="5"/>
    <x v="1205"/>
    <n v="0.3"/>
    <n v="120.87"/>
    <x v="1"/>
    <x v="0"/>
    <x v="2"/>
    <s v="Pen"/>
    <x v="0"/>
  </r>
  <r>
    <s v="O2210"/>
    <x v="372"/>
    <s v="C051"/>
    <s v="P050"/>
    <n v="5"/>
    <x v="1206"/>
    <n v="0"/>
    <n v="572.01"/>
    <x v="0"/>
    <x v="1"/>
    <x v="2"/>
    <s v="Pen"/>
    <x v="1"/>
  </r>
  <r>
    <s v="O2211"/>
    <x v="83"/>
    <s v="C101"/>
    <s v="P030"/>
    <n v="3"/>
    <x v="1207"/>
    <n v="0.3"/>
    <n v="204.7"/>
    <x v="1"/>
    <x v="1"/>
    <x v="1"/>
    <s v="Shelf"/>
    <x v="0"/>
  </r>
  <r>
    <s v="O2212"/>
    <x v="177"/>
    <s v="C026"/>
    <s v="P071"/>
    <n v="3"/>
    <x v="1208"/>
    <n v="0.2"/>
    <n v="168.89"/>
    <x v="1"/>
    <x v="2"/>
    <x v="0"/>
    <s v="Laptop"/>
    <x v="0"/>
  </r>
  <r>
    <s v="O2213"/>
    <x v="281"/>
    <s v="C098"/>
    <s v="P032"/>
    <n v="4"/>
    <x v="1209"/>
    <n v="0"/>
    <n v="423.7"/>
    <x v="3"/>
    <x v="0"/>
    <x v="2"/>
    <s v="Paper"/>
    <x v="0"/>
  </r>
  <r>
    <s v="O2214"/>
    <x v="649"/>
    <s v="C193"/>
    <s v="P069"/>
    <n v="1"/>
    <x v="1210"/>
    <n v="0.2"/>
    <n v="344.43"/>
    <x v="1"/>
    <x v="2"/>
    <x v="2"/>
    <s v="Pen"/>
    <x v="0"/>
  </r>
  <r>
    <s v="O2215"/>
    <x v="106"/>
    <s v="C138"/>
    <s v="P098"/>
    <n v="3"/>
    <x v="1211"/>
    <n v="0.3"/>
    <n v="165.46"/>
    <x v="0"/>
    <x v="1"/>
    <x v="1"/>
    <s v="Shelf"/>
    <x v="0"/>
  </r>
  <r>
    <s v="O2216"/>
    <x v="650"/>
    <s v="C002"/>
    <s v="P065"/>
    <n v="3"/>
    <x v="1212"/>
    <n v="0.2"/>
    <n v="163.47"/>
    <x v="1"/>
    <x v="1"/>
    <x v="1"/>
    <s v="Chair"/>
    <x v="0"/>
  </r>
  <r>
    <s v="O2217"/>
    <x v="561"/>
    <s v="C106"/>
    <s v="P007"/>
    <n v="2"/>
    <x v="1213"/>
    <n v="0"/>
    <n v="305.44"/>
    <x v="0"/>
    <x v="1"/>
    <x v="1"/>
    <s v="Desk"/>
    <x v="1"/>
  </r>
  <r>
    <s v="O2218"/>
    <x v="185"/>
    <s v="C116"/>
    <s v="P099"/>
    <n v="5"/>
    <x v="1214"/>
    <n v="0.2"/>
    <n v="20.05"/>
    <x v="2"/>
    <x v="0"/>
    <x v="1"/>
    <s v="Desk"/>
    <x v="0"/>
  </r>
  <r>
    <s v="O2219"/>
    <x v="413"/>
    <s v="C086"/>
    <s v="P012"/>
    <n v="1"/>
    <x v="1215"/>
    <n v="0.3"/>
    <n v="377.5"/>
    <x v="3"/>
    <x v="1"/>
    <x v="0"/>
    <s v="Laptop"/>
    <x v="1"/>
  </r>
  <r>
    <s v="O2220"/>
    <x v="239"/>
    <s v="C047"/>
    <s v="P002"/>
    <n v="2"/>
    <x v="1216"/>
    <n v="0.3"/>
    <n v="571.77"/>
    <x v="0"/>
    <x v="0"/>
    <x v="1"/>
    <s v="Chair"/>
    <x v="0"/>
  </r>
  <r>
    <s v="O2221"/>
    <x v="6"/>
    <s v="C055"/>
    <s v="P034"/>
    <n v="4"/>
    <x v="1217"/>
    <n v="0.3"/>
    <n v="41.94"/>
    <x v="0"/>
    <x v="2"/>
    <x v="2"/>
    <s v="Storage"/>
    <x v="0"/>
  </r>
  <r>
    <s v="O2222"/>
    <x v="651"/>
    <s v="C128"/>
    <s v="P099"/>
    <n v="4"/>
    <x v="1218"/>
    <n v="0"/>
    <n v="200.51"/>
    <x v="1"/>
    <x v="2"/>
    <x v="1"/>
    <s v="Desk"/>
    <x v="1"/>
  </r>
  <r>
    <s v="O2223"/>
    <x v="652"/>
    <s v="C033"/>
    <s v="P081"/>
    <n v="3"/>
    <x v="1219"/>
    <n v="0.3"/>
    <n v="136.94999999999999"/>
    <x v="2"/>
    <x v="0"/>
    <x v="2"/>
    <s v="Pen"/>
    <x v="1"/>
  </r>
  <r>
    <s v="O2224"/>
    <x v="406"/>
    <s v="C013"/>
    <s v="P097"/>
    <n v="3"/>
    <x v="1220"/>
    <n v="0"/>
    <n v="223.24"/>
    <x v="2"/>
    <x v="0"/>
    <x v="2"/>
    <s v="Paper"/>
    <x v="0"/>
  </r>
  <r>
    <s v="O2225"/>
    <x v="301"/>
    <s v="C031"/>
    <s v="P094"/>
    <n v="4"/>
    <x v="1221"/>
    <n v="0.2"/>
    <n v="488.74"/>
    <x v="2"/>
    <x v="1"/>
    <x v="1"/>
    <s v="Table"/>
    <x v="0"/>
  </r>
  <r>
    <s v="O2226"/>
    <x v="262"/>
    <s v="C090"/>
    <s v="P028"/>
    <n v="3"/>
    <x v="1222"/>
    <n v="0.3"/>
    <n v="157.69999999999999"/>
    <x v="2"/>
    <x v="2"/>
    <x v="0"/>
    <s v="Laptop"/>
    <x v="1"/>
  </r>
  <r>
    <s v="O2227"/>
    <x v="534"/>
    <s v="C007"/>
    <s v="P044"/>
    <n v="1"/>
    <x v="1223"/>
    <n v="0.2"/>
    <n v="141.09"/>
    <x v="1"/>
    <x v="2"/>
    <x v="1"/>
    <s v="Table"/>
    <x v="1"/>
  </r>
  <r>
    <s v="O2228"/>
    <x v="107"/>
    <s v="C045"/>
    <s v="P053"/>
    <n v="3"/>
    <x v="1224"/>
    <n v="0.1"/>
    <n v="208.61"/>
    <x v="2"/>
    <x v="0"/>
    <x v="0"/>
    <s v="Accessories"/>
    <x v="0"/>
  </r>
  <r>
    <s v="O2229"/>
    <x v="433"/>
    <s v="C036"/>
    <s v="P016"/>
    <n v="5"/>
    <x v="1225"/>
    <n v="0.2"/>
    <n v="120.26"/>
    <x v="0"/>
    <x v="0"/>
    <x v="1"/>
    <s v="Chair"/>
    <x v="0"/>
  </r>
  <r>
    <s v="O2230"/>
    <x v="579"/>
    <s v="C131"/>
    <s v="P092"/>
    <n v="3"/>
    <x v="1226"/>
    <n v="0.1"/>
    <n v="208.69"/>
    <x v="2"/>
    <x v="0"/>
    <x v="0"/>
    <s v="Phone"/>
    <x v="0"/>
  </r>
  <r>
    <s v="O2231"/>
    <x v="616"/>
    <s v="C045"/>
    <s v="P066"/>
    <n v="2"/>
    <x v="1227"/>
    <n v="0.2"/>
    <n v="225.64"/>
    <x v="2"/>
    <x v="0"/>
    <x v="1"/>
    <s v="Desk"/>
    <x v="1"/>
  </r>
  <r>
    <s v="O2232"/>
    <x v="40"/>
    <s v="C154"/>
    <s v="P036"/>
    <n v="1"/>
    <x v="1228"/>
    <n v="0"/>
    <n v="52.23"/>
    <x v="3"/>
    <x v="0"/>
    <x v="1"/>
    <s v="Shelf"/>
    <x v="0"/>
  </r>
  <r>
    <s v="O2233"/>
    <x v="521"/>
    <s v="C142"/>
    <s v="P006"/>
    <n v="2"/>
    <x v="1229"/>
    <n v="0.2"/>
    <n v="390.6"/>
    <x v="2"/>
    <x v="1"/>
    <x v="1"/>
    <s v="Chair"/>
    <x v="1"/>
  </r>
  <r>
    <s v="O2234"/>
    <x v="653"/>
    <s v="C065"/>
    <s v="P088"/>
    <n v="2"/>
    <x v="1230"/>
    <n v="0"/>
    <n v="348.76"/>
    <x v="0"/>
    <x v="0"/>
    <x v="0"/>
    <s v="Laptop"/>
    <x v="1"/>
  </r>
  <r>
    <s v="O2235"/>
    <x v="654"/>
    <s v="C066"/>
    <s v="P064"/>
    <n v="5"/>
    <x v="1231"/>
    <n v="0"/>
    <n v="49.25"/>
    <x v="1"/>
    <x v="0"/>
    <x v="2"/>
    <s v="Binder"/>
    <x v="0"/>
  </r>
  <r>
    <s v="O2236"/>
    <x v="208"/>
    <s v="C060"/>
    <s v="P015"/>
    <n v="1"/>
    <x v="1232"/>
    <n v="0.3"/>
    <n v="79.239999999999995"/>
    <x v="1"/>
    <x v="2"/>
    <x v="0"/>
    <s v="Tablet"/>
    <x v="0"/>
  </r>
  <r>
    <s v="O2237"/>
    <x v="126"/>
    <s v="C133"/>
    <s v="P020"/>
    <n v="1"/>
    <x v="1233"/>
    <n v="0"/>
    <n v="100.47"/>
    <x v="0"/>
    <x v="2"/>
    <x v="2"/>
    <s v="Pen"/>
    <x v="0"/>
  </r>
  <r>
    <s v="O2238"/>
    <x v="477"/>
    <s v="C055"/>
    <s v="P013"/>
    <n v="1"/>
    <x v="1234"/>
    <n v="0.1"/>
    <n v="83.93"/>
    <x v="0"/>
    <x v="2"/>
    <x v="0"/>
    <s v="Laptop"/>
    <x v="0"/>
  </r>
  <r>
    <s v="O2239"/>
    <x v="450"/>
    <s v="C004"/>
    <s v="P070"/>
    <n v="1"/>
    <x v="1235"/>
    <n v="0.3"/>
    <n v="24.01"/>
    <x v="2"/>
    <x v="2"/>
    <x v="2"/>
    <s v="Paper"/>
    <x v="0"/>
  </r>
  <r>
    <s v="O2240"/>
    <x v="73"/>
    <s v="C161"/>
    <s v="P073"/>
    <n v="1"/>
    <x v="1236"/>
    <n v="0.3"/>
    <n v="33.06"/>
    <x v="3"/>
    <x v="2"/>
    <x v="1"/>
    <s v="Table"/>
    <x v="0"/>
  </r>
  <r>
    <s v="O2241"/>
    <x v="158"/>
    <s v="C185"/>
    <s v="P028"/>
    <n v="5"/>
    <x v="1237"/>
    <n v="0.2"/>
    <n v="135.58000000000001"/>
    <x v="1"/>
    <x v="2"/>
    <x v="0"/>
    <s v="Laptop"/>
    <x v="0"/>
  </r>
  <r>
    <s v="O2242"/>
    <x v="81"/>
    <s v="C186"/>
    <s v="P024"/>
    <n v="3"/>
    <x v="1238"/>
    <n v="0"/>
    <n v="484.91"/>
    <x v="2"/>
    <x v="0"/>
    <x v="1"/>
    <s v="Desk"/>
    <x v="0"/>
  </r>
  <r>
    <s v="O2243"/>
    <x v="655"/>
    <s v="C186"/>
    <s v="P067"/>
    <n v="2"/>
    <x v="1239"/>
    <n v="0"/>
    <n v="86.3"/>
    <x v="2"/>
    <x v="0"/>
    <x v="2"/>
    <s v="Binder"/>
    <x v="0"/>
  </r>
  <r>
    <s v="O2244"/>
    <x v="78"/>
    <s v="C141"/>
    <s v="P058"/>
    <n v="1"/>
    <x v="1240"/>
    <n v="0.1"/>
    <n v="296.49"/>
    <x v="1"/>
    <x v="2"/>
    <x v="2"/>
    <s v="Paper"/>
    <x v="0"/>
  </r>
  <r>
    <s v="O2245"/>
    <x v="189"/>
    <s v="C026"/>
    <s v="P070"/>
    <n v="3"/>
    <x v="1241"/>
    <n v="0.2"/>
    <n v="121.6"/>
    <x v="1"/>
    <x v="2"/>
    <x v="2"/>
    <s v="Paper"/>
    <x v="0"/>
  </r>
  <r>
    <s v="O2246"/>
    <x v="474"/>
    <s v="C004"/>
    <s v="P045"/>
    <n v="3"/>
    <x v="1242"/>
    <n v="0.2"/>
    <n v="66.489999999999995"/>
    <x v="2"/>
    <x v="2"/>
    <x v="0"/>
    <s v="Tablet"/>
    <x v="0"/>
  </r>
  <r>
    <s v="O2247"/>
    <x v="656"/>
    <s v="C128"/>
    <s v="P022"/>
    <n v="2"/>
    <x v="1243"/>
    <n v="0.3"/>
    <n v="240.1"/>
    <x v="1"/>
    <x v="2"/>
    <x v="0"/>
    <s v="Tablet"/>
    <x v="0"/>
  </r>
  <r>
    <s v="O2248"/>
    <x v="256"/>
    <s v="C092"/>
    <s v="P014"/>
    <n v="5"/>
    <x v="1244"/>
    <n v="0.3"/>
    <n v="310.81"/>
    <x v="1"/>
    <x v="1"/>
    <x v="1"/>
    <s v="Shelf"/>
    <x v="0"/>
  </r>
  <r>
    <s v="O2249"/>
    <x v="657"/>
    <s v="C038"/>
    <s v="P005"/>
    <n v="4"/>
    <x v="1245"/>
    <n v="0.3"/>
    <n v="19.03"/>
    <x v="0"/>
    <x v="0"/>
    <x v="2"/>
    <s v="Paper"/>
    <x v="0"/>
  </r>
  <r>
    <s v="O2250"/>
    <x v="658"/>
    <s v="C085"/>
    <s v="P088"/>
    <n v="4"/>
    <x v="1246"/>
    <n v="0.1"/>
    <n v="128.38999999999999"/>
    <x v="2"/>
    <x v="0"/>
    <x v="0"/>
    <s v="Laptop"/>
    <x v="0"/>
  </r>
  <r>
    <s v="O2251"/>
    <x v="505"/>
    <s v="C191"/>
    <s v="P008"/>
    <n v="3"/>
    <x v="1247"/>
    <n v="0.1"/>
    <n v="28.55"/>
    <x v="2"/>
    <x v="2"/>
    <x v="0"/>
    <s v="Accessories"/>
    <x v="1"/>
  </r>
  <r>
    <s v="O2252"/>
    <x v="659"/>
    <s v="C032"/>
    <s v="P070"/>
    <n v="2"/>
    <x v="1248"/>
    <n v="0.3"/>
    <n v="303.14999999999998"/>
    <x v="3"/>
    <x v="1"/>
    <x v="2"/>
    <s v="Paper"/>
    <x v="0"/>
  </r>
  <r>
    <s v="O2253"/>
    <x v="418"/>
    <s v="C046"/>
    <s v="P009"/>
    <n v="4"/>
    <x v="1249"/>
    <n v="0.2"/>
    <n v="229.11"/>
    <x v="1"/>
    <x v="2"/>
    <x v="1"/>
    <s v="Chair"/>
    <x v="0"/>
  </r>
  <r>
    <s v="O2254"/>
    <x v="660"/>
    <s v="C158"/>
    <s v="P045"/>
    <n v="3"/>
    <x v="1250"/>
    <n v="0.1"/>
    <n v="82.59"/>
    <x v="3"/>
    <x v="0"/>
    <x v="0"/>
    <s v="Tablet"/>
    <x v="0"/>
  </r>
  <r>
    <s v="O2255"/>
    <x v="223"/>
    <s v="C158"/>
    <s v="P080"/>
    <n v="5"/>
    <x v="1251"/>
    <n v="0.2"/>
    <n v="102.53"/>
    <x v="3"/>
    <x v="0"/>
    <x v="2"/>
    <s v="Pen"/>
    <x v="0"/>
  </r>
  <r>
    <s v="O2256"/>
    <x v="229"/>
    <s v="C169"/>
    <s v="P016"/>
    <n v="4"/>
    <x v="1252"/>
    <n v="0.2"/>
    <n v="213.2"/>
    <x v="3"/>
    <x v="1"/>
    <x v="1"/>
    <s v="Chair"/>
    <x v="1"/>
  </r>
  <r>
    <s v="O2257"/>
    <x v="661"/>
    <s v="C063"/>
    <s v="P011"/>
    <n v="3"/>
    <x v="1253"/>
    <n v="0"/>
    <n v="367.3"/>
    <x v="0"/>
    <x v="0"/>
    <x v="0"/>
    <s v="Accessories"/>
    <x v="0"/>
  </r>
  <r>
    <s v="O2258"/>
    <x v="270"/>
    <s v="C181"/>
    <s v="P090"/>
    <n v="3"/>
    <x v="1254"/>
    <n v="0.3"/>
    <n v="539.82000000000005"/>
    <x v="2"/>
    <x v="1"/>
    <x v="0"/>
    <s v="Accessories"/>
    <x v="0"/>
  </r>
  <r>
    <s v="O2259"/>
    <x v="662"/>
    <s v="C091"/>
    <s v="P033"/>
    <n v="1"/>
    <x v="1255"/>
    <n v="0"/>
    <n v="28.31"/>
    <x v="3"/>
    <x v="1"/>
    <x v="1"/>
    <s v="Table"/>
    <x v="0"/>
  </r>
  <r>
    <s v="O2260"/>
    <x v="574"/>
    <s v="C152"/>
    <s v="P048"/>
    <n v="5"/>
    <x v="1256"/>
    <n v="0.3"/>
    <n v="310.85000000000002"/>
    <x v="1"/>
    <x v="1"/>
    <x v="1"/>
    <s v="Table"/>
    <x v="0"/>
  </r>
  <r>
    <s v="O2261"/>
    <x v="434"/>
    <s v="C068"/>
    <s v="P092"/>
    <n v="1"/>
    <x v="1257"/>
    <n v="0.3"/>
    <n v="167.31"/>
    <x v="0"/>
    <x v="1"/>
    <x v="0"/>
    <s v="Phone"/>
    <x v="0"/>
  </r>
  <r>
    <s v="O2262"/>
    <x v="294"/>
    <s v="C179"/>
    <s v="P067"/>
    <n v="2"/>
    <x v="1258"/>
    <n v="0.2"/>
    <n v="130.53"/>
    <x v="3"/>
    <x v="1"/>
    <x v="2"/>
    <s v="Binder"/>
    <x v="0"/>
  </r>
  <r>
    <s v="O2263"/>
    <x v="663"/>
    <s v="C128"/>
    <s v="P012"/>
    <n v="1"/>
    <x v="1259"/>
    <n v="0.3"/>
    <n v="131.97"/>
    <x v="1"/>
    <x v="2"/>
    <x v="0"/>
    <s v="Laptop"/>
    <x v="0"/>
  </r>
  <r>
    <s v="O2264"/>
    <x v="152"/>
    <s v="C013"/>
    <s v="P083"/>
    <n v="1"/>
    <x v="1260"/>
    <n v="0.2"/>
    <n v="135.41"/>
    <x v="2"/>
    <x v="0"/>
    <x v="2"/>
    <s v="Paper"/>
    <x v="1"/>
  </r>
  <r>
    <s v="O2265"/>
    <x v="664"/>
    <s v="C088"/>
    <s v="P099"/>
    <n v="4"/>
    <x v="1261"/>
    <n v="0.2"/>
    <n v="103.29"/>
    <x v="2"/>
    <x v="1"/>
    <x v="1"/>
    <s v="Desk"/>
    <x v="0"/>
  </r>
  <r>
    <s v="O2266"/>
    <x v="665"/>
    <s v="C081"/>
    <s v="P026"/>
    <n v="3"/>
    <x v="1262"/>
    <n v="0.3"/>
    <n v="321.13"/>
    <x v="2"/>
    <x v="0"/>
    <x v="0"/>
    <s v="Phone"/>
    <x v="0"/>
  </r>
  <r>
    <s v="O2267"/>
    <x v="574"/>
    <s v="C094"/>
    <s v="P034"/>
    <n v="5"/>
    <x v="1263"/>
    <n v="0.2"/>
    <n v="84.95"/>
    <x v="3"/>
    <x v="1"/>
    <x v="2"/>
    <s v="Storage"/>
    <x v="0"/>
  </r>
  <r>
    <s v="O2268"/>
    <x v="491"/>
    <s v="C099"/>
    <s v="P043"/>
    <n v="1"/>
    <x v="1264"/>
    <n v="0.2"/>
    <n v="164.23"/>
    <x v="0"/>
    <x v="1"/>
    <x v="1"/>
    <s v="Table"/>
    <x v="0"/>
  </r>
  <r>
    <s v="O2269"/>
    <x v="166"/>
    <s v="C087"/>
    <s v="P002"/>
    <n v="5"/>
    <x v="1265"/>
    <n v="0.2"/>
    <n v="135"/>
    <x v="0"/>
    <x v="1"/>
    <x v="1"/>
    <s v="Chair"/>
    <x v="0"/>
  </r>
  <r>
    <s v="O2270"/>
    <x v="257"/>
    <s v="C121"/>
    <s v="P042"/>
    <n v="1"/>
    <x v="1266"/>
    <n v="0.1"/>
    <n v="152.33000000000001"/>
    <x v="0"/>
    <x v="2"/>
    <x v="0"/>
    <s v="Tablet"/>
    <x v="1"/>
  </r>
  <r>
    <s v="O2271"/>
    <x v="666"/>
    <s v="C042"/>
    <s v="P092"/>
    <n v="2"/>
    <x v="1267"/>
    <n v="0.2"/>
    <n v="137.91"/>
    <x v="0"/>
    <x v="0"/>
    <x v="0"/>
    <s v="Phone"/>
    <x v="1"/>
  </r>
  <r>
    <s v="O2272"/>
    <x v="381"/>
    <s v="C015"/>
    <s v="P001"/>
    <n v="1"/>
    <x v="1268"/>
    <n v="0.1"/>
    <n v="122.13"/>
    <x v="3"/>
    <x v="1"/>
    <x v="2"/>
    <s v="Storage"/>
    <x v="0"/>
  </r>
  <r>
    <s v="O2273"/>
    <x v="314"/>
    <s v="C089"/>
    <s v="P030"/>
    <n v="4"/>
    <x v="1269"/>
    <n v="0.1"/>
    <n v="161.43"/>
    <x v="2"/>
    <x v="2"/>
    <x v="1"/>
    <s v="Shelf"/>
    <x v="0"/>
  </r>
  <r>
    <s v="O2274"/>
    <x v="205"/>
    <s v="C059"/>
    <s v="P062"/>
    <n v="3"/>
    <x v="1270"/>
    <n v="0.2"/>
    <n v="121.99"/>
    <x v="1"/>
    <x v="2"/>
    <x v="1"/>
    <s v="Shelf"/>
    <x v="0"/>
  </r>
  <r>
    <s v="O2275"/>
    <x v="667"/>
    <s v="C122"/>
    <s v="P070"/>
    <n v="2"/>
    <x v="1271"/>
    <n v="0.2"/>
    <n v="490.58"/>
    <x v="0"/>
    <x v="2"/>
    <x v="2"/>
    <s v="Paper"/>
    <x v="0"/>
  </r>
  <r>
    <s v="O2276"/>
    <x v="668"/>
    <s v="C140"/>
    <s v="P076"/>
    <n v="1"/>
    <x v="1272"/>
    <n v="0.1"/>
    <n v="44.51"/>
    <x v="1"/>
    <x v="2"/>
    <x v="1"/>
    <s v="Shelf"/>
    <x v="0"/>
  </r>
  <r>
    <s v="O2277"/>
    <x v="538"/>
    <s v="C169"/>
    <s v="P012"/>
    <n v="5"/>
    <x v="1273"/>
    <n v="0.1"/>
    <n v="255.34"/>
    <x v="3"/>
    <x v="1"/>
    <x v="0"/>
    <s v="Laptop"/>
    <x v="0"/>
  </r>
  <r>
    <s v="O2278"/>
    <x v="669"/>
    <s v="C126"/>
    <s v="P098"/>
    <n v="2"/>
    <x v="1274"/>
    <n v="0.2"/>
    <n v="44.67"/>
    <x v="0"/>
    <x v="2"/>
    <x v="1"/>
    <s v="Shelf"/>
    <x v="0"/>
  </r>
  <r>
    <s v="O2279"/>
    <x v="93"/>
    <s v="C026"/>
    <s v="P045"/>
    <n v="2"/>
    <x v="1275"/>
    <n v="0.2"/>
    <n v="9.07"/>
    <x v="1"/>
    <x v="2"/>
    <x v="0"/>
    <s v="Tablet"/>
    <x v="0"/>
  </r>
  <r>
    <s v="O2280"/>
    <x v="447"/>
    <s v="C071"/>
    <s v="P017"/>
    <n v="1"/>
    <x v="1276"/>
    <n v="0.3"/>
    <n v="9.26"/>
    <x v="0"/>
    <x v="1"/>
    <x v="2"/>
    <s v="Pen"/>
    <x v="1"/>
  </r>
  <r>
    <s v="O2281"/>
    <x v="670"/>
    <s v="C104"/>
    <s v="P045"/>
    <n v="2"/>
    <x v="1277"/>
    <n v="0.1"/>
    <n v="85.13"/>
    <x v="0"/>
    <x v="1"/>
    <x v="0"/>
    <s v="Tablet"/>
    <x v="1"/>
  </r>
  <r>
    <s v="O2282"/>
    <x v="108"/>
    <s v="C200"/>
    <s v="P086"/>
    <n v="5"/>
    <x v="1278"/>
    <n v="0.1"/>
    <n v="286.22000000000003"/>
    <x v="3"/>
    <x v="0"/>
    <x v="1"/>
    <s v="Shelf"/>
    <x v="1"/>
  </r>
  <r>
    <s v="O2283"/>
    <x v="156"/>
    <s v="C142"/>
    <s v="P078"/>
    <n v="2"/>
    <x v="1279"/>
    <n v="0.3"/>
    <n v="114.29"/>
    <x v="2"/>
    <x v="1"/>
    <x v="2"/>
    <s v="Storage"/>
    <x v="1"/>
  </r>
  <r>
    <s v="O2284"/>
    <x v="243"/>
    <s v="C135"/>
    <s v="P054"/>
    <n v="5"/>
    <x v="1280"/>
    <n v="0.1"/>
    <n v="98.85"/>
    <x v="1"/>
    <x v="2"/>
    <x v="1"/>
    <s v="Shelf"/>
    <x v="1"/>
  </r>
  <r>
    <s v="O2285"/>
    <x v="671"/>
    <s v="C073"/>
    <s v="P017"/>
    <n v="1"/>
    <x v="1281"/>
    <n v="0"/>
    <n v="187.6"/>
    <x v="2"/>
    <x v="1"/>
    <x v="2"/>
    <s v="Pen"/>
    <x v="0"/>
  </r>
  <r>
    <s v="O2286"/>
    <x v="416"/>
    <s v="C059"/>
    <s v="P010"/>
    <n v="3"/>
    <x v="1282"/>
    <n v="0.1"/>
    <n v="213.35"/>
    <x v="1"/>
    <x v="2"/>
    <x v="2"/>
    <s v="Paper"/>
    <x v="0"/>
  </r>
  <r>
    <s v="O2287"/>
    <x v="672"/>
    <s v="C057"/>
    <s v="P050"/>
    <n v="2"/>
    <x v="1283"/>
    <n v="0.3"/>
    <n v="193.16"/>
    <x v="0"/>
    <x v="0"/>
    <x v="2"/>
    <s v="Pen"/>
    <x v="0"/>
  </r>
  <r>
    <s v="O2288"/>
    <x v="641"/>
    <s v="C191"/>
    <s v="P099"/>
    <n v="3"/>
    <x v="1284"/>
    <n v="0"/>
    <n v="252.1"/>
    <x v="2"/>
    <x v="2"/>
    <x v="1"/>
    <s v="Desk"/>
    <x v="1"/>
  </r>
  <r>
    <s v="O2289"/>
    <x v="409"/>
    <s v="C108"/>
    <s v="P055"/>
    <n v="5"/>
    <x v="1285"/>
    <n v="0.2"/>
    <n v="166.89"/>
    <x v="2"/>
    <x v="0"/>
    <x v="2"/>
    <s v="Binder"/>
    <x v="0"/>
  </r>
  <r>
    <s v="O2290"/>
    <x v="670"/>
    <s v="C043"/>
    <s v="P077"/>
    <n v="2"/>
    <x v="1286"/>
    <n v="0.3"/>
    <n v="161.28"/>
    <x v="3"/>
    <x v="2"/>
    <x v="0"/>
    <s v="Accessories"/>
    <x v="0"/>
  </r>
  <r>
    <s v="O2291"/>
    <x v="20"/>
    <s v="C110"/>
    <s v="P041"/>
    <n v="4"/>
    <x v="1287"/>
    <n v="0.3"/>
    <n v="151.93"/>
    <x v="3"/>
    <x v="0"/>
    <x v="0"/>
    <s v="Tablet"/>
    <x v="1"/>
  </r>
  <r>
    <s v="O2292"/>
    <x v="673"/>
    <s v="C154"/>
    <s v="P035"/>
    <n v="3"/>
    <x v="1288"/>
    <n v="0.2"/>
    <n v="184.72"/>
    <x v="3"/>
    <x v="0"/>
    <x v="1"/>
    <s v="Chair"/>
    <x v="0"/>
  </r>
  <r>
    <s v="O2293"/>
    <x v="641"/>
    <s v="C192"/>
    <s v="P067"/>
    <n v="2"/>
    <x v="1289"/>
    <n v="0.3"/>
    <n v="207.25"/>
    <x v="1"/>
    <x v="0"/>
    <x v="2"/>
    <s v="Binder"/>
    <x v="1"/>
  </r>
  <r>
    <s v="O2294"/>
    <x v="674"/>
    <s v="C162"/>
    <s v="P064"/>
    <n v="3"/>
    <x v="1290"/>
    <n v="0.1"/>
    <n v="371.76"/>
    <x v="1"/>
    <x v="1"/>
    <x v="2"/>
    <s v="Binder"/>
    <x v="0"/>
  </r>
  <r>
    <s v="O2295"/>
    <x v="675"/>
    <s v="C145"/>
    <s v="P058"/>
    <n v="2"/>
    <x v="1291"/>
    <n v="0.2"/>
    <n v="230.95"/>
    <x v="1"/>
    <x v="2"/>
    <x v="2"/>
    <s v="Paper"/>
    <x v="0"/>
  </r>
  <r>
    <s v="O2296"/>
    <x v="104"/>
    <s v="C068"/>
    <s v="P011"/>
    <n v="1"/>
    <x v="1292"/>
    <n v="0.3"/>
    <n v="243.59"/>
    <x v="0"/>
    <x v="1"/>
    <x v="0"/>
    <s v="Accessories"/>
    <x v="0"/>
  </r>
  <r>
    <s v="O2297"/>
    <x v="676"/>
    <s v="C191"/>
    <s v="P021"/>
    <n v="3"/>
    <x v="1293"/>
    <n v="0.2"/>
    <n v="115.15"/>
    <x v="2"/>
    <x v="2"/>
    <x v="1"/>
    <s v="Desk"/>
    <x v="0"/>
  </r>
  <r>
    <s v="O2298"/>
    <x v="677"/>
    <s v="C126"/>
    <s v="P061"/>
    <n v="4"/>
    <x v="1294"/>
    <n v="0.2"/>
    <n v="278.83999999999997"/>
    <x v="0"/>
    <x v="2"/>
    <x v="2"/>
    <s v="Pen"/>
    <x v="0"/>
  </r>
  <r>
    <s v="O2299"/>
    <x v="678"/>
    <s v="C017"/>
    <s v="P017"/>
    <n v="4"/>
    <x v="1295"/>
    <n v="0.2"/>
    <n v="106.24"/>
    <x v="3"/>
    <x v="0"/>
    <x v="2"/>
    <s v="Pen"/>
    <x v="0"/>
  </r>
  <r>
    <s v="O2300"/>
    <x v="12"/>
    <s v="C164"/>
    <s v="P041"/>
    <n v="5"/>
    <x v="1296"/>
    <n v="0"/>
    <n v="198.18"/>
    <x v="2"/>
    <x v="2"/>
    <x v="0"/>
    <s v="Tablet"/>
    <x v="0"/>
  </r>
  <r>
    <s v="O2301"/>
    <x v="234"/>
    <s v="C054"/>
    <s v="P020"/>
    <n v="2"/>
    <x v="1297"/>
    <n v="0.3"/>
    <n v="78.02"/>
    <x v="3"/>
    <x v="0"/>
    <x v="2"/>
    <s v="Pen"/>
    <x v="1"/>
  </r>
  <r>
    <s v="O2302"/>
    <x v="679"/>
    <s v="C155"/>
    <s v="P017"/>
    <n v="3"/>
    <x v="1298"/>
    <n v="0"/>
    <n v="73.77"/>
    <x v="1"/>
    <x v="1"/>
    <x v="2"/>
    <s v="Pen"/>
    <x v="1"/>
  </r>
  <r>
    <s v="O2303"/>
    <x v="507"/>
    <s v="C087"/>
    <s v="P053"/>
    <n v="5"/>
    <x v="1299"/>
    <n v="0.3"/>
    <n v="356.47"/>
    <x v="0"/>
    <x v="1"/>
    <x v="0"/>
    <s v="Accessories"/>
    <x v="0"/>
  </r>
  <r>
    <s v="O2304"/>
    <x v="231"/>
    <s v="C180"/>
    <s v="P019"/>
    <n v="3"/>
    <x v="1300"/>
    <n v="0.1"/>
    <n v="68.930000000000007"/>
    <x v="3"/>
    <x v="1"/>
    <x v="0"/>
    <s v="Phone"/>
    <x v="0"/>
  </r>
  <r>
    <s v="O2305"/>
    <x v="680"/>
    <s v="C177"/>
    <s v="P053"/>
    <n v="2"/>
    <x v="1301"/>
    <n v="0.1"/>
    <n v="70.3"/>
    <x v="0"/>
    <x v="0"/>
    <x v="0"/>
    <s v="Accessories"/>
    <x v="0"/>
  </r>
  <r>
    <s v="O2306"/>
    <x v="605"/>
    <s v="C198"/>
    <s v="P012"/>
    <n v="4"/>
    <x v="1302"/>
    <n v="0.1"/>
    <n v="39.299999999999997"/>
    <x v="0"/>
    <x v="1"/>
    <x v="0"/>
    <s v="Laptop"/>
    <x v="1"/>
  </r>
  <r>
    <s v="O2307"/>
    <x v="549"/>
    <s v="C031"/>
    <s v="P039"/>
    <n v="1"/>
    <x v="1303"/>
    <n v="0.3"/>
    <n v="323.64999999999998"/>
    <x v="2"/>
    <x v="1"/>
    <x v="2"/>
    <s v="Pen"/>
    <x v="0"/>
  </r>
  <r>
    <s v="O2308"/>
    <x v="52"/>
    <s v="C103"/>
    <s v="P089"/>
    <n v="4"/>
    <x v="1304"/>
    <n v="0.2"/>
    <n v="203.55"/>
    <x v="3"/>
    <x v="1"/>
    <x v="0"/>
    <s v="Phone"/>
    <x v="0"/>
  </r>
  <r>
    <s v="O2309"/>
    <x v="2"/>
    <s v="C021"/>
    <s v="P053"/>
    <n v="5"/>
    <x v="1305"/>
    <n v="0.2"/>
    <n v="245.09"/>
    <x v="3"/>
    <x v="2"/>
    <x v="0"/>
    <s v="Accessories"/>
    <x v="0"/>
  </r>
  <r>
    <s v="O2310"/>
    <x v="681"/>
    <s v="C183"/>
    <s v="P087"/>
    <n v="1"/>
    <x v="1306"/>
    <n v="0"/>
    <n v="410.5"/>
    <x v="1"/>
    <x v="1"/>
    <x v="0"/>
    <s v="Phone"/>
    <x v="0"/>
  </r>
  <r>
    <s v="O2311"/>
    <x v="86"/>
    <s v="C128"/>
    <s v="P038"/>
    <n v="5"/>
    <x v="1307"/>
    <n v="0"/>
    <n v="274.79000000000002"/>
    <x v="1"/>
    <x v="2"/>
    <x v="0"/>
    <s v="Accessories"/>
    <x v="0"/>
  </r>
  <r>
    <s v="O2312"/>
    <x v="655"/>
    <s v="C032"/>
    <s v="P058"/>
    <n v="2"/>
    <x v="1308"/>
    <n v="0.1"/>
    <n v="167.93"/>
    <x v="3"/>
    <x v="1"/>
    <x v="2"/>
    <s v="Paper"/>
    <x v="1"/>
  </r>
  <r>
    <s v="O2313"/>
    <x v="681"/>
    <s v="C028"/>
    <s v="P095"/>
    <n v="1"/>
    <x v="1309"/>
    <n v="0"/>
    <n v="278.69"/>
    <x v="2"/>
    <x v="1"/>
    <x v="0"/>
    <s v="Phone"/>
    <x v="0"/>
  </r>
  <r>
    <s v="O2314"/>
    <x v="499"/>
    <s v="C033"/>
    <s v="P082"/>
    <n v="5"/>
    <x v="1310"/>
    <n v="0.3"/>
    <n v="270.91000000000003"/>
    <x v="2"/>
    <x v="0"/>
    <x v="0"/>
    <s v="Accessories"/>
    <x v="0"/>
  </r>
  <r>
    <s v="O2315"/>
    <x v="682"/>
    <s v="C091"/>
    <s v="P014"/>
    <n v="2"/>
    <x v="1311"/>
    <n v="0.3"/>
    <n v="131.80000000000001"/>
    <x v="3"/>
    <x v="1"/>
    <x v="1"/>
    <s v="Shelf"/>
    <x v="0"/>
  </r>
  <r>
    <s v="O2316"/>
    <x v="93"/>
    <s v="C126"/>
    <s v="P055"/>
    <n v="4"/>
    <x v="1312"/>
    <n v="0"/>
    <n v="64.41"/>
    <x v="0"/>
    <x v="2"/>
    <x v="2"/>
    <s v="Binder"/>
    <x v="0"/>
  </r>
  <r>
    <s v="O2317"/>
    <x v="683"/>
    <s v="C071"/>
    <s v="P094"/>
    <n v="2"/>
    <x v="1313"/>
    <n v="0"/>
    <n v="196.63"/>
    <x v="0"/>
    <x v="1"/>
    <x v="1"/>
    <s v="Table"/>
    <x v="0"/>
  </r>
  <r>
    <s v="O2318"/>
    <x v="223"/>
    <s v="C152"/>
    <s v="P004"/>
    <n v="3"/>
    <x v="1314"/>
    <n v="0"/>
    <n v="313.35000000000002"/>
    <x v="1"/>
    <x v="1"/>
    <x v="0"/>
    <s v="Laptop"/>
    <x v="0"/>
  </r>
  <r>
    <s v="O2319"/>
    <x v="302"/>
    <s v="C017"/>
    <s v="P038"/>
    <n v="2"/>
    <x v="1315"/>
    <n v="0"/>
    <n v="85.22"/>
    <x v="3"/>
    <x v="0"/>
    <x v="0"/>
    <s v="Accessories"/>
    <x v="0"/>
  </r>
  <r>
    <s v="O2320"/>
    <x v="678"/>
    <s v="C026"/>
    <s v="P042"/>
    <n v="2"/>
    <x v="1316"/>
    <n v="0.1"/>
    <n v="261.54000000000002"/>
    <x v="1"/>
    <x v="2"/>
    <x v="0"/>
    <s v="Tablet"/>
    <x v="0"/>
  </r>
  <r>
    <s v="O2321"/>
    <x v="229"/>
    <s v="C099"/>
    <s v="P100"/>
    <n v="3"/>
    <x v="1317"/>
    <n v="0.1"/>
    <n v="31.41"/>
    <x v="0"/>
    <x v="1"/>
    <x v="0"/>
    <s v="Phone"/>
    <x v="0"/>
  </r>
  <r>
    <s v="O2322"/>
    <x v="684"/>
    <s v="C098"/>
    <s v="P098"/>
    <n v="5"/>
    <x v="1318"/>
    <n v="0"/>
    <n v="71.290000000000006"/>
    <x v="3"/>
    <x v="0"/>
    <x v="1"/>
    <s v="Shelf"/>
    <x v="0"/>
  </r>
  <r>
    <s v="O2323"/>
    <x v="528"/>
    <s v="C018"/>
    <s v="P052"/>
    <n v="5"/>
    <x v="1319"/>
    <n v="0.3"/>
    <n v="288.73"/>
    <x v="2"/>
    <x v="0"/>
    <x v="1"/>
    <s v="Chair"/>
    <x v="0"/>
  </r>
  <r>
    <s v="O2324"/>
    <x v="670"/>
    <s v="C006"/>
    <s v="P059"/>
    <n v="2"/>
    <x v="1320"/>
    <n v="0.1"/>
    <n v="8.24"/>
    <x v="3"/>
    <x v="0"/>
    <x v="1"/>
    <s v="Table"/>
    <x v="0"/>
  </r>
  <r>
    <s v="O2325"/>
    <x v="453"/>
    <s v="C039"/>
    <s v="P079"/>
    <n v="3"/>
    <x v="1321"/>
    <n v="0.3"/>
    <n v="128.33000000000001"/>
    <x v="2"/>
    <x v="0"/>
    <x v="1"/>
    <s v="Chair"/>
    <x v="0"/>
  </r>
  <r>
    <s v="O2326"/>
    <x v="283"/>
    <s v="C161"/>
    <s v="P028"/>
    <n v="3"/>
    <x v="1322"/>
    <n v="0.2"/>
    <n v="81.72"/>
    <x v="3"/>
    <x v="2"/>
    <x v="0"/>
    <s v="Laptop"/>
    <x v="1"/>
  </r>
  <r>
    <s v="O2327"/>
    <x v="685"/>
    <s v="C192"/>
    <s v="P069"/>
    <n v="4"/>
    <x v="1323"/>
    <n v="0.3"/>
    <n v="41.93"/>
    <x v="1"/>
    <x v="0"/>
    <x v="2"/>
    <s v="Pen"/>
    <x v="0"/>
  </r>
  <r>
    <s v="O2328"/>
    <x v="418"/>
    <s v="C178"/>
    <s v="P098"/>
    <n v="5"/>
    <x v="1324"/>
    <n v="0"/>
    <n v="315.17"/>
    <x v="2"/>
    <x v="0"/>
    <x v="1"/>
    <s v="Shelf"/>
    <x v="1"/>
  </r>
  <r>
    <s v="O2329"/>
    <x v="20"/>
    <s v="C145"/>
    <s v="P096"/>
    <n v="1"/>
    <x v="1325"/>
    <n v="0.2"/>
    <n v="129.49"/>
    <x v="1"/>
    <x v="2"/>
    <x v="0"/>
    <s v="Laptop"/>
    <x v="0"/>
  </r>
  <r>
    <s v="O2330"/>
    <x v="153"/>
    <s v="C016"/>
    <s v="P071"/>
    <n v="5"/>
    <x v="1326"/>
    <n v="0.1"/>
    <n v="71.27"/>
    <x v="0"/>
    <x v="2"/>
    <x v="0"/>
    <s v="Laptop"/>
    <x v="0"/>
  </r>
  <r>
    <s v="O2331"/>
    <x v="175"/>
    <s v="C155"/>
    <s v="P022"/>
    <n v="5"/>
    <x v="1327"/>
    <n v="0.1"/>
    <n v="61.75"/>
    <x v="1"/>
    <x v="1"/>
    <x v="0"/>
    <s v="Tablet"/>
    <x v="0"/>
  </r>
  <r>
    <s v="O2332"/>
    <x v="358"/>
    <s v="C090"/>
    <s v="P054"/>
    <n v="4"/>
    <x v="1328"/>
    <n v="0.2"/>
    <n v="81.52"/>
    <x v="2"/>
    <x v="2"/>
    <x v="1"/>
    <s v="Shelf"/>
    <x v="0"/>
  </r>
  <r>
    <s v="O2333"/>
    <x v="686"/>
    <s v="C051"/>
    <s v="P038"/>
    <n v="1"/>
    <x v="1329"/>
    <n v="0.3"/>
    <n v="28.95"/>
    <x v="0"/>
    <x v="1"/>
    <x v="0"/>
    <s v="Accessories"/>
    <x v="0"/>
  </r>
  <r>
    <s v="O2334"/>
    <x v="687"/>
    <s v="C123"/>
    <s v="P037"/>
    <n v="4"/>
    <x v="1330"/>
    <n v="0.1"/>
    <n v="338.17"/>
    <x v="2"/>
    <x v="0"/>
    <x v="2"/>
    <s v="Storage"/>
    <x v="0"/>
  </r>
  <r>
    <s v="O2335"/>
    <x v="688"/>
    <s v="C035"/>
    <s v="P020"/>
    <n v="1"/>
    <x v="1331"/>
    <n v="0"/>
    <n v="299.72000000000003"/>
    <x v="1"/>
    <x v="1"/>
    <x v="2"/>
    <s v="Pen"/>
    <x v="1"/>
  </r>
  <r>
    <s v="O2336"/>
    <x v="460"/>
    <s v="C076"/>
    <s v="P067"/>
    <n v="2"/>
    <x v="1332"/>
    <n v="0.2"/>
    <n v="94.35"/>
    <x v="2"/>
    <x v="1"/>
    <x v="2"/>
    <s v="Binder"/>
    <x v="1"/>
  </r>
  <r>
    <s v="O2337"/>
    <x v="402"/>
    <s v="C160"/>
    <s v="P031"/>
    <n v="1"/>
    <x v="1333"/>
    <n v="0"/>
    <n v="96.62"/>
    <x v="2"/>
    <x v="0"/>
    <x v="2"/>
    <s v="Storage"/>
    <x v="0"/>
  </r>
  <r>
    <s v="O2338"/>
    <x v="689"/>
    <s v="C194"/>
    <s v="P073"/>
    <n v="4"/>
    <x v="1334"/>
    <n v="0.2"/>
    <n v="447.06"/>
    <x v="0"/>
    <x v="1"/>
    <x v="1"/>
    <s v="Table"/>
    <x v="0"/>
  </r>
  <r>
    <s v="O2339"/>
    <x v="94"/>
    <s v="C009"/>
    <s v="P031"/>
    <n v="5"/>
    <x v="1335"/>
    <n v="0.1"/>
    <n v="370.82"/>
    <x v="0"/>
    <x v="2"/>
    <x v="2"/>
    <s v="Storage"/>
    <x v="1"/>
  </r>
  <r>
    <s v="O2340"/>
    <x v="634"/>
    <s v="C115"/>
    <s v="P003"/>
    <n v="1"/>
    <x v="1336"/>
    <n v="0.3"/>
    <n v="109.58"/>
    <x v="1"/>
    <x v="1"/>
    <x v="2"/>
    <s v="Pen"/>
    <x v="1"/>
  </r>
  <r>
    <s v="O2341"/>
    <x v="199"/>
    <s v="C005"/>
    <s v="P079"/>
    <n v="1"/>
    <x v="1337"/>
    <n v="0.2"/>
    <n v="132.72"/>
    <x v="1"/>
    <x v="0"/>
    <x v="1"/>
    <s v="Chair"/>
    <x v="0"/>
  </r>
  <r>
    <s v="O2342"/>
    <x v="218"/>
    <s v="C155"/>
    <s v="P066"/>
    <n v="3"/>
    <x v="1338"/>
    <n v="0.2"/>
    <n v="55.56"/>
    <x v="1"/>
    <x v="1"/>
    <x v="1"/>
    <s v="Desk"/>
    <x v="0"/>
  </r>
  <r>
    <s v="O2343"/>
    <x v="538"/>
    <s v="C125"/>
    <s v="P100"/>
    <n v="5"/>
    <x v="1339"/>
    <n v="0"/>
    <n v="423.78"/>
    <x v="0"/>
    <x v="2"/>
    <x v="0"/>
    <s v="Phone"/>
    <x v="0"/>
  </r>
  <r>
    <s v="O2344"/>
    <x v="445"/>
    <s v="C164"/>
    <s v="P070"/>
    <n v="2"/>
    <x v="1340"/>
    <n v="0.1"/>
    <n v="154.77000000000001"/>
    <x v="2"/>
    <x v="2"/>
    <x v="2"/>
    <s v="Paper"/>
    <x v="1"/>
  </r>
  <r>
    <s v="O2345"/>
    <x v="514"/>
    <s v="C119"/>
    <s v="P018"/>
    <n v="4"/>
    <x v="1341"/>
    <n v="0"/>
    <n v="94.36"/>
    <x v="3"/>
    <x v="1"/>
    <x v="2"/>
    <s v="Storage"/>
    <x v="1"/>
  </r>
  <r>
    <s v="O2346"/>
    <x v="402"/>
    <s v="C120"/>
    <s v="P096"/>
    <n v="2"/>
    <x v="1342"/>
    <n v="0.1"/>
    <n v="89.62"/>
    <x v="1"/>
    <x v="0"/>
    <x v="0"/>
    <s v="Laptop"/>
    <x v="0"/>
  </r>
  <r>
    <s v="O2347"/>
    <x v="369"/>
    <s v="C118"/>
    <s v="P080"/>
    <n v="5"/>
    <x v="1343"/>
    <n v="0"/>
    <n v="416.04"/>
    <x v="3"/>
    <x v="0"/>
    <x v="2"/>
    <s v="Pen"/>
    <x v="0"/>
  </r>
  <r>
    <s v="O2348"/>
    <x v="690"/>
    <s v="C106"/>
    <s v="P098"/>
    <n v="1"/>
    <x v="1344"/>
    <n v="0.2"/>
    <n v="398.72"/>
    <x v="0"/>
    <x v="1"/>
    <x v="1"/>
    <s v="Shelf"/>
    <x v="0"/>
  </r>
  <r>
    <s v="O2349"/>
    <x v="41"/>
    <s v="C091"/>
    <s v="P011"/>
    <n v="1"/>
    <x v="1345"/>
    <n v="0"/>
    <n v="430.43"/>
    <x v="3"/>
    <x v="1"/>
    <x v="0"/>
    <s v="Accessories"/>
    <x v="0"/>
  </r>
  <r>
    <s v="O2350"/>
    <x v="89"/>
    <s v="C094"/>
    <s v="P027"/>
    <n v="5"/>
    <x v="1346"/>
    <n v="0.3"/>
    <n v="312.17"/>
    <x v="3"/>
    <x v="1"/>
    <x v="2"/>
    <s v="Storage"/>
    <x v="0"/>
  </r>
  <r>
    <s v="O2351"/>
    <x v="691"/>
    <s v="C015"/>
    <s v="P084"/>
    <n v="1"/>
    <x v="1347"/>
    <n v="0.1"/>
    <n v="231.35"/>
    <x v="3"/>
    <x v="1"/>
    <x v="2"/>
    <s v="Paper"/>
    <x v="1"/>
  </r>
  <r>
    <s v="O2352"/>
    <x v="84"/>
    <s v="C165"/>
    <s v="P064"/>
    <n v="1"/>
    <x v="1348"/>
    <n v="0.1"/>
    <n v="85.14"/>
    <x v="3"/>
    <x v="2"/>
    <x v="2"/>
    <s v="Binder"/>
    <x v="0"/>
  </r>
  <r>
    <s v="O2353"/>
    <x v="692"/>
    <s v="C158"/>
    <s v="P088"/>
    <n v="1"/>
    <x v="1349"/>
    <n v="0.2"/>
    <n v="179.97"/>
    <x v="3"/>
    <x v="0"/>
    <x v="0"/>
    <s v="Laptop"/>
    <x v="0"/>
  </r>
  <r>
    <s v="O2354"/>
    <x v="391"/>
    <s v="C141"/>
    <s v="P063"/>
    <n v="4"/>
    <x v="1350"/>
    <n v="0.1"/>
    <n v="27.91"/>
    <x v="1"/>
    <x v="2"/>
    <x v="2"/>
    <s v="Pen"/>
    <x v="0"/>
  </r>
  <r>
    <s v="O2355"/>
    <x v="608"/>
    <s v="C116"/>
    <s v="P082"/>
    <n v="4"/>
    <x v="1351"/>
    <n v="0.3"/>
    <n v="336.96"/>
    <x v="2"/>
    <x v="0"/>
    <x v="0"/>
    <s v="Accessories"/>
    <x v="0"/>
  </r>
  <r>
    <s v="O2356"/>
    <x v="526"/>
    <s v="C168"/>
    <s v="P091"/>
    <n v="3"/>
    <x v="1352"/>
    <n v="0"/>
    <n v="213.32"/>
    <x v="3"/>
    <x v="0"/>
    <x v="1"/>
    <s v="Shelf"/>
    <x v="0"/>
  </r>
  <r>
    <s v="O2357"/>
    <x v="162"/>
    <s v="C020"/>
    <s v="P018"/>
    <n v="2"/>
    <x v="1353"/>
    <n v="0.2"/>
    <n v="97.44"/>
    <x v="0"/>
    <x v="1"/>
    <x v="2"/>
    <s v="Storage"/>
    <x v="1"/>
  </r>
  <r>
    <s v="O2358"/>
    <x v="639"/>
    <s v="C090"/>
    <s v="P026"/>
    <n v="5"/>
    <x v="1354"/>
    <n v="0.3"/>
    <n v="350.17"/>
    <x v="2"/>
    <x v="2"/>
    <x v="0"/>
    <s v="Phone"/>
    <x v="0"/>
  </r>
  <r>
    <s v="O2359"/>
    <x v="693"/>
    <s v="C013"/>
    <s v="P075"/>
    <n v="5"/>
    <x v="1355"/>
    <n v="0.1"/>
    <n v="124.57"/>
    <x v="2"/>
    <x v="0"/>
    <x v="2"/>
    <s v="Pen"/>
    <x v="0"/>
  </r>
  <r>
    <s v="O2360"/>
    <x v="436"/>
    <s v="C169"/>
    <s v="P077"/>
    <n v="5"/>
    <x v="1356"/>
    <n v="0.1"/>
    <n v="209.54"/>
    <x v="3"/>
    <x v="1"/>
    <x v="0"/>
    <s v="Accessories"/>
    <x v="0"/>
  </r>
  <r>
    <s v="O2361"/>
    <x v="462"/>
    <s v="C063"/>
    <s v="P038"/>
    <n v="3"/>
    <x v="1357"/>
    <n v="0.3"/>
    <n v="21.73"/>
    <x v="0"/>
    <x v="0"/>
    <x v="0"/>
    <s v="Accessories"/>
    <x v="0"/>
  </r>
  <r>
    <s v="O2362"/>
    <x v="363"/>
    <s v="C140"/>
    <s v="P012"/>
    <n v="4"/>
    <x v="1358"/>
    <n v="0"/>
    <n v="92.3"/>
    <x v="1"/>
    <x v="2"/>
    <x v="0"/>
    <s v="Laptop"/>
    <x v="0"/>
  </r>
  <r>
    <s v="O2363"/>
    <x v="315"/>
    <s v="C032"/>
    <s v="P041"/>
    <n v="3"/>
    <x v="1359"/>
    <n v="0"/>
    <n v="134.96"/>
    <x v="3"/>
    <x v="1"/>
    <x v="0"/>
    <s v="Tablet"/>
    <x v="0"/>
  </r>
  <r>
    <s v="O2364"/>
    <x v="314"/>
    <s v="C047"/>
    <s v="P069"/>
    <n v="5"/>
    <x v="1360"/>
    <n v="0.2"/>
    <n v="36.43"/>
    <x v="0"/>
    <x v="0"/>
    <x v="2"/>
    <s v="Pen"/>
    <x v="0"/>
  </r>
  <r>
    <s v="O2365"/>
    <x v="197"/>
    <s v="C019"/>
    <s v="P032"/>
    <n v="2"/>
    <x v="1361"/>
    <n v="0.1"/>
    <n v="393.28"/>
    <x v="2"/>
    <x v="0"/>
    <x v="2"/>
    <s v="Paper"/>
    <x v="1"/>
  </r>
  <r>
    <s v="O2366"/>
    <x v="192"/>
    <s v="C114"/>
    <s v="P017"/>
    <n v="1"/>
    <x v="1362"/>
    <n v="0.3"/>
    <n v="449.37"/>
    <x v="3"/>
    <x v="1"/>
    <x v="2"/>
    <s v="Pen"/>
    <x v="0"/>
  </r>
  <r>
    <s v="O2367"/>
    <x v="378"/>
    <s v="C115"/>
    <s v="P019"/>
    <n v="4"/>
    <x v="1363"/>
    <n v="0"/>
    <n v="39.909999999999997"/>
    <x v="1"/>
    <x v="1"/>
    <x v="0"/>
    <s v="Phone"/>
    <x v="1"/>
  </r>
  <r>
    <s v="O2368"/>
    <x v="694"/>
    <s v="C125"/>
    <s v="P011"/>
    <n v="4"/>
    <x v="1364"/>
    <n v="0.2"/>
    <n v="144.9"/>
    <x v="0"/>
    <x v="2"/>
    <x v="0"/>
    <s v="Accessories"/>
    <x v="0"/>
  </r>
  <r>
    <s v="O2369"/>
    <x v="695"/>
    <s v="C187"/>
    <s v="P075"/>
    <n v="3"/>
    <x v="1365"/>
    <n v="0.1"/>
    <n v="55.24"/>
    <x v="2"/>
    <x v="2"/>
    <x v="2"/>
    <s v="Pen"/>
    <x v="0"/>
  </r>
  <r>
    <s v="O2370"/>
    <x v="277"/>
    <s v="C195"/>
    <s v="P054"/>
    <n v="4"/>
    <x v="1366"/>
    <n v="0.1"/>
    <n v="176.41"/>
    <x v="1"/>
    <x v="2"/>
    <x v="1"/>
    <s v="Shelf"/>
    <x v="0"/>
  </r>
  <r>
    <s v="O2371"/>
    <x v="239"/>
    <s v="C001"/>
    <s v="P039"/>
    <n v="5"/>
    <x v="1367"/>
    <n v="0.2"/>
    <n v="480.05"/>
    <x v="3"/>
    <x v="0"/>
    <x v="2"/>
    <s v="Pen"/>
    <x v="0"/>
  </r>
  <r>
    <s v="O2372"/>
    <x v="5"/>
    <s v="C072"/>
    <s v="P084"/>
    <n v="5"/>
    <x v="1368"/>
    <n v="0.2"/>
    <n v="144.9"/>
    <x v="3"/>
    <x v="2"/>
    <x v="2"/>
    <s v="Paper"/>
    <x v="0"/>
  </r>
  <r>
    <s v="O2373"/>
    <x v="593"/>
    <s v="C042"/>
    <s v="P074"/>
    <n v="3"/>
    <x v="1369"/>
    <n v="0"/>
    <n v="128.1"/>
    <x v="0"/>
    <x v="0"/>
    <x v="1"/>
    <s v="Table"/>
    <x v="1"/>
  </r>
  <r>
    <s v="O2374"/>
    <x v="434"/>
    <s v="C087"/>
    <s v="P014"/>
    <n v="5"/>
    <x v="1370"/>
    <n v="0.3"/>
    <n v="360.69"/>
    <x v="0"/>
    <x v="1"/>
    <x v="1"/>
    <s v="Shelf"/>
    <x v="0"/>
  </r>
  <r>
    <s v="O2375"/>
    <x v="10"/>
    <s v="C190"/>
    <s v="P051"/>
    <n v="2"/>
    <x v="1371"/>
    <n v="0.1"/>
    <n v="199.43"/>
    <x v="0"/>
    <x v="2"/>
    <x v="0"/>
    <s v="Tablet"/>
    <x v="1"/>
  </r>
  <r>
    <s v="O2376"/>
    <x v="550"/>
    <s v="C138"/>
    <s v="P086"/>
    <n v="3"/>
    <x v="1372"/>
    <n v="0.3"/>
    <n v="113.24"/>
    <x v="0"/>
    <x v="1"/>
    <x v="1"/>
    <s v="Shelf"/>
    <x v="0"/>
  </r>
  <r>
    <s v="O2377"/>
    <x v="230"/>
    <s v="C147"/>
    <s v="P100"/>
    <n v="2"/>
    <x v="1373"/>
    <n v="0.1"/>
    <n v="291.95"/>
    <x v="3"/>
    <x v="2"/>
    <x v="0"/>
    <s v="Phone"/>
    <x v="0"/>
  </r>
  <r>
    <s v="O2378"/>
    <x v="696"/>
    <s v="C056"/>
    <s v="P038"/>
    <n v="1"/>
    <x v="1374"/>
    <n v="0.1"/>
    <n v="188.94"/>
    <x v="1"/>
    <x v="2"/>
    <x v="0"/>
    <s v="Accessories"/>
    <x v="0"/>
  </r>
  <r>
    <s v="O2379"/>
    <x v="251"/>
    <s v="C185"/>
    <s v="P054"/>
    <n v="2"/>
    <x v="1375"/>
    <n v="0.3"/>
    <n v="247"/>
    <x v="1"/>
    <x v="2"/>
    <x v="1"/>
    <s v="Shelf"/>
    <x v="0"/>
  </r>
  <r>
    <s v="O2380"/>
    <x v="678"/>
    <s v="C175"/>
    <s v="P005"/>
    <n v="1"/>
    <x v="1376"/>
    <n v="0.2"/>
    <n v="150.49"/>
    <x v="0"/>
    <x v="0"/>
    <x v="2"/>
    <s v="Paper"/>
    <x v="1"/>
  </r>
  <r>
    <s v="O2381"/>
    <x v="527"/>
    <s v="C142"/>
    <s v="P090"/>
    <n v="1"/>
    <x v="1377"/>
    <n v="0"/>
    <n v="412.82"/>
    <x v="2"/>
    <x v="1"/>
    <x v="0"/>
    <s v="Accessories"/>
    <x v="1"/>
  </r>
  <r>
    <s v="O2382"/>
    <x v="251"/>
    <s v="C021"/>
    <s v="P083"/>
    <n v="2"/>
    <x v="1378"/>
    <n v="0.1"/>
    <n v="70.69"/>
    <x v="3"/>
    <x v="2"/>
    <x v="2"/>
    <s v="Paper"/>
    <x v="0"/>
  </r>
  <r>
    <s v="O2383"/>
    <x v="697"/>
    <s v="C119"/>
    <s v="P096"/>
    <n v="3"/>
    <x v="1379"/>
    <n v="0.2"/>
    <n v="216.85"/>
    <x v="3"/>
    <x v="1"/>
    <x v="0"/>
    <s v="Laptop"/>
    <x v="0"/>
  </r>
  <r>
    <s v="O2384"/>
    <x v="698"/>
    <s v="C069"/>
    <s v="P077"/>
    <n v="5"/>
    <x v="1380"/>
    <n v="0.1"/>
    <n v="111.84"/>
    <x v="0"/>
    <x v="0"/>
    <x v="0"/>
    <s v="Accessories"/>
    <x v="1"/>
  </r>
  <r>
    <s v="O2385"/>
    <x v="112"/>
    <s v="C028"/>
    <s v="P072"/>
    <n v="5"/>
    <x v="1381"/>
    <n v="0"/>
    <n v="476.01"/>
    <x v="2"/>
    <x v="1"/>
    <x v="1"/>
    <s v="Chair"/>
    <x v="0"/>
  </r>
  <r>
    <s v="O2386"/>
    <x v="280"/>
    <s v="C180"/>
    <s v="P046"/>
    <n v="1"/>
    <x v="1382"/>
    <n v="0.1"/>
    <n v="295.33999999999997"/>
    <x v="3"/>
    <x v="1"/>
    <x v="1"/>
    <s v="Chair"/>
    <x v="0"/>
  </r>
  <r>
    <s v="O2387"/>
    <x v="331"/>
    <s v="C035"/>
    <s v="P013"/>
    <n v="1"/>
    <x v="1383"/>
    <n v="0"/>
    <n v="392.98"/>
    <x v="1"/>
    <x v="1"/>
    <x v="0"/>
    <s v="Laptop"/>
    <x v="1"/>
  </r>
  <r>
    <s v="O2388"/>
    <x v="390"/>
    <s v="C092"/>
    <s v="P020"/>
    <n v="3"/>
    <x v="1384"/>
    <n v="0"/>
    <n v="410.26"/>
    <x v="1"/>
    <x v="1"/>
    <x v="2"/>
    <s v="Pen"/>
    <x v="0"/>
  </r>
  <r>
    <s v="O2389"/>
    <x v="699"/>
    <s v="C199"/>
    <s v="P056"/>
    <n v="4"/>
    <x v="1385"/>
    <n v="0.1"/>
    <n v="83.92"/>
    <x v="0"/>
    <x v="2"/>
    <x v="2"/>
    <s v="Paper"/>
    <x v="1"/>
  </r>
  <r>
    <s v="O2390"/>
    <x v="700"/>
    <s v="C008"/>
    <s v="P058"/>
    <n v="2"/>
    <x v="1386"/>
    <n v="0.1"/>
    <n v="539.67999999999995"/>
    <x v="1"/>
    <x v="2"/>
    <x v="2"/>
    <s v="Paper"/>
    <x v="0"/>
  </r>
  <r>
    <s v="O2391"/>
    <x v="608"/>
    <s v="C030"/>
    <s v="P013"/>
    <n v="1"/>
    <x v="1387"/>
    <n v="0"/>
    <n v="267.38"/>
    <x v="1"/>
    <x v="1"/>
    <x v="0"/>
    <s v="Laptop"/>
    <x v="0"/>
  </r>
  <r>
    <s v="O2392"/>
    <x v="323"/>
    <s v="C069"/>
    <s v="P018"/>
    <n v="5"/>
    <x v="1388"/>
    <n v="0.2"/>
    <n v="203.96"/>
    <x v="0"/>
    <x v="0"/>
    <x v="2"/>
    <s v="Storage"/>
    <x v="0"/>
  </r>
  <r>
    <s v="O2393"/>
    <x v="87"/>
    <s v="C059"/>
    <s v="P078"/>
    <n v="3"/>
    <x v="1389"/>
    <n v="0.3"/>
    <n v="41.07"/>
    <x v="1"/>
    <x v="2"/>
    <x v="2"/>
    <s v="Storage"/>
    <x v="0"/>
  </r>
  <r>
    <s v="O2394"/>
    <x v="237"/>
    <s v="C195"/>
    <s v="P061"/>
    <n v="2"/>
    <x v="1390"/>
    <n v="0"/>
    <n v="400.49"/>
    <x v="1"/>
    <x v="2"/>
    <x v="2"/>
    <s v="Pen"/>
    <x v="1"/>
  </r>
  <r>
    <s v="O2395"/>
    <x v="595"/>
    <s v="C121"/>
    <s v="P098"/>
    <n v="3"/>
    <x v="1391"/>
    <n v="0.1"/>
    <n v="392.6"/>
    <x v="0"/>
    <x v="2"/>
    <x v="1"/>
    <s v="Shelf"/>
    <x v="0"/>
  </r>
  <r>
    <s v="O2396"/>
    <x v="701"/>
    <s v="C003"/>
    <s v="P077"/>
    <n v="2"/>
    <x v="1392"/>
    <n v="0.1"/>
    <n v="101.53"/>
    <x v="0"/>
    <x v="0"/>
    <x v="0"/>
    <s v="Accessories"/>
    <x v="0"/>
  </r>
  <r>
    <s v="O2397"/>
    <x v="314"/>
    <s v="C077"/>
    <s v="P075"/>
    <n v="2"/>
    <x v="1393"/>
    <n v="0.2"/>
    <n v="42.6"/>
    <x v="1"/>
    <x v="1"/>
    <x v="2"/>
    <s v="Pen"/>
    <x v="1"/>
  </r>
  <r>
    <s v="O2398"/>
    <x v="189"/>
    <s v="C057"/>
    <s v="P094"/>
    <n v="1"/>
    <x v="1394"/>
    <n v="0.3"/>
    <n v="105.82"/>
    <x v="0"/>
    <x v="0"/>
    <x v="1"/>
    <s v="Table"/>
    <x v="0"/>
  </r>
  <r>
    <s v="O2399"/>
    <x v="467"/>
    <s v="C001"/>
    <s v="P007"/>
    <n v="3"/>
    <x v="1395"/>
    <n v="0"/>
    <n v="10.65"/>
    <x v="3"/>
    <x v="0"/>
    <x v="1"/>
    <s v="Desk"/>
    <x v="0"/>
  </r>
  <r>
    <s v="O2400"/>
    <x v="702"/>
    <s v="C068"/>
    <s v="P070"/>
    <n v="3"/>
    <x v="1396"/>
    <n v="0"/>
    <n v="264.98"/>
    <x v="0"/>
    <x v="1"/>
    <x v="2"/>
    <s v="Paper"/>
    <x v="0"/>
  </r>
  <r>
    <s v="O2401"/>
    <x v="136"/>
    <s v="C021"/>
    <s v="P007"/>
    <n v="5"/>
    <x v="1397"/>
    <n v="0.3"/>
    <n v="376.94"/>
    <x v="3"/>
    <x v="2"/>
    <x v="1"/>
    <s v="Desk"/>
    <x v="0"/>
  </r>
  <r>
    <s v="O2402"/>
    <x v="476"/>
    <s v="C171"/>
    <s v="P040"/>
    <n v="5"/>
    <x v="1398"/>
    <n v="0"/>
    <n v="196.83"/>
    <x v="2"/>
    <x v="1"/>
    <x v="2"/>
    <s v="Binder"/>
    <x v="0"/>
  </r>
  <r>
    <s v="O2403"/>
    <x v="176"/>
    <s v="C002"/>
    <s v="P081"/>
    <n v="1"/>
    <x v="1399"/>
    <n v="0.3"/>
    <n v="29.64"/>
    <x v="1"/>
    <x v="1"/>
    <x v="2"/>
    <s v="Pen"/>
    <x v="0"/>
  </r>
  <r>
    <s v="O2404"/>
    <x v="481"/>
    <s v="C104"/>
    <s v="P063"/>
    <n v="1"/>
    <x v="1400"/>
    <n v="0.1"/>
    <n v="417.51"/>
    <x v="0"/>
    <x v="1"/>
    <x v="2"/>
    <s v="Pen"/>
    <x v="0"/>
  </r>
  <r>
    <s v="O2405"/>
    <x v="362"/>
    <s v="C062"/>
    <s v="P045"/>
    <n v="4"/>
    <x v="1401"/>
    <n v="0.3"/>
    <n v="101.05"/>
    <x v="1"/>
    <x v="2"/>
    <x v="0"/>
    <s v="Tablet"/>
    <x v="0"/>
  </r>
  <r>
    <s v="O2406"/>
    <x v="39"/>
    <s v="C080"/>
    <s v="P048"/>
    <n v="5"/>
    <x v="1402"/>
    <n v="0"/>
    <n v="97.62"/>
    <x v="2"/>
    <x v="1"/>
    <x v="1"/>
    <s v="Table"/>
    <x v="0"/>
  </r>
  <r>
    <s v="O2407"/>
    <x v="16"/>
    <s v="C161"/>
    <s v="P077"/>
    <n v="2"/>
    <x v="1403"/>
    <n v="0.3"/>
    <n v="103.66"/>
    <x v="3"/>
    <x v="2"/>
    <x v="0"/>
    <s v="Accessories"/>
    <x v="0"/>
  </r>
  <r>
    <s v="O2408"/>
    <x v="576"/>
    <s v="C050"/>
    <s v="P047"/>
    <n v="3"/>
    <x v="1404"/>
    <n v="0.2"/>
    <n v="37.99"/>
    <x v="0"/>
    <x v="0"/>
    <x v="2"/>
    <s v="Pen"/>
    <x v="0"/>
  </r>
  <r>
    <s v="O2409"/>
    <x v="238"/>
    <s v="C073"/>
    <s v="P083"/>
    <n v="1"/>
    <x v="1405"/>
    <n v="0.1"/>
    <n v="299.8"/>
    <x v="2"/>
    <x v="1"/>
    <x v="2"/>
    <s v="Paper"/>
    <x v="0"/>
  </r>
  <r>
    <s v="O2410"/>
    <x v="163"/>
    <s v="C102"/>
    <s v="P051"/>
    <n v="3"/>
    <x v="1406"/>
    <n v="0.1"/>
    <n v="317.17"/>
    <x v="1"/>
    <x v="0"/>
    <x v="0"/>
    <s v="Tablet"/>
    <x v="0"/>
  </r>
  <r>
    <s v="O2411"/>
    <x v="116"/>
    <s v="C145"/>
    <s v="P083"/>
    <n v="3"/>
    <x v="1407"/>
    <n v="0.3"/>
    <n v="444.61"/>
    <x v="1"/>
    <x v="2"/>
    <x v="2"/>
    <s v="Paper"/>
    <x v="0"/>
  </r>
  <r>
    <s v="O2412"/>
    <x v="13"/>
    <s v="C065"/>
    <s v="P056"/>
    <n v="4"/>
    <x v="1408"/>
    <n v="0"/>
    <n v="23.49"/>
    <x v="0"/>
    <x v="0"/>
    <x v="2"/>
    <s v="Paper"/>
    <x v="0"/>
  </r>
  <r>
    <s v="O2413"/>
    <x v="671"/>
    <s v="C080"/>
    <s v="P005"/>
    <n v="5"/>
    <x v="1409"/>
    <n v="0.2"/>
    <n v="300.52"/>
    <x v="2"/>
    <x v="1"/>
    <x v="2"/>
    <s v="Paper"/>
    <x v="0"/>
  </r>
  <r>
    <s v="O2414"/>
    <x v="156"/>
    <s v="C126"/>
    <s v="P065"/>
    <n v="1"/>
    <x v="1410"/>
    <n v="0.1"/>
    <n v="189.65"/>
    <x v="0"/>
    <x v="2"/>
    <x v="1"/>
    <s v="Chair"/>
    <x v="0"/>
  </r>
  <r>
    <s v="O2415"/>
    <x v="11"/>
    <s v="C151"/>
    <s v="P083"/>
    <n v="3"/>
    <x v="1411"/>
    <n v="0.1"/>
    <n v="149.13"/>
    <x v="3"/>
    <x v="2"/>
    <x v="2"/>
    <s v="Paper"/>
    <x v="0"/>
  </r>
  <r>
    <s v="O2416"/>
    <x v="499"/>
    <s v="C013"/>
    <s v="P074"/>
    <n v="1"/>
    <x v="1412"/>
    <n v="0"/>
    <n v="23.84"/>
    <x v="2"/>
    <x v="0"/>
    <x v="1"/>
    <s v="Table"/>
    <x v="1"/>
  </r>
  <r>
    <s v="O2417"/>
    <x v="703"/>
    <s v="C144"/>
    <s v="P052"/>
    <n v="2"/>
    <x v="1413"/>
    <n v="0"/>
    <n v="385.63"/>
    <x v="0"/>
    <x v="0"/>
    <x v="1"/>
    <s v="Chair"/>
    <x v="0"/>
  </r>
  <r>
    <s v="O2418"/>
    <x v="704"/>
    <s v="C080"/>
    <s v="P028"/>
    <n v="4"/>
    <x v="1414"/>
    <n v="0.2"/>
    <n v="70.11"/>
    <x v="2"/>
    <x v="1"/>
    <x v="0"/>
    <s v="Laptop"/>
    <x v="0"/>
  </r>
  <r>
    <s v="O2419"/>
    <x v="705"/>
    <s v="C145"/>
    <s v="P087"/>
    <n v="2"/>
    <x v="1415"/>
    <n v="0.3"/>
    <n v="166.15"/>
    <x v="1"/>
    <x v="2"/>
    <x v="0"/>
    <s v="Phone"/>
    <x v="0"/>
  </r>
  <r>
    <s v="O2420"/>
    <x v="520"/>
    <s v="C132"/>
    <s v="P084"/>
    <n v="1"/>
    <x v="1416"/>
    <n v="0"/>
    <n v="111.55"/>
    <x v="1"/>
    <x v="0"/>
    <x v="2"/>
    <s v="Paper"/>
    <x v="0"/>
  </r>
  <r>
    <s v="O2421"/>
    <x v="706"/>
    <s v="C016"/>
    <s v="P067"/>
    <n v="1"/>
    <x v="1417"/>
    <n v="0.3"/>
    <n v="153.35"/>
    <x v="0"/>
    <x v="2"/>
    <x v="2"/>
    <s v="Binder"/>
    <x v="1"/>
  </r>
  <r>
    <s v="O2422"/>
    <x v="266"/>
    <s v="C144"/>
    <s v="P068"/>
    <n v="5"/>
    <x v="1418"/>
    <n v="0.2"/>
    <n v="292.25"/>
    <x v="0"/>
    <x v="0"/>
    <x v="1"/>
    <s v="Table"/>
    <x v="0"/>
  </r>
  <r>
    <s v="O2423"/>
    <x v="123"/>
    <s v="C028"/>
    <s v="P097"/>
    <n v="3"/>
    <x v="1419"/>
    <n v="0.3"/>
    <n v="150.22999999999999"/>
    <x v="2"/>
    <x v="1"/>
    <x v="2"/>
    <s v="Paper"/>
    <x v="0"/>
  </r>
  <r>
    <s v="O2424"/>
    <x v="57"/>
    <s v="C002"/>
    <s v="P034"/>
    <n v="3"/>
    <x v="1420"/>
    <n v="0.1"/>
    <n v="154.4"/>
    <x v="1"/>
    <x v="1"/>
    <x v="2"/>
    <s v="Storage"/>
    <x v="1"/>
  </r>
  <r>
    <s v="O2425"/>
    <x v="250"/>
    <s v="C180"/>
    <s v="P047"/>
    <n v="2"/>
    <x v="1421"/>
    <n v="0.3"/>
    <n v="261.67"/>
    <x v="3"/>
    <x v="1"/>
    <x v="2"/>
    <s v="Pen"/>
    <x v="0"/>
  </r>
  <r>
    <s v="O2426"/>
    <x v="419"/>
    <s v="C104"/>
    <s v="P043"/>
    <n v="4"/>
    <x v="1422"/>
    <n v="0.2"/>
    <n v="105.94"/>
    <x v="0"/>
    <x v="1"/>
    <x v="1"/>
    <s v="Table"/>
    <x v="0"/>
  </r>
  <r>
    <s v="O2427"/>
    <x v="591"/>
    <s v="C171"/>
    <s v="P005"/>
    <n v="3"/>
    <x v="1423"/>
    <n v="0.2"/>
    <n v="488.87"/>
    <x v="2"/>
    <x v="1"/>
    <x v="2"/>
    <s v="Paper"/>
    <x v="0"/>
  </r>
  <r>
    <s v="O2428"/>
    <x v="141"/>
    <s v="C084"/>
    <s v="P077"/>
    <n v="5"/>
    <x v="1424"/>
    <n v="0.2"/>
    <n v="327.14"/>
    <x v="2"/>
    <x v="2"/>
    <x v="0"/>
    <s v="Accessories"/>
    <x v="0"/>
  </r>
  <r>
    <s v="O2429"/>
    <x v="552"/>
    <s v="C171"/>
    <s v="P093"/>
    <n v="2"/>
    <x v="1425"/>
    <n v="0.3"/>
    <n v="8.4"/>
    <x v="2"/>
    <x v="1"/>
    <x v="2"/>
    <s v="Storage"/>
    <x v="0"/>
  </r>
  <r>
    <s v="O2430"/>
    <x v="507"/>
    <s v="C069"/>
    <s v="P092"/>
    <n v="2"/>
    <x v="1426"/>
    <n v="0.1"/>
    <n v="285.39"/>
    <x v="0"/>
    <x v="0"/>
    <x v="0"/>
    <s v="Phone"/>
    <x v="0"/>
  </r>
  <r>
    <s v="O2431"/>
    <x v="311"/>
    <s v="C005"/>
    <s v="P065"/>
    <n v="5"/>
    <x v="1427"/>
    <n v="0"/>
    <n v="22.49"/>
    <x v="1"/>
    <x v="0"/>
    <x v="1"/>
    <s v="Chair"/>
    <x v="1"/>
  </r>
  <r>
    <s v="O2432"/>
    <x v="651"/>
    <s v="C019"/>
    <s v="P057"/>
    <n v="4"/>
    <x v="1428"/>
    <n v="0.1"/>
    <n v="286.76"/>
    <x v="2"/>
    <x v="0"/>
    <x v="0"/>
    <s v="Laptop"/>
    <x v="0"/>
  </r>
  <r>
    <s v="O2433"/>
    <x v="500"/>
    <s v="C037"/>
    <s v="P093"/>
    <n v="5"/>
    <x v="1429"/>
    <n v="0.3"/>
    <n v="164.51"/>
    <x v="1"/>
    <x v="1"/>
    <x v="2"/>
    <s v="Storage"/>
    <x v="0"/>
  </r>
  <r>
    <s v="O2434"/>
    <x v="585"/>
    <s v="C176"/>
    <s v="P003"/>
    <n v="4"/>
    <x v="1430"/>
    <n v="0.3"/>
    <n v="201.27"/>
    <x v="3"/>
    <x v="2"/>
    <x v="2"/>
    <s v="Pen"/>
    <x v="0"/>
  </r>
  <r>
    <s v="O2435"/>
    <x v="664"/>
    <s v="C148"/>
    <s v="P085"/>
    <n v="5"/>
    <x v="1431"/>
    <n v="0"/>
    <n v="135.22"/>
    <x v="0"/>
    <x v="2"/>
    <x v="0"/>
    <s v="Tablet"/>
    <x v="0"/>
  </r>
  <r>
    <s v="O2436"/>
    <x v="17"/>
    <s v="C126"/>
    <s v="P058"/>
    <n v="5"/>
    <x v="1432"/>
    <n v="0.3"/>
    <n v="209.66"/>
    <x v="0"/>
    <x v="2"/>
    <x v="2"/>
    <s v="Paper"/>
    <x v="0"/>
  </r>
  <r>
    <s v="O2437"/>
    <x v="574"/>
    <s v="C081"/>
    <s v="P080"/>
    <n v="1"/>
    <x v="1433"/>
    <n v="0.2"/>
    <n v="175.13"/>
    <x v="2"/>
    <x v="0"/>
    <x v="2"/>
    <s v="Pen"/>
    <x v="0"/>
  </r>
  <r>
    <s v="O2438"/>
    <x v="123"/>
    <s v="C158"/>
    <s v="P096"/>
    <n v="2"/>
    <x v="1434"/>
    <n v="0.2"/>
    <n v="124.02"/>
    <x v="3"/>
    <x v="0"/>
    <x v="0"/>
    <s v="Laptop"/>
    <x v="0"/>
  </r>
  <r>
    <s v="O2439"/>
    <x v="487"/>
    <s v="C124"/>
    <s v="P008"/>
    <n v="5"/>
    <x v="1435"/>
    <n v="0.2"/>
    <n v="162.19"/>
    <x v="3"/>
    <x v="2"/>
    <x v="0"/>
    <s v="Accessories"/>
    <x v="0"/>
  </r>
  <r>
    <s v="O2440"/>
    <x v="446"/>
    <s v="C071"/>
    <s v="P021"/>
    <n v="5"/>
    <x v="1436"/>
    <n v="0.2"/>
    <n v="42.88"/>
    <x v="0"/>
    <x v="1"/>
    <x v="1"/>
    <s v="Desk"/>
    <x v="0"/>
  </r>
  <r>
    <s v="O2441"/>
    <x v="707"/>
    <s v="C109"/>
    <s v="P018"/>
    <n v="3"/>
    <x v="1437"/>
    <n v="0.2"/>
    <n v="115"/>
    <x v="0"/>
    <x v="2"/>
    <x v="2"/>
    <s v="Storage"/>
    <x v="0"/>
  </r>
  <r>
    <s v="O2442"/>
    <x v="504"/>
    <s v="C096"/>
    <s v="P056"/>
    <n v="2"/>
    <x v="1438"/>
    <n v="0.3"/>
    <n v="99.33"/>
    <x v="0"/>
    <x v="2"/>
    <x v="2"/>
    <s v="Paper"/>
    <x v="0"/>
  </r>
  <r>
    <s v="O2443"/>
    <x v="143"/>
    <s v="C025"/>
    <s v="P007"/>
    <n v="3"/>
    <x v="1439"/>
    <n v="0"/>
    <n v="242.85"/>
    <x v="3"/>
    <x v="1"/>
    <x v="1"/>
    <s v="Desk"/>
    <x v="0"/>
  </r>
  <r>
    <s v="O2444"/>
    <x v="257"/>
    <s v="C023"/>
    <s v="P057"/>
    <n v="2"/>
    <x v="1440"/>
    <n v="0"/>
    <n v="370.27"/>
    <x v="3"/>
    <x v="2"/>
    <x v="0"/>
    <s v="Laptop"/>
    <x v="0"/>
  </r>
  <r>
    <s v="O2445"/>
    <x v="33"/>
    <s v="C058"/>
    <s v="P087"/>
    <n v="3"/>
    <x v="1441"/>
    <n v="0.2"/>
    <n v="54.74"/>
    <x v="0"/>
    <x v="2"/>
    <x v="0"/>
    <s v="Phone"/>
    <x v="0"/>
  </r>
  <r>
    <s v="O2446"/>
    <x v="394"/>
    <s v="C125"/>
    <s v="P001"/>
    <n v="5"/>
    <x v="1442"/>
    <n v="0.3"/>
    <n v="15.08"/>
    <x v="0"/>
    <x v="2"/>
    <x v="2"/>
    <s v="Storage"/>
    <x v="0"/>
  </r>
  <r>
    <s v="O2447"/>
    <x v="397"/>
    <s v="C178"/>
    <s v="P093"/>
    <n v="5"/>
    <x v="1443"/>
    <n v="0.1"/>
    <n v="93.75"/>
    <x v="2"/>
    <x v="0"/>
    <x v="2"/>
    <s v="Storage"/>
    <x v="0"/>
  </r>
  <r>
    <s v="O2448"/>
    <x v="424"/>
    <s v="C130"/>
    <s v="P030"/>
    <n v="1"/>
    <x v="1444"/>
    <n v="0.1"/>
    <n v="509.02"/>
    <x v="3"/>
    <x v="0"/>
    <x v="1"/>
    <s v="Shelf"/>
    <x v="0"/>
  </r>
  <r>
    <s v="O2449"/>
    <x v="76"/>
    <s v="C128"/>
    <s v="P024"/>
    <n v="3"/>
    <x v="1445"/>
    <n v="0.3"/>
    <n v="108.48"/>
    <x v="1"/>
    <x v="2"/>
    <x v="1"/>
    <s v="Desk"/>
    <x v="0"/>
  </r>
  <r>
    <s v="O2450"/>
    <x v="656"/>
    <s v="C019"/>
    <s v="P085"/>
    <n v="4"/>
    <x v="1446"/>
    <n v="0.2"/>
    <n v="316.44"/>
    <x v="2"/>
    <x v="0"/>
    <x v="0"/>
    <s v="Tablet"/>
    <x v="0"/>
  </r>
  <r>
    <s v="O2451"/>
    <x v="455"/>
    <s v="C192"/>
    <s v="P100"/>
    <n v="1"/>
    <x v="1447"/>
    <n v="0"/>
    <n v="97.98"/>
    <x v="1"/>
    <x v="0"/>
    <x v="0"/>
    <s v="Phone"/>
    <x v="0"/>
  </r>
  <r>
    <s v="O2452"/>
    <x v="6"/>
    <s v="C143"/>
    <s v="P009"/>
    <n v="3"/>
    <x v="1448"/>
    <n v="0.3"/>
    <n v="98.38"/>
    <x v="0"/>
    <x v="2"/>
    <x v="1"/>
    <s v="Chair"/>
    <x v="0"/>
  </r>
  <r>
    <s v="O2453"/>
    <x v="639"/>
    <s v="C098"/>
    <s v="P089"/>
    <n v="3"/>
    <x v="1449"/>
    <n v="0.1"/>
    <n v="124.4"/>
    <x v="3"/>
    <x v="0"/>
    <x v="0"/>
    <s v="Phone"/>
    <x v="0"/>
  </r>
  <r>
    <s v="O2454"/>
    <x v="31"/>
    <s v="C133"/>
    <s v="P056"/>
    <n v="1"/>
    <x v="1450"/>
    <n v="0.1"/>
    <n v="377.47"/>
    <x v="0"/>
    <x v="2"/>
    <x v="2"/>
    <s v="Paper"/>
    <x v="0"/>
  </r>
  <r>
    <s v="O2455"/>
    <x v="337"/>
    <s v="C077"/>
    <s v="P005"/>
    <n v="5"/>
    <x v="1451"/>
    <n v="0.1"/>
    <n v="31.73"/>
    <x v="1"/>
    <x v="1"/>
    <x v="2"/>
    <s v="Paper"/>
    <x v="1"/>
  </r>
  <r>
    <s v="O2456"/>
    <x v="27"/>
    <s v="C144"/>
    <s v="P043"/>
    <n v="3"/>
    <x v="1452"/>
    <n v="0.2"/>
    <n v="131.74"/>
    <x v="0"/>
    <x v="0"/>
    <x v="1"/>
    <s v="Table"/>
    <x v="0"/>
  </r>
  <r>
    <s v="O2457"/>
    <x v="708"/>
    <s v="C050"/>
    <s v="P014"/>
    <n v="5"/>
    <x v="1453"/>
    <n v="0.1"/>
    <n v="68.08"/>
    <x v="0"/>
    <x v="0"/>
    <x v="1"/>
    <s v="Shelf"/>
    <x v="1"/>
  </r>
  <r>
    <s v="O2458"/>
    <x v="210"/>
    <s v="C125"/>
    <s v="P092"/>
    <n v="1"/>
    <x v="1454"/>
    <n v="0.3"/>
    <n v="210.33"/>
    <x v="0"/>
    <x v="2"/>
    <x v="0"/>
    <s v="Phone"/>
    <x v="0"/>
  </r>
  <r>
    <s v="O2459"/>
    <x v="263"/>
    <s v="C130"/>
    <s v="P075"/>
    <n v="5"/>
    <x v="1455"/>
    <n v="0.3"/>
    <n v="526.83000000000004"/>
    <x v="3"/>
    <x v="0"/>
    <x v="2"/>
    <s v="Pen"/>
    <x v="0"/>
  </r>
  <r>
    <s v="O2460"/>
    <x v="202"/>
    <s v="C089"/>
    <s v="P048"/>
    <n v="2"/>
    <x v="1456"/>
    <n v="0.1"/>
    <n v="18.649999999999999"/>
    <x v="2"/>
    <x v="2"/>
    <x v="1"/>
    <s v="Table"/>
    <x v="0"/>
  </r>
  <r>
    <s v="O2461"/>
    <x v="488"/>
    <s v="C017"/>
    <s v="P039"/>
    <n v="4"/>
    <x v="1457"/>
    <n v="0.3"/>
    <n v="289.45999999999998"/>
    <x v="3"/>
    <x v="0"/>
    <x v="2"/>
    <s v="Pen"/>
    <x v="0"/>
  </r>
  <r>
    <s v="O2462"/>
    <x v="595"/>
    <s v="C171"/>
    <s v="P090"/>
    <n v="3"/>
    <x v="1458"/>
    <n v="0.1"/>
    <n v="87.45"/>
    <x v="2"/>
    <x v="1"/>
    <x v="0"/>
    <s v="Accessories"/>
    <x v="0"/>
  </r>
  <r>
    <s v="O2463"/>
    <x v="459"/>
    <s v="C155"/>
    <s v="P011"/>
    <n v="4"/>
    <x v="1459"/>
    <n v="0.1"/>
    <n v="159"/>
    <x v="1"/>
    <x v="1"/>
    <x v="0"/>
    <s v="Accessories"/>
    <x v="0"/>
  </r>
  <r>
    <s v="O2464"/>
    <x v="677"/>
    <s v="C048"/>
    <s v="P077"/>
    <n v="5"/>
    <x v="1460"/>
    <n v="0"/>
    <n v="49.46"/>
    <x v="2"/>
    <x v="2"/>
    <x v="0"/>
    <s v="Accessories"/>
    <x v="1"/>
  </r>
  <r>
    <s v="O2465"/>
    <x v="571"/>
    <s v="C076"/>
    <s v="P038"/>
    <n v="3"/>
    <x v="1461"/>
    <n v="0.2"/>
    <n v="78.2"/>
    <x v="2"/>
    <x v="1"/>
    <x v="0"/>
    <s v="Accessories"/>
    <x v="0"/>
  </r>
  <r>
    <s v="O2466"/>
    <x v="322"/>
    <s v="C105"/>
    <s v="P065"/>
    <n v="5"/>
    <x v="1462"/>
    <n v="0.2"/>
    <n v="338.08"/>
    <x v="3"/>
    <x v="2"/>
    <x v="1"/>
    <s v="Chair"/>
    <x v="0"/>
  </r>
  <r>
    <s v="O2467"/>
    <x v="709"/>
    <s v="C119"/>
    <s v="P094"/>
    <n v="2"/>
    <x v="1463"/>
    <n v="0"/>
    <n v="344.87"/>
    <x v="3"/>
    <x v="1"/>
    <x v="1"/>
    <s v="Table"/>
    <x v="1"/>
  </r>
  <r>
    <s v="O2468"/>
    <x v="599"/>
    <s v="C134"/>
    <s v="P036"/>
    <n v="1"/>
    <x v="1464"/>
    <n v="0"/>
    <n v="69.05"/>
    <x v="3"/>
    <x v="1"/>
    <x v="1"/>
    <s v="Shelf"/>
    <x v="0"/>
  </r>
  <r>
    <s v="O2469"/>
    <x v="626"/>
    <s v="C182"/>
    <s v="P084"/>
    <n v="3"/>
    <x v="1465"/>
    <n v="0.2"/>
    <n v="133.88"/>
    <x v="1"/>
    <x v="2"/>
    <x v="2"/>
    <s v="Paper"/>
    <x v="1"/>
  </r>
  <r>
    <s v="O2470"/>
    <x v="167"/>
    <s v="C187"/>
    <s v="P019"/>
    <n v="2"/>
    <x v="1466"/>
    <n v="0.1"/>
    <n v="216.99"/>
    <x v="2"/>
    <x v="2"/>
    <x v="0"/>
    <s v="Phone"/>
    <x v="0"/>
  </r>
  <r>
    <s v="O2471"/>
    <x v="115"/>
    <s v="C182"/>
    <s v="P026"/>
    <n v="2"/>
    <x v="1467"/>
    <n v="0.1"/>
    <n v="171.03"/>
    <x v="1"/>
    <x v="2"/>
    <x v="0"/>
    <s v="Phone"/>
    <x v="1"/>
  </r>
  <r>
    <s v="O2472"/>
    <x v="325"/>
    <s v="C071"/>
    <s v="P007"/>
    <n v="3"/>
    <x v="1468"/>
    <n v="0.2"/>
    <n v="87.43"/>
    <x v="0"/>
    <x v="1"/>
    <x v="1"/>
    <s v="Desk"/>
    <x v="1"/>
  </r>
  <r>
    <s v="O2473"/>
    <x v="415"/>
    <s v="C174"/>
    <s v="P059"/>
    <n v="5"/>
    <x v="1469"/>
    <n v="0.1"/>
    <n v="292.68"/>
    <x v="1"/>
    <x v="2"/>
    <x v="1"/>
    <s v="Table"/>
    <x v="1"/>
  </r>
  <r>
    <s v="O2474"/>
    <x v="291"/>
    <s v="C128"/>
    <s v="P027"/>
    <n v="2"/>
    <x v="1470"/>
    <n v="0"/>
    <n v="112.23"/>
    <x v="1"/>
    <x v="2"/>
    <x v="2"/>
    <s v="Storage"/>
    <x v="0"/>
  </r>
  <r>
    <s v="O2475"/>
    <x v="551"/>
    <s v="C198"/>
    <s v="P050"/>
    <n v="4"/>
    <x v="1471"/>
    <n v="0.1"/>
    <n v="95.99"/>
    <x v="0"/>
    <x v="1"/>
    <x v="2"/>
    <s v="Pen"/>
    <x v="0"/>
  </r>
  <r>
    <s v="O2476"/>
    <x v="710"/>
    <s v="C014"/>
    <s v="P069"/>
    <n v="2"/>
    <x v="1472"/>
    <n v="0.1"/>
    <n v="353.2"/>
    <x v="1"/>
    <x v="0"/>
    <x v="2"/>
    <s v="Pen"/>
    <x v="0"/>
  </r>
  <r>
    <s v="O2477"/>
    <x v="306"/>
    <s v="C033"/>
    <s v="P013"/>
    <n v="5"/>
    <x v="1473"/>
    <n v="0.3"/>
    <n v="336.13"/>
    <x v="2"/>
    <x v="0"/>
    <x v="0"/>
    <s v="Laptop"/>
    <x v="0"/>
  </r>
  <r>
    <s v="O2478"/>
    <x v="585"/>
    <s v="C097"/>
    <s v="P093"/>
    <n v="5"/>
    <x v="1474"/>
    <n v="0.3"/>
    <n v="209.45"/>
    <x v="2"/>
    <x v="0"/>
    <x v="2"/>
    <s v="Storage"/>
    <x v="0"/>
  </r>
  <r>
    <s v="O2479"/>
    <x v="698"/>
    <s v="C137"/>
    <s v="P031"/>
    <n v="4"/>
    <x v="1475"/>
    <n v="0.3"/>
    <n v="42.5"/>
    <x v="1"/>
    <x v="2"/>
    <x v="2"/>
    <s v="Storage"/>
    <x v="0"/>
  </r>
  <r>
    <s v="O2480"/>
    <x v="623"/>
    <s v="C200"/>
    <s v="P093"/>
    <n v="2"/>
    <x v="1476"/>
    <n v="0.1"/>
    <n v="63.75"/>
    <x v="3"/>
    <x v="0"/>
    <x v="2"/>
    <s v="Storage"/>
    <x v="0"/>
  </r>
  <r>
    <s v="O2481"/>
    <x v="60"/>
    <s v="C033"/>
    <s v="P002"/>
    <n v="5"/>
    <x v="1477"/>
    <n v="0.2"/>
    <n v="492.16"/>
    <x v="2"/>
    <x v="0"/>
    <x v="1"/>
    <s v="Chair"/>
    <x v="0"/>
  </r>
  <r>
    <s v="O2482"/>
    <x v="506"/>
    <s v="C032"/>
    <s v="P038"/>
    <n v="3"/>
    <x v="1478"/>
    <n v="0"/>
    <n v="100.31"/>
    <x v="3"/>
    <x v="1"/>
    <x v="0"/>
    <s v="Accessories"/>
    <x v="0"/>
  </r>
  <r>
    <s v="O2483"/>
    <x v="711"/>
    <s v="C085"/>
    <s v="P068"/>
    <n v="1"/>
    <x v="1479"/>
    <n v="0.1"/>
    <n v="36.659999999999997"/>
    <x v="2"/>
    <x v="0"/>
    <x v="1"/>
    <s v="Table"/>
    <x v="0"/>
  </r>
  <r>
    <s v="O2484"/>
    <x v="652"/>
    <s v="C089"/>
    <s v="P083"/>
    <n v="1"/>
    <x v="1480"/>
    <n v="0.2"/>
    <n v="214.18"/>
    <x v="2"/>
    <x v="2"/>
    <x v="2"/>
    <s v="Paper"/>
    <x v="0"/>
  </r>
  <r>
    <s v="O2485"/>
    <x v="712"/>
    <s v="C071"/>
    <s v="P096"/>
    <n v="1"/>
    <x v="1481"/>
    <n v="0.1"/>
    <n v="248.24"/>
    <x v="0"/>
    <x v="1"/>
    <x v="0"/>
    <s v="Laptop"/>
    <x v="1"/>
  </r>
  <r>
    <s v="O2486"/>
    <x v="713"/>
    <s v="C129"/>
    <s v="P015"/>
    <n v="2"/>
    <x v="1482"/>
    <n v="0"/>
    <n v="145.97999999999999"/>
    <x v="1"/>
    <x v="2"/>
    <x v="0"/>
    <s v="Tablet"/>
    <x v="0"/>
  </r>
  <r>
    <s v="O2487"/>
    <x v="622"/>
    <s v="C078"/>
    <s v="P069"/>
    <n v="4"/>
    <x v="1483"/>
    <n v="0.1"/>
    <n v="151.1"/>
    <x v="2"/>
    <x v="2"/>
    <x v="2"/>
    <s v="Pen"/>
    <x v="1"/>
  </r>
  <r>
    <s v="O2488"/>
    <x v="310"/>
    <s v="C072"/>
    <s v="P017"/>
    <n v="5"/>
    <x v="1484"/>
    <n v="0"/>
    <n v="22.09"/>
    <x v="3"/>
    <x v="2"/>
    <x v="2"/>
    <s v="Pen"/>
    <x v="0"/>
  </r>
  <r>
    <s v="O2489"/>
    <x v="714"/>
    <s v="C010"/>
    <s v="P015"/>
    <n v="3"/>
    <x v="1485"/>
    <n v="0.1"/>
    <n v="258.14999999999998"/>
    <x v="2"/>
    <x v="2"/>
    <x v="0"/>
    <s v="Tablet"/>
    <x v="0"/>
  </r>
  <r>
    <s v="O2490"/>
    <x v="104"/>
    <s v="C047"/>
    <s v="P076"/>
    <n v="3"/>
    <x v="1486"/>
    <n v="0"/>
    <n v="44.24"/>
    <x v="0"/>
    <x v="0"/>
    <x v="1"/>
    <s v="Shelf"/>
    <x v="0"/>
  </r>
  <r>
    <s v="O2491"/>
    <x v="377"/>
    <s v="C169"/>
    <s v="P094"/>
    <n v="2"/>
    <x v="1487"/>
    <n v="0.1"/>
    <n v="151.88999999999999"/>
    <x v="3"/>
    <x v="1"/>
    <x v="1"/>
    <s v="Table"/>
    <x v="0"/>
  </r>
  <r>
    <s v="O2492"/>
    <x v="209"/>
    <s v="C191"/>
    <s v="P013"/>
    <n v="1"/>
    <x v="1488"/>
    <n v="0"/>
    <n v="414.49"/>
    <x v="2"/>
    <x v="2"/>
    <x v="0"/>
    <s v="Laptop"/>
    <x v="0"/>
  </r>
  <r>
    <s v="O2493"/>
    <x v="625"/>
    <s v="C073"/>
    <s v="P012"/>
    <n v="2"/>
    <x v="1489"/>
    <n v="0.3"/>
    <n v="158.97999999999999"/>
    <x v="2"/>
    <x v="1"/>
    <x v="0"/>
    <s v="Laptop"/>
    <x v="0"/>
  </r>
  <r>
    <s v="O2494"/>
    <x v="473"/>
    <s v="C042"/>
    <s v="P058"/>
    <n v="4"/>
    <x v="1490"/>
    <n v="0.1"/>
    <n v="64.05"/>
    <x v="0"/>
    <x v="0"/>
    <x v="2"/>
    <s v="Paper"/>
    <x v="0"/>
  </r>
  <r>
    <s v="O2495"/>
    <x v="715"/>
    <s v="C076"/>
    <s v="P040"/>
    <n v="4"/>
    <x v="1491"/>
    <n v="0.1"/>
    <n v="101.59"/>
    <x v="2"/>
    <x v="1"/>
    <x v="2"/>
    <s v="Binder"/>
    <x v="0"/>
  </r>
  <r>
    <s v="O2496"/>
    <x v="350"/>
    <s v="C026"/>
    <s v="P092"/>
    <n v="5"/>
    <x v="1492"/>
    <n v="0.2"/>
    <n v="156.63999999999999"/>
    <x v="1"/>
    <x v="2"/>
    <x v="0"/>
    <s v="Phone"/>
    <x v="0"/>
  </r>
  <r>
    <s v="O2497"/>
    <x v="669"/>
    <s v="C148"/>
    <s v="P045"/>
    <n v="5"/>
    <x v="1493"/>
    <n v="0.2"/>
    <n v="102.62"/>
    <x v="0"/>
    <x v="2"/>
    <x v="0"/>
    <s v="Tablet"/>
    <x v="0"/>
  </r>
  <r>
    <s v="O2498"/>
    <x v="693"/>
    <s v="C099"/>
    <s v="P075"/>
    <n v="4"/>
    <x v="1494"/>
    <n v="0"/>
    <n v="248.34"/>
    <x v="0"/>
    <x v="1"/>
    <x v="2"/>
    <s v="Pen"/>
    <x v="0"/>
  </r>
  <r>
    <s v="O2499"/>
    <x v="488"/>
    <s v="C096"/>
    <s v="P027"/>
    <n v="4"/>
    <x v="1495"/>
    <n v="0.1"/>
    <n v="56.04"/>
    <x v="0"/>
    <x v="2"/>
    <x v="2"/>
    <s v="Storage"/>
    <x v="0"/>
  </r>
  <r>
    <s v="O2500"/>
    <x v="314"/>
    <s v="C114"/>
    <s v="P090"/>
    <n v="4"/>
    <x v="1496"/>
    <n v="0"/>
    <n v="74.08"/>
    <x v="3"/>
    <x v="1"/>
    <x v="0"/>
    <s v="Accessories"/>
    <x v="0"/>
  </r>
  <r>
    <s v="O2501"/>
    <x v="456"/>
    <s v="C135"/>
    <s v="P018"/>
    <n v="2"/>
    <x v="1497"/>
    <n v="0.3"/>
    <n v="263.67"/>
    <x v="1"/>
    <x v="2"/>
    <x v="2"/>
    <s v="Storage"/>
    <x v="0"/>
  </r>
  <r>
    <s v="O2502"/>
    <x v="716"/>
    <s v="C120"/>
    <s v="P075"/>
    <n v="4"/>
    <x v="1498"/>
    <n v="0.2"/>
    <n v="242.64"/>
    <x v="1"/>
    <x v="0"/>
    <x v="2"/>
    <s v="Pen"/>
    <x v="0"/>
  </r>
  <r>
    <s v="O2503"/>
    <x v="717"/>
    <s v="C009"/>
    <s v="P026"/>
    <n v="3"/>
    <x v="1499"/>
    <n v="0"/>
    <n v="517.98"/>
    <x v="0"/>
    <x v="2"/>
    <x v="0"/>
    <s v="Phone"/>
    <x v="1"/>
  </r>
  <r>
    <s v="O2504"/>
    <x v="70"/>
    <s v="C084"/>
    <s v="P066"/>
    <n v="1"/>
    <x v="1500"/>
    <n v="0"/>
    <n v="70"/>
    <x v="2"/>
    <x v="2"/>
    <x v="1"/>
    <s v="Desk"/>
    <x v="0"/>
  </r>
  <r>
    <s v="O2505"/>
    <x v="651"/>
    <s v="C171"/>
    <s v="P076"/>
    <n v="4"/>
    <x v="1501"/>
    <n v="0.2"/>
    <n v="139.35"/>
    <x v="2"/>
    <x v="1"/>
    <x v="1"/>
    <s v="Shelf"/>
    <x v="1"/>
  </r>
  <r>
    <s v="O2506"/>
    <x v="718"/>
    <s v="C039"/>
    <s v="P048"/>
    <n v="1"/>
    <x v="1502"/>
    <n v="0.1"/>
    <n v="158.78"/>
    <x v="2"/>
    <x v="0"/>
    <x v="1"/>
    <s v="Table"/>
    <x v="0"/>
  </r>
  <r>
    <s v="O2507"/>
    <x v="716"/>
    <s v="C113"/>
    <s v="P077"/>
    <n v="2"/>
    <x v="1503"/>
    <n v="0"/>
    <n v="228.94"/>
    <x v="0"/>
    <x v="1"/>
    <x v="0"/>
    <s v="Accessories"/>
    <x v="0"/>
  </r>
  <r>
    <s v="O2508"/>
    <x v="716"/>
    <s v="C021"/>
    <s v="P014"/>
    <n v="1"/>
    <x v="1504"/>
    <n v="0.2"/>
    <n v="210.01"/>
    <x v="3"/>
    <x v="2"/>
    <x v="1"/>
    <s v="Shelf"/>
    <x v="0"/>
  </r>
  <r>
    <s v="O2509"/>
    <x v="124"/>
    <s v="C036"/>
    <s v="P015"/>
    <n v="2"/>
    <x v="1505"/>
    <n v="0.1"/>
    <n v="13.12"/>
    <x v="0"/>
    <x v="0"/>
    <x v="0"/>
    <s v="Tablet"/>
    <x v="0"/>
  </r>
  <r>
    <s v="O2510"/>
    <x v="719"/>
    <s v="C199"/>
    <s v="P092"/>
    <n v="3"/>
    <x v="1506"/>
    <n v="0.3"/>
    <n v="274.51"/>
    <x v="0"/>
    <x v="2"/>
    <x v="0"/>
    <s v="Phone"/>
    <x v="1"/>
  </r>
  <r>
    <s v="O2511"/>
    <x v="59"/>
    <s v="C046"/>
    <s v="P039"/>
    <n v="2"/>
    <x v="1507"/>
    <n v="0.2"/>
    <n v="32.119999999999997"/>
    <x v="1"/>
    <x v="2"/>
    <x v="2"/>
    <s v="Pen"/>
    <x v="0"/>
  </r>
  <r>
    <s v="O2512"/>
    <x v="531"/>
    <s v="C044"/>
    <s v="P080"/>
    <n v="2"/>
    <x v="1508"/>
    <n v="0"/>
    <n v="147.84"/>
    <x v="1"/>
    <x v="1"/>
    <x v="2"/>
    <s v="Pen"/>
    <x v="0"/>
  </r>
  <r>
    <s v="O2513"/>
    <x v="258"/>
    <s v="C027"/>
    <s v="P048"/>
    <n v="5"/>
    <x v="1509"/>
    <n v="0.3"/>
    <n v="468.27"/>
    <x v="3"/>
    <x v="0"/>
    <x v="1"/>
    <s v="Table"/>
    <x v="0"/>
  </r>
  <r>
    <s v="O2514"/>
    <x v="670"/>
    <s v="C108"/>
    <s v="P088"/>
    <n v="4"/>
    <x v="1510"/>
    <n v="0.1"/>
    <n v="115.58"/>
    <x v="2"/>
    <x v="0"/>
    <x v="0"/>
    <s v="Laptop"/>
    <x v="0"/>
  </r>
  <r>
    <s v="O2515"/>
    <x v="270"/>
    <s v="C100"/>
    <s v="P075"/>
    <n v="4"/>
    <x v="382"/>
    <n v="0.1"/>
    <n v="323.75"/>
    <x v="2"/>
    <x v="1"/>
    <x v="2"/>
    <s v="Pen"/>
    <x v="0"/>
  </r>
  <r>
    <s v="O2516"/>
    <x v="720"/>
    <s v="C057"/>
    <s v="P036"/>
    <n v="3"/>
    <x v="1511"/>
    <n v="0.2"/>
    <n v="46.39"/>
    <x v="0"/>
    <x v="0"/>
    <x v="1"/>
    <s v="Shelf"/>
    <x v="0"/>
  </r>
  <r>
    <s v="O2517"/>
    <x v="562"/>
    <s v="C076"/>
    <s v="P041"/>
    <n v="3"/>
    <x v="1512"/>
    <n v="0.2"/>
    <n v="324.44"/>
    <x v="2"/>
    <x v="1"/>
    <x v="0"/>
    <s v="Tablet"/>
    <x v="0"/>
  </r>
  <r>
    <s v="O2518"/>
    <x v="515"/>
    <s v="C082"/>
    <s v="P004"/>
    <n v="4"/>
    <x v="1513"/>
    <n v="0.2"/>
    <n v="123.38"/>
    <x v="3"/>
    <x v="2"/>
    <x v="0"/>
    <s v="Laptop"/>
    <x v="1"/>
  </r>
  <r>
    <s v="O2519"/>
    <x v="721"/>
    <s v="C166"/>
    <s v="P079"/>
    <n v="5"/>
    <x v="1034"/>
    <n v="0.1"/>
    <n v="77.260000000000005"/>
    <x v="0"/>
    <x v="2"/>
    <x v="1"/>
    <s v="Chair"/>
    <x v="1"/>
  </r>
  <r>
    <s v="O2520"/>
    <x v="722"/>
    <s v="C037"/>
    <s v="P093"/>
    <n v="4"/>
    <x v="1514"/>
    <n v="0.3"/>
    <n v="11.53"/>
    <x v="1"/>
    <x v="1"/>
    <x v="2"/>
    <s v="Storage"/>
    <x v="0"/>
  </r>
  <r>
    <s v="O2521"/>
    <x v="103"/>
    <s v="C167"/>
    <s v="P044"/>
    <n v="5"/>
    <x v="1515"/>
    <n v="0.1"/>
    <n v="248.13"/>
    <x v="2"/>
    <x v="0"/>
    <x v="1"/>
    <s v="Table"/>
    <x v="0"/>
  </r>
  <r>
    <s v="O2522"/>
    <x v="634"/>
    <s v="C109"/>
    <s v="P017"/>
    <n v="3"/>
    <x v="1516"/>
    <n v="0"/>
    <n v="38.119999999999997"/>
    <x v="0"/>
    <x v="2"/>
    <x v="2"/>
    <s v="Pen"/>
    <x v="0"/>
  </r>
  <r>
    <s v="O2523"/>
    <x v="723"/>
    <s v="C138"/>
    <s v="P036"/>
    <n v="1"/>
    <x v="1517"/>
    <n v="0.1"/>
    <n v="351.06"/>
    <x v="0"/>
    <x v="1"/>
    <x v="1"/>
    <s v="Shelf"/>
    <x v="0"/>
  </r>
  <r>
    <s v="O2524"/>
    <x v="505"/>
    <s v="C189"/>
    <s v="P015"/>
    <n v="3"/>
    <x v="1518"/>
    <n v="0"/>
    <n v="238.54"/>
    <x v="0"/>
    <x v="2"/>
    <x v="0"/>
    <s v="Tablet"/>
    <x v="0"/>
  </r>
  <r>
    <s v="O2525"/>
    <x v="144"/>
    <s v="C022"/>
    <s v="P050"/>
    <n v="3"/>
    <x v="369"/>
    <n v="0.3"/>
    <n v="255.64"/>
    <x v="1"/>
    <x v="2"/>
    <x v="2"/>
    <s v="Pen"/>
    <x v="1"/>
  </r>
  <r>
    <s v="O2526"/>
    <x v="606"/>
    <s v="C016"/>
    <s v="P055"/>
    <n v="2"/>
    <x v="1519"/>
    <n v="0.2"/>
    <n v="48.31"/>
    <x v="0"/>
    <x v="2"/>
    <x v="2"/>
    <s v="Binder"/>
    <x v="0"/>
  </r>
  <r>
    <s v="O2527"/>
    <x v="46"/>
    <s v="C001"/>
    <s v="P016"/>
    <n v="2"/>
    <x v="1520"/>
    <n v="0.2"/>
    <n v="87.57"/>
    <x v="3"/>
    <x v="0"/>
    <x v="1"/>
    <s v="Chair"/>
    <x v="0"/>
  </r>
  <r>
    <s v="O2528"/>
    <x v="724"/>
    <s v="C137"/>
    <s v="P029"/>
    <n v="2"/>
    <x v="1521"/>
    <n v="0.1"/>
    <n v="255.48"/>
    <x v="1"/>
    <x v="2"/>
    <x v="1"/>
    <s v="Shelf"/>
    <x v="1"/>
  </r>
  <r>
    <s v="O2529"/>
    <x v="383"/>
    <s v="C074"/>
    <s v="P086"/>
    <n v="2"/>
    <x v="1522"/>
    <n v="0.2"/>
    <n v="8.26"/>
    <x v="2"/>
    <x v="1"/>
    <x v="1"/>
    <s v="Shelf"/>
    <x v="0"/>
  </r>
  <r>
    <s v="O2530"/>
    <x v="16"/>
    <s v="C130"/>
    <s v="P021"/>
    <n v="5"/>
    <x v="1523"/>
    <n v="0.3"/>
    <n v="120.77"/>
    <x v="3"/>
    <x v="0"/>
    <x v="1"/>
    <s v="Desk"/>
    <x v="0"/>
  </r>
  <r>
    <s v="O2531"/>
    <x v="725"/>
    <s v="C160"/>
    <s v="P061"/>
    <n v="4"/>
    <x v="1524"/>
    <n v="0.2"/>
    <n v="361.79"/>
    <x v="2"/>
    <x v="0"/>
    <x v="2"/>
    <s v="Pen"/>
    <x v="0"/>
  </r>
  <r>
    <s v="O2532"/>
    <x v="726"/>
    <s v="C185"/>
    <s v="P004"/>
    <n v="1"/>
    <x v="1525"/>
    <n v="0.1"/>
    <n v="385.77"/>
    <x v="1"/>
    <x v="2"/>
    <x v="0"/>
    <s v="Laptop"/>
    <x v="0"/>
  </r>
  <r>
    <s v="O2533"/>
    <x v="588"/>
    <s v="C125"/>
    <s v="P048"/>
    <n v="3"/>
    <x v="1526"/>
    <n v="0.3"/>
    <n v="80.650000000000006"/>
    <x v="0"/>
    <x v="2"/>
    <x v="1"/>
    <s v="Table"/>
    <x v="0"/>
  </r>
  <r>
    <s v="O2534"/>
    <x v="34"/>
    <s v="C166"/>
    <s v="P067"/>
    <n v="5"/>
    <x v="1527"/>
    <n v="0"/>
    <n v="409.07"/>
    <x v="0"/>
    <x v="2"/>
    <x v="2"/>
    <s v="Binder"/>
    <x v="0"/>
  </r>
  <r>
    <s v="O2535"/>
    <x v="490"/>
    <s v="C113"/>
    <s v="P039"/>
    <n v="1"/>
    <x v="1528"/>
    <n v="0.1"/>
    <n v="50.95"/>
    <x v="0"/>
    <x v="1"/>
    <x v="2"/>
    <s v="Pen"/>
    <x v="0"/>
  </r>
  <r>
    <s v="O2536"/>
    <x v="275"/>
    <s v="C100"/>
    <s v="P051"/>
    <n v="5"/>
    <x v="1529"/>
    <n v="0"/>
    <n v="56.21"/>
    <x v="2"/>
    <x v="1"/>
    <x v="0"/>
    <s v="Tablet"/>
    <x v="0"/>
  </r>
  <r>
    <s v="O2537"/>
    <x v="476"/>
    <s v="C088"/>
    <s v="P006"/>
    <n v="5"/>
    <x v="1530"/>
    <n v="0.3"/>
    <n v="398.68"/>
    <x v="2"/>
    <x v="1"/>
    <x v="1"/>
    <s v="Chair"/>
    <x v="0"/>
  </r>
  <r>
    <s v="O2538"/>
    <x v="304"/>
    <s v="C086"/>
    <s v="P015"/>
    <n v="3"/>
    <x v="1531"/>
    <n v="0.1"/>
    <n v="322.85000000000002"/>
    <x v="3"/>
    <x v="1"/>
    <x v="0"/>
    <s v="Tablet"/>
    <x v="0"/>
  </r>
  <r>
    <s v="O2539"/>
    <x v="37"/>
    <s v="C064"/>
    <s v="P018"/>
    <n v="4"/>
    <x v="1532"/>
    <n v="0.1"/>
    <n v="37.49"/>
    <x v="0"/>
    <x v="0"/>
    <x v="2"/>
    <s v="Storage"/>
    <x v="0"/>
  </r>
  <r>
    <s v="O2540"/>
    <x v="661"/>
    <s v="C024"/>
    <s v="P003"/>
    <n v="2"/>
    <x v="1533"/>
    <n v="0.3"/>
    <n v="66.489999999999995"/>
    <x v="2"/>
    <x v="0"/>
    <x v="2"/>
    <s v="Pen"/>
    <x v="1"/>
  </r>
  <r>
    <s v="O2541"/>
    <x v="554"/>
    <s v="C104"/>
    <s v="P009"/>
    <n v="4"/>
    <x v="1534"/>
    <n v="0.2"/>
    <n v="110.61"/>
    <x v="0"/>
    <x v="1"/>
    <x v="1"/>
    <s v="Chair"/>
    <x v="0"/>
  </r>
  <r>
    <s v="O2542"/>
    <x v="517"/>
    <s v="C184"/>
    <s v="P051"/>
    <n v="3"/>
    <x v="1535"/>
    <n v="0.1"/>
    <n v="38.72"/>
    <x v="1"/>
    <x v="0"/>
    <x v="0"/>
    <s v="Tablet"/>
    <x v="0"/>
  </r>
  <r>
    <s v="O2543"/>
    <x v="497"/>
    <s v="C134"/>
    <s v="P021"/>
    <n v="3"/>
    <x v="1536"/>
    <n v="0.1"/>
    <n v="44.72"/>
    <x v="3"/>
    <x v="1"/>
    <x v="1"/>
    <s v="Desk"/>
    <x v="0"/>
  </r>
  <r>
    <s v="O2544"/>
    <x v="29"/>
    <s v="C038"/>
    <s v="P069"/>
    <n v="3"/>
    <x v="1537"/>
    <n v="0"/>
    <n v="11.15"/>
    <x v="0"/>
    <x v="0"/>
    <x v="2"/>
    <s v="Pen"/>
    <x v="1"/>
  </r>
  <r>
    <s v="O2545"/>
    <x v="560"/>
    <s v="C147"/>
    <s v="P091"/>
    <n v="1"/>
    <x v="1538"/>
    <n v="0.2"/>
    <n v="291.47000000000003"/>
    <x v="3"/>
    <x v="2"/>
    <x v="1"/>
    <s v="Shelf"/>
    <x v="0"/>
  </r>
  <r>
    <s v="O2546"/>
    <x v="727"/>
    <s v="C076"/>
    <s v="P040"/>
    <n v="4"/>
    <x v="1539"/>
    <n v="0"/>
    <n v="373.9"/>
    <x v="2"/>
    <x v="1"/>
    <x v="2"/>
    <s v="Binder"/>
    <x v="0"/>
  </r>
  <r>
    <s v="O2547"/>
    <x v="425"/>
    <s v="C021"/>
    <s v="P067"/>
    <n v="4"/>
    <x v="1540"/>
    <n v="0"/>
    <n v="309.04000000000002"/>
    <x v="3"/>
    <x v="2"/>
    <x v="2"/>
    <s v="Binder"/>
    <x v="1"/>
  </r>
  <r>
    <s v="O2548"/>
    <x v="709"/>
    <s v="C174"/>
    <s v="P069"/>
    <n v="5"/>
    <x v="1541"/>
    <n v="0.2"/>
    <n v="244.58"/>
    <x v="1"/>
    <x v="2"/>
    <x v="2"/>
    <s v="Pen"/>
    <x v="1"/>
  </r>
  <r>
    <s v="O2549"/>
    <x v="270"/>
    <s v="C069"/>
    <s v="P021"/>
    <n v="5"/>
    <x v="1542"/>
    <n v="0.2"/>
    <n v="31.78"/>
    <x v="0"/>
    <x v="0"/>
    <x v="1"/>
    <s v="Desk"/>
    <x v="0"/>
  </r>
  <r>
    <s v="O2550"/>
    <x v="211"/>
    <s v="C035"/>
    <s v="P075"/>
    <n v="5"/>
    <x v="1543"/>
    <n v="0.3"/>
    <n v="167.54"/>
    <x v="1"/>
    <x v="1"/>
    <x v="2"/>
    <s v="Pen"/>
    <x v="0"/>
  </r>
  <r>
    <s v="O2551"/>
    <x v="728"/>
    <s v="C193"/>
    <s v="P002"/>
    <n v="3"/>
    <x v="1544"/>
    <n v="0.2"/>
    <n v="205.15"/>
    <x v="1"/>
    <x v="2"/>
    <x v="1"/>
    <s v="Chair"/>
    <x v="0"/>
  </r>
  <r>
    <s v="O2552"/>
    <x v="617"/>
    <s v="C021"/>
    <s v="P014"/>
    <n v="4"/>
    <x v="1545"/>
    <n v="0.1"/>
    <n v="234.66"/>
    <x v="3"/>
    <x v="2"/>
    <x v="1"/>
    <s v="Shelf"/>
    <x v="0"/>
  </r>
  <r>
    <s v="O2553"/>
    <x v="383"/>
    <s v="C069"/>
    <s v="P048"/>
    <n v="3"/>
    <x v="1546"/>
    <n v="0.2"/>
    <n v="397.75"/>
    <x v="0"/>
    <x v="0"/>
    <x v="1"/>
    <s v="Table"/>
    <x v="0"/>
  </r>
  <r>
    <s v="O2554"/>
    <x v="549"/>
    <s v="C200"/>
    <s v="P053"/>
    <n v="1"/>
    <x v="1547"/>
    <n v="0.3"/>
    <n v="346.19"/>
    <x v="3"/>
    <x v="0"/>
    <x v="0"/>
    <s v="Accessories"/>
    <x v="0"/>
  </r>
  <r>
    <s v="O2555"/>
    <x v="729"/>
    <s v="C022"/>
    <s v="P056"/>
    <n v="5"/>
    <x v="1548"/>
    <n v="0.3"/>
    <n v="78.67"/>
    <x v="1"/>
    <x v="2"/>
    <x v="2"/>
    <s v="Paper"/>
    <x v="0"/>
  </r>
  <r>
    <s v="O2556"/>
    <x v="281"/>
    <s v="C124"/>
    <s v="P086"/>
    <n v="3"/>
    <x v="1549"/>
    <n v="0.3"/>
    <n v="26.19"/>
    <x v="3"/>
    <x v="2"/>
    <x v="1"/>
    <s v="Shelf"/>
    <x v="0"/>
  </r>
  <r>
    <s v="O2557"/>
    <x v="533"/>
    <s v="C140"/>
    <s v="P051"/>
    <n v="3"/>
    <x v="1550"/>
    <n v="0.2"/>
    <n v="96.13"/>
    <x v="1"/>
    <x v="2"/>
    <x v="0"/>
    <s v="Tablet"/>
    <x v="1"/>
  </r>
  <r>
    <s v="O2558"/>
    <x v="493"/>
    <s v="C153"/>
    <s v="P004"/>
    <n v="1"/>
    <x v="1551"/>
    <n v="0.2"/>
    <n v="230.69"/>
    <x v="2"/>
    <x v="2"/>
    <x v="0"/>
    <s v="Laptop"/>
    <x v="0"/>
  </r>
  <r>
    <s v="O2559"/>
    <x v="457"/>
    <s v="C084"/>
    <s v="P082"/>
    <n v="2"/>
    <x v="1552"/>
    <n v="0"/>
    <n v="425.53"/>
    <x v="2"/>
    <x v="2"/>
    <x v="0"/>
    <s v="Accessories"/>
    <x v="0"/>
  </r>
  <r>
    <s v="O2560"/>
    <x v="6"/>
    <s v="C054"/>
    <s v="P020"/>
    <n v="4"/>
    <x v="664"/>
    <n v="0"/>
    <n v="228.35"/>
    <x v="3"/>
    <x v="0"/>
    <x v="2"/>
    <s v="Pen"/>
    <x v="0"/>
  </r>
  <r>
    <s v="O2561"/>
    <x v="257"/>
    <s v="C018"/>
    <s v="P064"/>
    <n v="2"/>
    <x v="1553"/>
    <n v="0.1"/>
    <n v="57.62"/>
    <x v="2"/>
    <x v="0"/>
    <x v="2"/>
    <s v="Binder"/>
    <x v="0"/>
  </r>
  <r>
    <s v="O2562"/>
    <x v="604"/>
    <s v="C151"/>
    <s v="P027"/>
    <n v="5"/>
    <x v="1554"/>
    <n v="0"/>
    <n v="134.13"/>
    <x v="3"/>
    <x v="2"/>
    <x v="2"/>
    <s v="Storage"/>
    <x v="1"/>
  </r>
  <r>
    <s v="O2563"/>
    <x v="730"/>
    <s v="C017"/>
    <s v="P041"/>
    <n v="3"/>
    <x v="1555"/>
    <n v="0.1"/>
    <n v="259.69"/>
    <x v="3"/>
    <x v="0"/>
    <x v="0"/>
    <s v="Tablet"/>
    <x v="0"/>
  </r>
  <r>
    <s v="O2564"/>
    <x v="409"/>
    <s v="C026"/>
    <s v="P080"/>
    <n v="1"/>
    <x v="1556"/>
    <n v="0.3"/>
    <n v="93.33"/>
    <x v="1"/>
    <x v="2"/>
    <x v="2"/>
    <s v="Pen"/>
    <x v="0"/>
  </r>
  <r>
    <s v="O2565"/>
    <x v="446"/>
    <s v="C177"/>
    <s v="P059"/>
    <n v="1"/>
    <x v="1557"/>
    <n v="0"/>
    <n v="302.02"/>
    <x v="0"/>
    <x v="0"/>
    <x v="1"/>
    <s v="Table"/>
    <x v="0"/>
  </r>
  <r>
    <s v="O2566"/>
    <x v="477"/>
    <s v="C176"/>
    <s v="P013"/>
    <n v="4"/>
    <x v="1558"/>
    <n v="0.2"/>
    <n v="150.13"/>
    <x v="3"/>
    <x v="2"/>
    <x v="0"/>
    <s v="Laptop"/>
    <x v="0"/>
  </r>
  <r>
    <s v="O2567"/>
    <x v="626"/>
    <s v="C021"/>
    <s v="P065"/>
    <n v="2"/>
    <x v="1559"/>
    <n v="0"/>
    <n v="73.63"/>
    <x v="3"/>
    <x v="2"/>
    <x v="1"/>
    <s v="Chair"/>
    <x v="1"/>
  </r>
  <r>
    <s v="O2568"/>
    <x v="731"/>
    <s v="C042"/>
    <s v="P008"/>
    <n v="4"/>
    <x v="1560"/>
    <n v="0.1"/>
    <n v="320.72000000000003"/>
    <x v="0"/>
    <x v="0"/>
    <x v="0"/>
    <s v="Accessories"/>
    <x v="0"/>
  </r>
  <r>
    <s v="O2569"/>
    <x v="487"/>
    <s v="C199"/>
    <s v="P051"/>
    <n v="3"/>
    <x v="1561"/>
    <n v="0"/>
    <n v="234.79"/>
    <x v="0"/>
    <x v="2"/>
    <x v="0"/>
    <s v="Tablet"/>
    <x v="0"/>
  </r>
  <r>
    <s v="O2570"/>
    <x v="223"/>
    <s v="C185"/>
    <s v="P054"/>
    <n v="4"/>
    <x v="1562"/>
    <n v="0.3"/>
    <n v="329.22"/>
    <x v="1"/>
    <x v="2"/>
    <x v="1"/>
    <s v="Shelf"/>
    <x v="0"/>
  </r>
  <r>
    <s v="O2571"/>
    <x v="57"/>
    <s v="C085"/>
    <s v="P064"/>
    <n v="1"/>
    <x v="1563"/>
    <n v="0.2"/>
    <n v="276.02"/>
    <x v="2"/>
    <x v="0"/>
    <x v="2"/>
    <s v="Binder"/>
    <x v="0"/>
  </r>
  <r>
    <s v="O2572"/>
    <x v="268"/>
    <s v="C160"/>
    <s v="P069"/>
    <n v="1"/>
    <x v="1564"/>
    <n v="0.1"/>
    <n v="252.93"/>
    <x v="2"/>
    <x v="0"/>
    <x v="2"/>
    <s v="Pen"/>
    <x v="0"/>
  </r>
  <r>
    <s v="O2573"/>
    <x v="152"/>
    <s v="C089"/>
    <s v="P033"/>
    <n v="5"/>
    <x v="1565"/>
    <n v="0.2"/>
    <n v="105.84"/>
    <x v="2"/>
    <x v="2"/>
    <x v="1"/>
    <s v="Table"/>
    <x v="0"/>
  </r>
  <r>
    <s v="O2574"/>
    <x v="110"/>
    <s v="C014"/>
    <s v="P069"/>
    <n v="5"/>
    <x v="1566"/>
    <n v="0.2"/>
    <n v="90.14"/>
    <x v="1"/>
    <x v="0"/>
    <x v="2"/>
    <s v="Pen"/>
    <x v="1"/>
  </r>
  <r>
    <s v="O2575"/>
    <x v="732"/>
    <s v="C091"/>
    <s v="P063"/>
    <n v="3"/>
    <x v="1567"/>
    <n v="0.1"/>
    <n v="59.97"/>
    <x v="3"/>
    <x v="1"/>
    <x v="2"/>
    <s v="Pen"/>
    <x v="0"/>
  </r>
  <r>
    <s v="O2576"/>
    <x v="463"/>
    <s v="C157"/>
    <s v="P026"/>
    <n v="2"/>
    <x v="1568"/>
    <n v="0.2"/>
    <n v="91.11"/>
    <x v="0"/>
    <x v="2"/>
    <x v="0"/>
    <s v="Phone"/>
    <x v="0"/>
  </r>
  <r>
    <s v="O2577"/>
    <x v="733"/>
    <s v="C042"/>
    <s v="P098"/>
    <n v="4"/>
    <x v="1569"/>
    <n v="0.2"/>
    <n v="77.510000000000005"/>
    <x v="0"/>
    <x v="0"/>
    <x v="1"/>
    <s v="Shelf"/>
    <x v="1"/>
  </r>
  <r>
    <s v="O2578"/>
    <x v="644"/>
    <s v="C008"/>
    <s v="P067"/>
    <n v="3"/>
    <x v="1570"/>
    <n v="0"/>
    <n v="443.12"/>
    <x v="1"/>
    <x v="2"/>
    <x v="2"/>
    <s v="Binder"/>
    <x v="0"/>
  </r>
  <r>
    <s v="O2579"/>
    <x v="394"/>
    <s v="C145"/>
    <s v="P077"/>
    <n v="5"/>
    <x v="1571"/>
    <n v="0.2"/>
    <n v="51.15"/>
    <x v="1"/>
    <x v="2"/>
    <x v="0"/>
    <s v="Accessories"/>
    <x v="0"/>
  </r>
  <r>
    <s v="O2580"/>
    <x v="734"/>
    <s v="C177"/>
    <s v="P092"/>
    <n v="4"/>
    <x v="1572"/>
    <n v="0.2"/>
    <n v="140.05000000000001"/>
    <x v="0"/>
    <x v="0"/>
    <x v="0"/>
    <s v="Phone"/>
    <x v="0"/>
  </r>
  <r>
    <s v="O2581"/>
    <x v="608"/>
    <s v="C168"/>
    <s v="P089"/>
    <n v="5"/>
    <x v="1573"/>
    <n v="0.2"/>
    <n v="169.8"/>
    <x v="3"/>
    <x v="0"/>
    <x v="0"/>
    <s v="Phone"/>
    <x v="0"/>
  </r>
  <r>
    <s v="O2582"/>
    <x v="190"/>
    <s v="C183"/>
    <s v="P099"/>
    <n v="4"/>
    <x v="1574"/>
    <n v="0.2"/>
    <n v="83.68"/>
    <x v="1"/>
    <x v="1"/>
    <x v="1"/>
    <s v="Desk"/>
    <x v="0"/>
  </r>
  <r>
    <s v="O2583"/>
    <x v="323"/>
    <s v="C147"/>
    <s v="P008"/>
    <n v="2"/>
    <x v="1575"/>
    <n v="0.1"/>
    <n v="17.75"/>
    <x v="3"/>
    <x v="2"/>
    <x v="0"/>
    <s v="Accessories"/>
    <x v="1"/>
  </r>
  <r>
    <s v="O2584"/>
    <x v="222"/>
    <s v="C005"/>
    <s v="P055"/>
    <n v="3"/>
    <x v="1576"/>
    <n v="0.3"/>
    <n v="75.430000000000007"/>
    <x v="1"/>
    <x v="0"/>
    <x v="2"/>
    <s v="Binder"/>
    <x v="0"/>
  </r>
  <r>
    <s v="O2585"/>
    <x v="379"/>
    <s v="C195"/>
    <s v="P055"/>
    <n v="4"/>
    <x v="1577"/>
    <n v="0"/>
    <n v="150.94999999999999"/>
    <x v="1"/>
    <x v="2"/>
    <x v="2"/>
    <s v="Binder"/>
    <x v="0"/>
  </r>
  <r>
    <s v="O2586"/>
    <x v="342"/>
    <s v="C142"/>
    <s v="P082"/>
    <n v="1"/>
    <x v="1578"/>
    <n v="0.2"/>
    <n v="23.5"/>
    <x v="2"/>
    <x v="1"/>
    <x v="0"/>
    <s v="Accessories"/>
    <x v="0"/>
  </r>
  <r>
    <s v="O2587"/>
    <x v="697"/>
    <s v="C008"/>
    <s v="P063"/>
    <n v="1"/>
    <x v="1579"/>
    <n v="0.2"/>
    <n v="177.94"/>
    <x v="1"/>
    <x v="2"/>
    <x v="2"/>
    <s v="Pen"/>
    <x v="0"/>
  </r>
  <r>
    <s v="O2588"/>
    <x v="403"/>
    <s v="C144"/>
    <s v="P062"/>
    <n v="4"/>
    <x v="1580"/>
    <n v="0.1"/>
    <n v="282.67"/>
    <x v="0"/>
    <x v="0"/>
    <x v="1"/>
    <s v="Shelf"/>
    <x v="1"/>
  </r>
  <r>
    <s v="O2589"/>
    <x v="380"/>
    <s v="C030"/>
    <s v="P097"/>
    <n v="4"/>
    <x v="1581"/>
    <n v="0.3"/>
    <n v="89.07"/>
    <x v="1"/>
    <x v="1"/>
    <x v="2"/>
    <s v="Paper"/>
    <x v="0"/>
  </r>
  <r>
    <s v="O2590"/>
    <x v="368"/>
    <s v="C111"/>
    <s v="P014"/>
    <n v="4"/>
    <x v="1582"/>
    <n v="0.2"/>
    <n v="99.33"/>
    <x v="0"/>
    <x v="1"/>
    <x v="1"/>
    <s v="Shelf"/>
    <x v="0"/>
  </r>
  <r>
    <s v="O2591"/>
    <x v="157"/>
    <s v="C164"/>
    <s v="P068"/>
    <n v="1"/>
    <x v="1583"/>
    <n v="0.1"/>
    <n v="75.14"/>
    <x v="2"/>
    <x v="2"/>
    <x v="1"/>
    <s v="Table"/>
    <x v="1"/>
  </r>
  <r>
    <s v="O2592"/>
    <x v="735"/>
    <s v="C069"/>
    <s v="P061"/>
    <n v="1"/>
    <x v="1584"/>
    <n v="0"/>
    <n v="85"/>
    <x v="0"/>
    <x v="0"/>
    <x v="2"/>
    <s v="Pen"/>
    <x v="0"/>
  </r>
  <r>
    <s v="O2593"/>
    <x v="736"/>
    <s v="C147"/>
    <s v="P086"/>
    <n v="4"/>
    <x v="1585"/>
    <n v="0"/>
    <n v="122.73"/>
    <x v="3"/>
    <x v="2"/>
    <x v="1"/>
    <s v="Shelf"/>
    <x v="0"/>
  </r>
  <r>
    <s v="O2594"/>
    <x v="674"/>
    <s v="C034"/>
    <s v="P034"/>
    <n v="5"/>
    <x v="1586"/>
    <n v="0.2"/>
    <n v="25.64"/>
    <x v="1"/>
    <x v="0"/>
    <x v="2"/>
    <s v="Storage"/>
    <x v="0"/>
  </r>
  <r>
    <s v="O2595"/>
    <x v="273"/>
    <s v="C185"/>
    <s v="P095"/>
    <n v="5"/>
    <x v="1587"/>
    <n v="0.2"/>
    <n v="104.91"/>
    <x v="1"/>
    <x v="2"/>
    <x v="0"/>
    <s v="Phone"/>
    <x v="0"/>
  </r>
  <r>
    <s v="O2596"/>
    <x v="131"/>
    <s v="C154"/>
    <s v="P043"/>
    <n v="2"/>
    <x v="1588"/>
    <n v="0.3"/>
    <n v="41.64"/>
    <x v="3"/>
    <x v="0"/>
    <x v="1"/>
    <s v="Table"/>
    <x v="0"/>
  </r>
  <r>
    <s v="O2597"/>
    <x v="319"/>
    <s v="C170"/>
    <s v="P094"/>
    <n v="3"/>
    <x v="1589"/>
    <n v="0.3"/>
    <n v="82.28"/>
    <x v="1"/>
    <x v="2"/>
    <x v="1"/>
    <s v="Table"/>
    <x v="0"/>
  </r>
  <r>
    <s v="O2598"/>
    <x v="472"/>
    <s v="C065"/>
    <s v="P036"/>
    <n v="5"/>
    <x v="1590"/>
    <n v="0.2"/>
    <n v="259.33"/>
    <x v="0"/>
    <x v="0"/>
    <x v="1"/>
    <s v="Shelf"/>
    <x v="0"/>
  </r>
  <r>
    <s v="O2599"/>
    <x v="213"/>
    <s v="C036"/>
    <s v="P081"/>
    <n v="1"/>
    <x v="1591"/>
    <n v="0.1"/>
    <n v="164.57"/>
    <x v="0"/>
    <x v="0"/>
    <x v="2"/>
    <s v="Pen"/>
    <x v="0"/>
  </r>
  <r>
    <s v="O2600"/>
    <x v="191"/>
    <s v="C173"/>
    <s v="P008"/>
    <n v="5"/>
    <x v="1592"/>
    <n v="0.3"/>
    <n v="163.72999999999999"/>
    <x v="1"/>
    <x v="0"/>
    <x v="0"/>
    <s v="Accessories"/>
    <x v="1"/>
  </r>
  <r>
    <s v="O2601"/>
    <x v="54"/>
    <s v="C187"/>
    <s v="P041"/>
    <n v="2"/>
    <x v="1593"/>
    <n v="0.2"/>
    <n v="181.81"/>
    <x v="2"/>
    <x v="2"/>
    <x v="0"/>
    <s v="Tablet"/>
    <x v="1"/>
  </r>
  <r>
    <s v="O2602"/>
    <x v="147"/>
    <s v="C142"/>
    <s v="P044"/>
    <n v="2"/>
    <x v="1594"/>
    <n v="0.3"/>
    <n v="61.46"/>
    <x v="2"/>
    <x v="1"/>
    <x v="1"/>
    <s v="Table"/>
    <x v="1"/>
  </r>
  <r>
    <s v="O2603"/>
    <x v="373"/>
    <s v="C057"/>
    <s v="P009"/>
    <n v="3"/>
    <x v="1595"/>
    <n v="0.2"/>
    <n v="66.59"/>
    <x v="0"/>
    <x v="0"/>
    <x v="1"/>
    <s v="Chair"/>
    <x v="1"/>
  </r>
  <r>
    <s v="O2604"/>
    <x v="241"/>
    <s v="C013"/>
    <s v="P040"/>
    <n v="5"/>
    <x v="1596"/>
    <n v="0"/>
    <n v="54.46"/>
    <x v="2"/>
    <x v="0"/>
    <x v="2"/>
    <s v="Binder"/>
    <x v="1"/>
  </r>
  <r>
    <s v="O2605"/>
    <x v="508"/>
    <s v="C194"/>
    <s v="P038"/>
    <n v="1"/>
    <x v="1597"/>
    <n v="0.2"/>
    <n v="168.18"/>
    <x v="0"/>
    <x v="1"/>
    <x v="0"/>
    <s v="Accessories"/>
    <x v="0"/>
  </r>
  <r>
    <s v="O2606"/>
    <x v="737"/>
    <s v="C056"/>
    <s v="P060"/>
    <n v="1"/>
    <x v="1598"/>
    <n v="0"/>
    <n v="59.85"/>
    <x v="1"/>
    <x v="2"/>
    <x v="1"/>
    <s v="Chair"/>
    <x v="0"/>
  </r>
  <r>
    <s v="O2607"/>
    <x v="486"/>
    <s v="C001"/>
    <s v="P027"/>
    <n v="4"/>
    <x v="1599"/>
    <n v="0.3"/>
    <n v="280.14"/>
    <x v="3"/>
    <x v="0"/>
    <x v="2"/>
    <s v="Storage"/>
    <x v="1"/>
  </r>
  <r>
    <s v="O2608"/>
    <x v="738"/>
    <s v="C050"/>
    <s v="P029"/>
    <n v="1"/>
    <x v="1600"/>
    <n v="0.2"/>
    <n v="192.19"/>
    <x v="0"/>
    <x v="0"/>
    <x v="1"/>
    <s v="Shelf"/>
    <x v="0"/>
  </r>
  <r>
    <s v="O2609"/>
    <x v="271"/>
    <s v="C133"/>
    <s v="P062"/>
    <n v="3"/>
    <x v="1601"/>
    <n v="0.3"/>
    <n v="95.99"/>
    <x v="0"/>
    <x v="2"/>
    <x v="1"/>
    <s v="Shelf"/>
    <x v="0"/>
  </r>
  <r>
    <s v="O2610"/>
    <x v="486"/>
    <s v="C130"/>
    <s v="P086"/>
    <n v="3"/>
    <x v="1602"/>
    <n v="0"/>
    <n v="140.47999999999999"/>
    <x v="3"/>
    <x v="0"/>
    <x v="1"/>
    <s v="Shelf"/>
    <x v="0"/>
  </r>
  <r>
    <s v="O2611"/>
    <x v="257"/>
    <s v="C024"/>
    <s v="P095"/>
    <n v="1"/>
    <x v="1603"/>
    <n v="0.2"/>
    <n v="138.22"/>
    <x v="2"/>
    <x v="0"/>
    <x v="0"/>
    <s v="Phone"/>
    <x v="0"/>
  </r>
  <r>
    <s v="O2612"/>
    <x v="23"/>
    <s v="C050"/>
    <s v="P002"/>
    <n v="1"/>
    <x v="1604"/>
    <n v="0.3"/>
    <n v="153.63999999999999"/>
    <x v="0"/>
    <x v="0"/>
    <x v="1"/>
    <s v="Chair"/>
    <x v="0"/>
  </r>
  <r>
    <s v="O2613"/>
    <x v="305"/>
    <s v="C085"/>
    <s v="P027"/>
    <n v="4"/>
    <x v="1605"/>
    <n v="0"/>
    <n v="386.89"/>
    <x v="2"/>
    <x v="0"/>
    <x v="2"/>
    <s v="Storage"/>
    <x v="0"/>
  </r>
  <r>
    <s v="O2614"/>
    <x v="33"/>
    <s v="C037"/>
    <s v="P072"/>
    <n v="1"/>
    <x v="1606"/>
    <n v="0.3"/>
    <n v="469.35"/>
    <x v="1"/>
    <x v="1"/>
    <x v="1"/>
    <s v="Chair"/>
    <x v="0"/>
  </r>
  <r>
    <s v="O2615"/>
    <x v="642"/>
    <s v="C196"/>
    <s v="P001"/>
    <n v="4"/>
    <x v="1607"/>
    <n v="0.1"/>
    <n v="204.98"/>
    <x v="3"/>
    <x v="1"/>
    <x v="2"/>
    <s v="Storage"/>
    <x v="0"/>
  </r>
  <r>
    <s v="O2616"/>
    <x v="357"/>
    <s v="C146"/>
    <s v="P008"/>
    <n v="4"/>
    <x v="1608"/>
    <n v="0"/>
    <n v="172.46"/>
    <x v="3"/>
    <x v="0"/>
    <x v="0"/>
    <s v="Accessories"/>
    <x v="0"/>
  </r>
  <r>
    <s v="O2617"/>
    <x v="703"/>
    <s v="C157"/>
    <s v="P046"/>
    <n v="1"/>
    <x v="1609"/>
    <n v="0"/>
    <n v="94.36"/>
    <x v="0"/>
    <x v="2"/>
    <x v="1"/>
    <s v="Chair"/>
    <x v="0"/>
  </r>
  <r>
    <s v="O2618"/>
    <x v="513"/>
    <s v="C072"/>
    <s v="P081"/>
    <n v="2"/>
    <x v="1610"/>
    <n v="0"/>
    <n v="209.32"/>
    <x v="3"/>
    <x v="2"/>
    <x v="2"/>
    <s v="Pen"/>
    <x v="0"/>
  </r>
  <r>
    <s v="O2619"/>
    <x v="399"/>
    <s v="C154"/>
    <s v="P096"/>
    <n v="2"/>
    <x v="1611"/>
    <n v="0.2"/>
    <n v="459.87"/>
    <x v="3"/>
    <x v="0"/>
    <x v="0"/>
    <s v="Laptop"/>
    <x v="0"/>
  </r>
  <r>
    <s v="O2620"/>
    <x v="739"/>
    <s v="C174"/>
    <s v="P001"/>
    <n v="4"/>
    <x v="1612"/>
    <n v="0.2"/>
    <n v="30.17"/>
    <x v="1"/>
    <x v="2"/>
    <x v="2"/>
    <s v="Storage"/>
    <x v="0"/>
  </r>
  <r>
    <s v="O2621"/>
    <x v="677"/>
    <s v="C034"/>
    <s v="P088"/>
    <n v="1"/>
    <x v="1613"/>
    <n v="0.2"/>
    <n v="57.65"/>
    <x v="1"/>
    <x v="0"/>
    <x v="0"/>
    <s v="Laptop"/>
    <x v="1"/>
  </r>
  <r>
    <s v="O2622"/>
    <x v="524"/>
    <s v="C123"/>
    <s v="P071"/>
    <n v="2"/>
    <x v="1614"/>
    <n v="0.1"/>
    <n v="260.01"/>
    <x v="2"/>
    <x v="0"/>
    <x v="0"/>
    <s v="Laptop"/>
    <x v="1"/>
  </r>
  <r>
    <s v="O2623"/>
    <x v="593"/>
    <s v="C015"/>
    <s v="P015"/>
    <n v="1"/>
    <x v="1615"/>
    <n v="0.1"/>
    <n v="159.06"/>
    <x v="3"/>
    <x v="1"/>
    <x v="0"/>
    <s v="Tablet"/>
    <x v="0"/>
  </r>
  <r>
    <s v="O2624"/>
    <x v="629"/>
    <s v="C165"/>
    <s v="P008"/>
    <n v="1"/>
    <x v="1616"/>
    <n v="0"/>
    <n v="131.13999999999999"/>
    <x v="3"/>
    <x v="2"/>
    <x v="0"/>
    <s v="Accessories"/>
    <x v="0"/>
  </r>
  <r>
    <s v="O2625"/>
    <x v="730"/>
    <s v="C166"/>
    <s v="P038"/>
    <n v="1"/>
    <x v="1617"/>
    <n v="0.1"/>
    <n v="368.11"/>
    <x v="0"/>
    <x v="2"/>
    <x v="0"/>
    <s v="Accessories"/>
    <x v="0"/>
  </r>
  <r>
    <s v="O2626"/>
    <x v="124"/>
    <s v="C134"/>
    <s v="P047"/>
    <n v="5"/>
    <x v="1618"/>
    <n v="0.3"/>
    <n v="100.64"/>
    <x v="3"/>
    <x v="1"/>
    <x v="2"/>
    <s v="Pen"/>
    <x v="0"/>
  </r>
  <r>
    <s v="O2627"/>
    <x v="601"/>
    <s v="C194"/>
    <s v="P027"/>
    <n v="1"/>
    <x v="1619"/>
    <n v="0"/>
    <n v="485.55"/>
    <x v="0"/>
    <x v="1"/>
    <x v="2"/>
    <s v="Storage"/>
    <x v="0"/>
  </r>
  <r>
    <s v="O2628"/>
    <x v="740"/>
    <s v="C149"/>
    <s v="P027"/>
    <n v="5"/>
    <x v="1620"/>
    <n v="0"/>
    <n v="198.52"/>
    <x v="1"/>
    <x v="2"/>
    <x v="2"/>
    <s v="Storage"/>
    <x v="1"/>
  </r>
  <r>
    <s v="O2629"/>
    <x v="226"/>
    <s v="C037"/>
    <s v="P045"/>
    <n v="4"/>
    <x v="1621"/>
    <n v="0.3"/>
    <n v="204.39"/>
    <x v="1"/>
    <x v="1"/>
    <x v="0"/>
    <s v="Tablet"/>
    <x v="1"/>
  </r>
  <r>
    <s v="O2630"/>
    <x v="542"/>
    <s v="C156"/>
    <s v="P029"/>
    <n v="2"/>
    <x v="1622"/>
    <n v="0"/>
    <n v="140.69999999999999"/>
    <x v="2"/>
    <x v="1"/>
    <x v="1"/>
    <s v="Shelf"/>
    <x v="0"/>
  </r>
  <r>
    <s v="O2631"/>
    <x v="444"/>
    <s v="C140"/>
    <s v="P001"/>
    <n v="2"/>
    <x v="1623"/>
    <n v="0.1"/>
    <n v="79.14"/>
    <x v="1"/>
    <x v="2"/>
    <x v="2"/>
    <s v="Storage"/>
    <x v="1"/>
  </r>
  <r>
    <s v="O2632"/>
    <x v="608"/>
    <s v="C034"/>
    <s v="P059"/>
    <n v="2"/>
    <x v="1624"/>
    <n v="0.2"/>
    <n v="70.47"/>
    <x v="1"/>
    <x v="0"/>
    <x v="1"/>
    <s v="Table"/>
    <x v="1"/>
  </r>
  <r>
    <s v="O2633"/>
    <x v="152"/>
    <s v="C196"/>
    <s v="P027"/>
    <n v="2"/>
    <x v="1625"/>
    <n v="0.3"/>
    <n v="111.54"/>
    <x v="3"/>
    <x v="1"/>
    <x v="2"/>
    <s v="Storage"/>
    <x v="0"/>
  </r>
  <r>
    <s v="O2634"/>
    <x v="741"/>
    <s v="C099"/>
    <s v="P057"/>
    <n v="2"/>
    <x v="1626"/>
    <n v="0.1"/>
    <n v="66.19"/>
    <x v="0"/>
    <x v="1"/>
    <x v="0"/>
    <s v="Laptop"/>
    <x v="1"/>
  </r>
  <r>
    <s v="O2635"/>
    <x v="12"/>
    <s v="C063"/>
    <s v="P017"/>
    <n v="2"/>
    <x v="1627"/>
    <n v="0.3"/>
    <n v="195.3"/>
    <x v="0"/>
    <x v="0"/>
    <x v="2"/>
    <s v="Pen"/>
    <x v="0"/>
  </r>
  <r>
    <s v="O2636"/>
    <x v="742"/>
    <s v="C166"/>
    <s v="P079"/>
    <n v="2"/>
    <x v="1628"/>
    <n v="0.3"/>
    <n v="130.41999999999999"/>
    <x v="0"/>
    <x v="2"/>
    <x v="1"/>
    <s v="Chair"/>
    <x v="0"/>
  </r>
  <r>
    <s v="O2637"/>
    <x v="116"/>
    <s v="C010"/>
    <s v="P061"/>
    <n v="4"/>
    <x v="1629"/>
    <n v="0"/>
    <n v="81.09"/>
    <x v="2"/>
    <x v="2"/>
    <x v="2"/>
    <s v="Pen"/>
    <x v="0"/>
  </r>
  <r>
    <s v="O2638"/>
    <x v="563"/>
    <s v="C030"/>
    <s v="P001"/>
    <n v="1"/>
    <x v="1630"/>
    <n v="0"/>
    <n v="36.58"/>
    <x v="1"/>
    <x v="1"/>
    <x v="2"/>
    <s v="Storage"/>
    <x v="0"/>
  </r>
  <r>
    <s v="O2639"/>
    <x v="743"/>
    <s v="C137"/>
    <s v="P062"/>
    <n v="3"/>
    <x v="1631"/>
    <n v="0.1"/>
    <n v="14.7"/>
    <x v="1"/>
    <x v="2"/>
    <x v="1"/>
    <s v="Shelf"/>
    <x v="0"/>
  </r>
  <r>
    <s v="O2640"/>
    <x v="744"/>
    <s v="C106"/>
    <s v="P071"/>
    <n v="5"/>
    <x v="1632"/>
    <n v="0.3"/>
    <n v="210.08"/>
    <x v="0"/>
    <x v="1"/>
    <x v="0"/>
    <s v="Laptop"/>
    <x v="0"/>
  </r>
  <r>
    <s v="O2641"/>
    <x v="745"/>
    <s v="C121"/>
    <s v="P051"/>
    <n v="3"/>
    <x v="1633"/>
    <n v="0"/>
    <n v="131.04"/>
    <x v="0"/>
    <x v="2"/>
    <x v="0"/>
    <s v="Tablet"/>
    <x v="0"/>
  </r>
  <r>
    <s v="O2642"/>
    <x v="746"/>
    <s v="C001"/>
    <s v="P054"/>
    <n v="3"/>
    <x v="1634"/>
    <n v="0"/>
    <n v="269.18"/>
    <x v="3"/>
    <x v="0"/>
    <x v="1"/>
    <s v="Shelf"/>
    <x v="0"/>
  </r>
  <r>
    <s v="O2643"/>
    <x v="747"/>
    <s v="C063"/>
    <s v="P056"/>
    <n v="1"/>
    <x v="1635"/>
    <n v="0.3"/>
    <n v="92.22"/>
    <x v="0"/>
    <x v="0"/>
    <x v="2"/>
    <s v="Paper"/>
    <x v="1"/>
  </r>
  <r>
    <s v="O2644"/>
    <x v="748"/>
    <s v="C080"/>
    <s v="P020"/>
    <n v="1"/>
    <x v="1636"/>
    <n v="0.1"/>
    <n v="25.25"/>
    <x v="2"/>
    <x v="1"/>
    <x v="2"/>
    <s v="Pen"/>
    <x v="1"/>
  </r>
  <r>
    <s v="O2645"/>
    <x v="674"/>
    <s v="C136"/>
    <s v="P063"/>
    <n v="1"/>
    <x v="1637"/>
    <n v="0.1"/>
    <n v="19.32"/>
    <x v="1"/>
    <x v="2"/>
    <x v="2"/>
    <s v="Pen"/>
    <x v="0"/>
  </r>
  <r>
    <s v="O2646"/>
    <x v="749"/>
    <s v="C173"/>
    <s v="P086"/>
    <n v="2"/>
    <x v="1195"/>
    <n v="0.3"/>
    <n v="31.72"/>
    <x v="1"/>
    <x v="0"/>
    <x v="1"/>
    <s v="Shelf"/>
    <x v="0"/>
  </r>
  <r>
    <s v="O2647"/>
    <x v="437"/>
    <s v="C078"/>
    <s v="P089"/>
    <n v="4"/>
    <x v="1638"/>
    <n v="0.1"/>
    <n v="371.17"/>
    <x v="2"/>
    <x v="2"/>
    <x v="0"/>
    <s v="Phone"/>
    <x v="0"/>
  </r>
  <r>
    <s v="O2648"/>
    <x v="122"/>
    <s v="C187"/>
    <s v="P019"/>
    <n v="2"/>
    <x v="1639"/>
    <n v="0"/>
    <n v="44.91"/>
    <x v="2"/>
    <x v="2"/>
    <x v="0"/>
    <s v="Phone"/>
    <x v="0"/>
  </r>
  <r>
    <s v="O2649"/>
    <x v="506"/>
    <s v="C011"/>
    <s v="P056"/>
    <n v="4"/>
    <x v="1640"/>
    <n v="0.3"/>
    <n v="229.22"/>
    <x v="2"/>
    <x v="0"/>
    <x v="2"/>
    <s v="Paper"/>
    <x v="1"/>
  </r>
  <r>
    <s v="O2650"/>
    <x v="315"/>
    <s v="C132"/>
    <s v="P082"/>
    <n v="4"/>
    <x v="1641"/>
    <n v="0"/>
    <n v="73.59"/>
    <x v="1"/>
    <x v="0"/>
    <x v="0"/>
    <s v="Accessories"/>
    <x v="0"/>
  </r>
  <r>
    <s v="O2651"/>
    <x v="446"/>
    <s v="C182"/>
    <s v="P033"/>
    <n v="3"/>
    <x v="1642"/>
    <n v="0.2"/>
    <n v="77.099999999999994"/>
    <x v="1"/>
    <x v="2"/>
    <x v="1"/>
    <s v="Table"/>
    <x v="0"/>
  </r>
  <r>
    <s v="O2652"/>
    <x v="672"/>
    <s v="C143"/>
    <s v="P074"/>
    <n v="3"/>
    <x v="1643"/>
    <n v="0.2"/>
    <n v="211.48"/>
    <x v="0"/>
    <x v="2"/>
    <x v="1"/>
    <s v="Table"/>
    <x v="0"/>
  </r>
  <r>
    <s v="O2653"/>
    <x v="718"/>
    <s v="C043"/>
    <s v="P034"/>
    <n v="4"/>
    <x v="1083"/>
    <n v="0.1"/>
    <n v="348.61"/>
    <x v="3"/>
    <x v="2"/>
    <x v="2"/>
    <s v="Storage"/>
    <x v="0"/>
  </r>
  <r>
    <s v="O2654"/>
    <x v="600"/>
    <s v="C164"/>
    <s v="P003"/>
    <n v="4"/>
    <x v="1644"/>
    <n v="0.2"/>
    <n v="106.74"/>
    <x v="2"/>
    <x v="2"/>
    <x v="2"/>
    <s v="Pen"/>
    <x v="0"/>
  </r>
  <r>
    <s v="O2655"/>
    <x v="39"/>
    <s v="C152"/>
    <s v="P013"/>
    <n v="2"/>
    <x v="1645"/>
    <n v="0"/>
    <n v="19.63"/>
    <x v="1"/>
    <x v="1"/>
    <x v="0"/>
    <s v="Laptop"/>
    <x v="0"/>
  </r>
  <r>
    <s v="O2656"/>
    <x v="86"/>
    <s v="C107"/>
    <s v="P011"/>
    <n v="2"/>
    <x v="1646"/>
    <n v="0.2"/>
    <n v="121.96"/>
    <x v="2"/>
    <x v="1"/>
    <x v="0"/>
    <s v="Accessories"/>
    <x v="1"/>
  </r>
  <r>
    <s v="O2657"/>
    <x v="397"/>
    <s v="C158"/>
    <s v="P061"/>
    <n v="3"/>
    <x v="1647"/>
    <n v="0"/>
    <n v="142.13"/>
    <x v="3"/>
    <x v="0"/>
    <x v="2"/>
    <s v="Pen"/>
    <x v="0"/>
  </r>
  <r>
    <s v="O2658"/>
    <x v="16"/>
    <s v="C071"/>
    <s v="P063"/>
    <n v="1"/>
    <x v="1648"/>
    <n v="0.1"/>
    <n v="109.15"/>
    <x v="0"/>
    <x v="1"/>
    <x v="2"/>
    <s v="Pen"/>
    <x v="0"/>
  </r>
  <r>
    <s v="O2659"/>
    <x v="52"/>
    <s v="C079"/>
    <s v="P079"/>
    <n v="4"/>
    <x v="1649"/>
    <n v="0.1"/>
    <n v="409.14"/>
    <x v="3"/>
    <x v="1"/>
    <x v="1"/>
    <s v="Chair"/>
    <x v="0"/>
  </r>
  <r>
    <s v="O2660"/>
    <x v="192"/>
    <s v="C167"/>
    <s v="P013"/>
    <n v="2"/>
    <x v="1650"/>
    <n v="0"/>
    <n v="338.97"/>
    <x v="2"/>
    <x v="0"/>
    <x v="0"/>
    <s v="Laptop"/>
    <x v="0"/>
  </r>
  <r>
    <s v="O2661"/>
    <x v="750"/>
    <s v="C051"/>
    <s v="P002"/>
    <n v="3"/>
    <x v="1651"/>
    <n v="0.2"/>
    <n v="316.72000000000003"/>
    <x v="0"/>
    <x v="1"/>
    <x v="1"/>
    <s v="Chair"/>
    <x v="1"/>
  </r>
  <r>
    <s v="O2662"/>
    <x v="514"/>
    <s v="C114"/>
    <s v="P100"/>
    <n v="2"/>
    <x v="1652"/>
    <n v="0.1"/>
    <n v="249.15"/>
    <x v="3"/>
    <x v="1"/>
    <x v="0"/>
    <s v="Phone"/>
    <x v="0"/>
  </r>
  <r>
    <s v="O2663"/>
    <x v="9"/>
    <s v="C148"/>
    <s v="P031"/>
    <n v="4"/>
    <x v="1653"/>
    <n v="0.3"/>
    <n v="67.45"/>
    <x v="0"/>
    <x v="2"/>
    <x v="2"/>
    <s v="Storage"/>
    <x v="0"/>
  </r>
  <r>
    <s v="O2664"/>
    <x v="491"/>
    <s v="C094"/>
    <s v="P040"/>
    <n v="4"/>
    <x v="1654"/>
    <n v="0.1"/>
    <n v="209.79"/>
    <x v="3"/>
    <x v="1"/>
    <x v="2"/>
    <s v="Binder"/>
    <x v="1"/>
  </r>
  <r>
    <s v="O2665"/>
    <x v="751"/>
    <s v="C122"/>
    <s v="P027"/>
    <n v="5"/>
    <x v="1655"/>
    <n v="0.2"/>
    <n v="334.64"/>
    <x v="0"/>
    <x v="2"/>
    <x v="2"/>
    <s v="Storage"/>
    <x v="0"/>
  </r>
  <r>
    <s v="O2666"/>
    <x v="97"/>
    <s v="C199"/>
    <s v="P083"/>
    <n v="1"/>
    <x v="1656"/>
    <n v="0.3"/>
    <n v="343.08"/>
    <x v="0"/>
    <x v="2"/>
    <x v="2"/>
    <s v="Paper"/>
    <x v="0"/>
  </r>
  <r>
    <s v="O2667"/>
    <x v="515"/>
    <s v="C176"/>
    <s v="P049"/>
    <n v="5"/>
    <x v="1657"/>
    <n v="0.2"/>
    <n v="85.96"/>
    <x v="3"/>
    <x v="2"/>
    <x v="2"/>
    <s v="Paper"/>
    <x v="0"/>
  </r>
  <r>
    <s v="O2668"/>
    <x v="743"/>
    <s v="C189"/>
    <s v="P048"/>
    <n v="3"/>
    <x v="1658"/>
    <n v="0"/>
    <n v="96.3"/>
    <x v="0"/>
    <x v="2"/>
    <x v="1"/>
    <s v="Table"/>
    <x v="0"/>
  </r>
  <r>
    <s v="O2669"/>
    <x v="329"/>
    <s v="C119"/>
    <s v="P064"/>
    <n v="2"/>
    <x v="1659"/>
    <n v="0.3"/>
    <n v="220.11"/>
    <x v="3"/>
    <x v="1"/>
    <x v="2"/>
    <s v="Binder"/>
    <x v="0"/>
  </r>
  <r>
    <s v="O2670"/>
    <x v="140"/>
    <s v="C148"/>
    <s v="P077"/>
    <n v="3"/>
    <x v="1660"/>
    <n v="0.2"/>
    <n v="403.47"/>
    <x v="0"/>
    <x v="2"/>
    <x v="0"/>
    <s v="Accessories"/>
    <x v="0"/>
  </r>
  <r>
    <s v="O2671"/>
    <x v="106"/>
    <s v="C106"/>
    <s v="P021"/>
    <n v="4"/>
    <x v="1661"/>
    <n v="0.3"/>
    <n v="92.97"/>
    <x v="0"/>
    <x v="1"/>
    <x v="1"/>
    <s v="Desk"/>
    <x v="0"/>
  </r>
  <r>
    <s v="O2672"/>
    <x v="428"/>
    <s v="C023"/>
    <s v="P013"/>
    <n v="5"/>
    <x v="1662"/>
    <n v="0.2"/>
    <n v="184.5"/>
    <x v="3"/>
    <x v="2"/>
    <x v="0"/>
    <s v="Laptop"/>
    <x v="0"/>
  </r>
  <r>
    <s v="O2673"/>
    <x v="86"/>
    <s v="C112"/>
    <s v="P005"/>
    <n v="5"/>
    <x v="1663"/>
    <n v="0.3"/>
    <n v="29.85"/>
    <x v="2"/>
    <x v="0"/>
    <x v="2"/>
    <s v="Paper"/>
    <x v="0"/>
  </r>
  <r>
    <s v="O2674"/>
    <x v="4"/>
    <s v="C082"/>
    <s v="P096"/>
    <n v="5"/>
    <x v="1664"/>
    <n v="0.2"/>
    <n v="168.06"/>
    <x v="3"/>
    <x v="2"/>
    <x v="0"/>
    <s v="Laptop"/>
    <x v="1"/>
  </r>
  <r>
    <s v="O2675"/>
    <x v="752"/>
    <s v="C171"/>
    <s v="P007"/>
    <n v="3"/>
    <x v="1665"/>
    <n v="0"/>
    <n v="17.59"/>
    <x v="2"/>
    <x v="1"/>
    <x v="1"/>
    <s v="Desk"/>
    <x v="0"/>
  </r>
  <r>
    <s v="O2676"/>
    <x v="424"/>
    <s v="C134"/>
    <s v="P065"/>
    <n v="4"/>
    <x v="1666"/>
    <n v="0.3"/>
    <n v="111.16"/>
    <x v="3"/>
    <x v="1"/>
    <x v="1"/>
    <s v="Chair"/>
    <x v="0"/>
  </r>
  <r>
    <s v="O2677"/>
    <x v="540"/>
    <s v="C109"/>
    <s v="P081"/>
    <n v="2"/>
    <x v="1667"/>
    <n v="0.3"/>
    <n v="69.63"/>
    <x v="0"/>
    <x v="2"/>
    <x v="2"/>
    <s v="Pen"/>
    <x v="0"/>
  </r>
  <r>
    <s v="O2678"/>
    <x v="753"/>
    <s v="C123"/>
    <s v="P068"/>
    <n v="2"/>
    <x v="1668"/>
    <n v="0.3"/>
    <n v="289.92"/>
    <x v="2"/>
    <x v="0"/>
    <x v="1"/>
    <s v="Table"/>
    <x v="0"/>
  </r>
  <r>
    <s v="O2679"/>
    <x v="170"/>
    <s v="C055"/>
    <s v="P100"/>
    <n v="3"/>
    <x v="1669"/>
    <n v="0.3"/>
    <n v="106.18"/>
    <x v="0"/>
    <x v="2"/>
    <x v="0"/>
    <s v="Phone"/>
    <x v="0"/>
  </r>
  <r>
    <s v="O2680"/>
    <x v="300"/>
    <s v="C174"/>
    <s v="P093"/>
    <n v="5"/>
    <x v="1670"/>
    <n v="0"/>
    <n v="218.79"/>
    <x v="1"/>
    <x v="2"/>
    <x v="2"/>
    <s v="Storage"/>
    <x v="0"/>
  </r>
  <r>
    <s v="O2681"/>
    <x v="353"/>
    <s v="C062"/>
    <s v="P006"/>
    <n v="1"/>
    <x v="1671"/>
    <n v="0.3"/>
    <n v="187.14"/>
    <x v="1"/>
    <x v="2"/>
    <x v="1"/>
    <s v="Chair"/>
    <x v="0"/>
  </r>
  <r>
    <s v="O2682"/>
    <x v="312"/>
    <s v="C053"/>
    <s v="P047"/>
    <n v="3"/>
    <x v="1672"/>
    <n v="0.1"/>
    <n v="39.11"/>
    <x v="0"/>
    <x v="2"/>
    <x v="2"/>
    <s v="Pen"/>
    <x v="1"/>
  </r>
  <r>
    <s v="O2683"/>
    <x v="195"/>
    <s v="C087"/>
    <s v="P037"/>
    <n v="3"/>
    <x v="1673"/>
    <n v="0"/>
    <n v="279.93"/>
    <x v="0"/>
    <x v="1"/>
    <x v="2"/>
    <s v="Storage"/>
    <x v="1"/>
  </r>
  <r>
    <s v="O2684"/>
    <x v="42"/>
    <s v="C045"/>
    <s v="P064"/>
    <n v="4"/>
    <x v="1674"/>
    <n v="0.1"/>
    <n v="79.94"/>
    <x v="2"/>
    <x v="0"/>
    <x v="2"/>
    <s v="Binder"/>
    <x v="0"/>
  </r>
  <r>
    <s v="O2685"/>
    <x v="228"/>
    <s v="C062"/>
    <s v="P007"/>
    <n v="2"/>
    <x v="1675"/>
    <n v="0.3"/>
    <n v="39.479999999999997"/>
    <x v="1"/>
    <x v="2"/>
    <x v="1"/>
    <s v="Desk"/>
    <x v="1"/>
  </r>
  <r>
    <s v="O2686"/>
    <x v="232"/>
    <s v="C163"/>
    <s v="P003"/>
    <n v="3"/>
    <x v="1676"/>
    <n v="0.2"/>
    <n v="418.64"/>
    <x v="0"/>
    <x v="1"/>
    <x v="2"/>
    <s v="Pen"/>
    <x v="0"/>
  </r>
  <r>
    <s v="O2687"/>
    <x v="11"/>
    <s v="C178"/>
    <s v="P090"/>
    <n v="3"/>
    <x v="1677"/>
    <n v="0.1"/>
    <n v="40.51"/>
    <x v="2"/>
    <x v="0"/>
    <x v="0"/>
    <s v="Accessories"/>
    <x v="1"/>
  </r>
  <r>
    <s v="O2688"/>
    <x v="430"/>
    <s v="C098"/>
    <s v="P023"/>
    <n v="5"/>
    <x v="1678"/>
    <n v="0.3"/>
    <n v="295.67"/>
    <x v="3"/>
    <x v="0"/>
    <x v="1"/>
    <s v="Shelf"/>
    <x v="0"/>
  </r>
  <r>
    <s v="O2689"/>
    <x v="686"/>
    <s v="C090"/>
    <s v="P003"/>
    <n v="5"/>
    <x v="1679"/>
    <n v="0.1"/>
    <n v="86.63"/>
    <x v="2"/>
    <x v="2"/>
    <x v="2"/>
    <s v="Pen"/>
    <x v="0"/>
  </r>
  <r>
    <s v="O2690"/>
    <x v="708"/>
    <s v="C129"/>
    <s v="P042"/>
    <n v="1"/>
    <x v="1680"/>
    <n v="0.3"/>
    <n v="162.74"/>
    <x v="1"/>
    <x v="2"/>
    <x v="0"/>
    <s v="Tablet"/>
    <x v="0"/>
  </r>
  <r>
    <s v="O2691"/>
    <x v="689"/>
    <s v="C176"/>
    <s v="P060"/>
    <n v="4"/>
    <x v="1681"/>
    <n v="0.3"/>
    <n v="295.14"/>
    <x v="3"/>
    <x v="2"/>
    <x v="1"/>
    <s v="Chair"/>
    <x v="0"/>
  </r>
  <r>
    <s v="O2692"/>
    <x v="246"/>
    <s v="C085"/>
    <s v="P069"/>
    <n v="1"/>
    <x v="1682"/>
    <n v="0.3"/>
    <n v="79.92"/>
    <x v="2"/>
    <x v="0"/>
    <x v="2"/>
    <s v="Pen"/>
    <x v="0"/>
  </r>
  <r>
    <s v="O2693"/>
    <x v="211"/>
    <s v="C015"/>
    <s v="P044"/>
    <n v="5"/>
    <x v="1683"/>
    <n v="0.2"/>
    <n v="33.56"/>
    <x v="3"/>
    <x v="1"/>
    <x v="1"/>
    <s v="Table"/>
    <x v="1"/>
  </r>
  <r>
    <s v="O2694"/>
    <x v="30"/>
    <s v="C057"/>
    <s v="P022"/>
    <n v="2"/>
    <x v="1684"/>
    <n v="0.1"/>
    <n v="97.92"/>
    <x v="0"/>
    <x v="0"/>
    <x v="0"/>
    <s v="Tablet"/>
    <x v="1"/>
  </r>
  <r>
    <s v="O2695"/>
    <x v="88"/>
    <s v="C178"/>
    <s v="P074"/>
    <n v="5"/>
    <x v="1685"/>
    <n v="0"/>
    <n v="209.41"/>
    <x v="2"/>
    <x v="0"/>
    <x v="1"/>
    <s v="Table"/>
    <x v="0"/>
  </r>
  <r>
    <s v="O2696"/>
    <x v="337"/>
    <s v="C109"/>
    <s v="P069"/>
    <n v="4"/>
    <x v="1686"/>
    <n v="0"/>
    <n v="333.87"/>
    <x v="0"/>
    <x v="2"/>
    <x v="2"/>
    <s v="Pen"/>
    <x v="0"/>
  </r>
  <r>
    <s v="O2697"/>
    <x v="455"/>
    <s v="C180"/>
    <s v="P035"/>
    <n v="5"/>
    <x v="1687"/>
    <n v="0"/>
    <n v="354.02"/>
    <x v="3"/>
    <x v="1"/>
    <x v="1"/>
    <s v="Chair"/>
    <x v="0"/>
  </r>
  <r>
    <s v="O2698"/>
    <x v="343"/>
    <s v="C120"/>
    <s v="P055"/>
    <n v="4"/>
    <x v="1688"/>
    <n v="0"/>
    <n v="193.92"/>
    <x v="1"/>
    <x v="0"/>
    <x v="2"/>
    <s v="Binder"/>
    <x v="0"/>
  </r>
  <r>
    <s v="O2699"/>
    <x v="358"/>
    <s v="C168"/>
    <s v="P092"/>
    <n v="4"/>
    <x v="1689"/>
    <n v="0.3"/>
    <n v="144.19999999999999"/>
    <x v="3"/>
    <x v="0"/>
    <x v="0"/>
    <s v="Phone"/>
    <x v="0"/>
  </r>
  <r>
    <s v="O2700"/>
    <x v="754"/>
    <s v="C139"/>
    <s v="P040"/>
    <n v="4"/>
    <x v="1690"/>
    <n v="0.1"/>
    <n v="191.49"/>
    <x v="0"/>
    <x v="0"/>
    <x v="2"/>
    <s v="Binder"/>
    <x v="0"/>
  </r>
  <r>
    <s v="O2701"/>
    <x v="662"/>
    <s v="C161"/>
    <s v="P045"/>
    <n v="4"/>
    <x v="1691"/>
    <n v="0.1"/>
    <n v="158.37"/>
    <x v="3"/>
    <x v="2"/>
    <x v="0"/>
    <s v="Tablet"/>
    <x v="1"/>
  </r>
  <r>
    <s v="O2702"/>
    <x v="197"/>
    <s v="C156"/>
    <s v="P054"/>
    <n v="4"/>
    <x v="1692"/>
    <n v="0.2"/>
    <n v="245.8"/>
    <x v="2"/>
    <x v="1"/>
    <x v="1"/>
    <s v="Shelf"/>
    <x v="0"/>
  </r>
  <r>
    <s v="O2703"/>
    <x v="755"/>
    <s v="C090"/>
    <s v="P098"/>
    <n v="2"/>
    <x v="1693"/>
    <n v="0.1"/>
    <n v="85.52"/>
    <x v="2"/>
    <x v="2"/>
    <x v="1"/>
    <s v="Shelf"/>
    <x v="0"/>
  </r>
  <r>
    <s v="O2704"/>
    <x v="213"/>
    <s v="C076"/>
    <s v="P021"/>
    <n v="1"/>
    <x v="1694"/>
    <n v="0.1"/>
    <n v="414.81"/>
    <x v="2"/>
    <x v="1"/>
    <x v="1"/>
    <s v="Desk"/>
    <x v="0"/>
  </r>
  <r>
    <s v="O2705"/>
    <x v="504"/>
    <s v="C013"/>
    <s v="P057"/>
    <n v="3"/>
    <x v="1695"/>
    <n v="0.1"/>
    <n v="405.84"/>
    <x v="2"/>
    <x v="0"/>
    <x v="0"/>
    <s v="Laptop"/>
    <x v="0"/>
  </r>
  <r>
    <s v="O2706"/>
    <x v="151"/>
    <s v="C061"/>
    <s v="P017"/>
    <n v="1"/>
    <x v="1696"/>
    <n v="0.2"/>
    <n v="100.45"/>
    <x v="2"/>
    <x v="1"/>
    <x v="2"/>
    <s v="Pen"/>
    <x v="0"/>
  </r>
  <r>
    <s v="O2707"/>
    <x v="241"/>
    <s v="C118"/>
    <s v="P058"/>
    <n v="4"/>
    <x v="1697"/>
    <n v="0"/>
    <n v="46.86"/>
    <x v="3"/>
    <x v="0"/>
    <x v="2"/>
    <s v="Paper"/>
    <x v="0"/>
  </r>
  <r>
    <s v="O2708"/>
    <x v="756"/>
    <s v="C078"/>
    <s v="P097"/>
    <n v="2"/>
    <x v="1698"/>
    <n v="0.1"/>
    <n v="223.39"/>
    <x v="2"/>
    <x v="2"/>
    <x v="2"/>
    <s v="Paper"/>
    <x v="0"/>
  </r>
  <r>
    <s v="O2709"/>
    <x v="161"/>
    <s v="C200"/>
    <s v="P090"/>
    <n v="5"/>
    <x v="1699"/>
    <n v="0.2"/>
    <n v="257.07"/>
    <x v="3"/>
    <x v="0"/>
    <x v="0"/>
    <s v="Accessories"/>
    <x v="1"/>
  </r>
  <r>
    <s v="O2710"/>
    <x v="388"/>
    <s v="C154"/>
    <s v="P020"/>
    <n v="2"/>
    <x v="1700"/>
    <n v="0.2"/>
    <n v="528.87"/>
    <x v="3"/>
    <x v="0"/>
    <x v="2"/>
    <s v="Pen"/>
    <x v="1"/>
  </r>
  <r>
    <s v="O2711"/>
    <x v="676"/>
    <s v="C095"/>
    <s v="P084"/>
    <n v="4"/>
    <x v="1701"/>
    <n v="0.3"/>
    <n v="79.34"/>
    <x v="1"/>
    <x v="2"/>
    <x v="2"/>
    <s v="Paper"/>
    <x v="0"/>
  </r>
  <r>
    <s v="O2712"/>
    <x v="182"/>
    <s v="C176"/>
    <s v="P025"/>
    <n v="2"/>
    <x v="1702"/>
    <n v="0.2"/>
    <n v="19.47"/>
    <x v="3"/>
    <x v="2"/>
    <x v="0"/>
    <s v="Accessories"/>
    <x v="0"/>
  </r>
  <r>
    <s v="O2713"/>
    <x v="454"/>
    <s v="C166"/>
    <s v="P064"/>
    <n v="2"/>
    <x v="1703"/>
    <n v="0"/>
    <n v="260.38"/>
    <x v="0"/>
    <x v="2"/>
    <x v="2"/>
    <s v="Binder"/>
    <x v="0"/>
  </r>
  <r>
    <s v="O2714"/>
    <x v="473"/>
    <s v="C141"/>
    <s v="P014"/>
    <n v="4"/>
    <x v="1704"/>
    <n v="0.1"/>
    <n v="241.82"/>
    <x v="1"/>
    <x v="2"/>
    <x v="1"/>
    <s v="Shelf"/>
    <x v="1"/>
  </r>
  <r>
    <s v="O2715"/>
    <x v="605"/>
    <s v="C157"/>
    <s v="P001"/>
    <n v="2"/>
    <x v="1705"/>
    <n v="0.2"/>
    <n v="146.74"/>
    <x v="0"/>
    <x v="2"/>
    <x v="2"/>
    <s v="Storage"/>
    <x v="1"/>
  </r>
  <r>
    <s v="O2716"/>
    <x v="103"/>
    <s v="C079"/>
    <s v="P063"/>
    <n v="3"/>
    <x v="1706"/>
    <n v="0"/>
    <n v="517.85"/>
    <x v="3"/>
    <x v="1"/>
    <x v="2"/>
    <s v="Pen"/>
    <x v="0"/>
  </r>
  <r>
    <s v="O2717"/>
    <x v="757"/>
    <s v="C007"/>
    <s v="P091"/>
    <n v="3"/>
    <x v="1707"/>
    <n v="0.2"/>
    <n v="61.22"/>
    <x v="1"/>
    <x v="2"/>
    <x v="1"/>
    <s v="Shelf"/>
    <x v="0"/>
  </r>
  <r>
    <s v="O2718"/>
    <x v="644"/>
    <s v="C084"/>
    <s v="P072"/>
    <n v="2"/>
    <x v="1708"/>
    <n v="0.2"/>
    <n v="183.18"/>
    <x v="2"/>
    <x v="2"/>
    <x v="1"/>
    <s v="Chair"/>
    <x v="0"/>
  </r>
  <r>
    <s v="O2719"/>
    <x v="429"/>
    <s v="C008"/>
    <s v="P089"/>
    <n v="5"/>
    <x v="1709"/>
    <n v="0.2"/>
    <n v="17.05"/>
    <x v="1"/>
    <x v="2"/>
    <x v="0"/>
    <s v="Phone"/>
    <x v="0"/>
  </r>
  <r>
    <s v="O2720"/>
    <x v="317"/>
    <s v="C009"/>
    <s v="P013"/>
    <n v="4"/>
    <x v="1710"/>
    <n v="0.2"/>
    <n v="188.01"/>
    <x v="0"/>
    <x v="2"/>
    <x v="0"/>
    <s v="Laptop"/>
    <x v="1"/>
  </r>
  <r>
    <s v="O2721"/>
    <x v="322"/>
    <s v="C065"/>
    <s v="P068"/>
    <n v="3"/>
    <x v="1711"/>
    <n v="0.2"/>
    <n v="208.09"/>
    <x v="0"/>
    <x v="0"/>
    <x v="1"/>
    <s v="Table"/>
    <x v="0"/>
  </r>
  <r>
    <s v="O2722"/>
    <x v="138"/>
    <s v="C041"/>
    <s v="P034"/>
    <n v="5"/>
    <x v="1712"/>
    <n v="0"/>
    <n v="226.96"/>
    <x v="0"/>
    <x v="1"/>
    <x v="2"/>
    <s v="Storage"/>
    <x v="0"/>
  </r>
  <r>
    <s v="O2723"/>
    <x v="364"/>
    <s v="C087"/>
    <s v="P009"/>
    <n v="2"/>
    <x v="1713"/>
    <n v="0.1"/>
    <n v="320.47000000000003"/>
    <x v="0"/>
    <x v="1"/>
    <x v="1"/>
    <s v="Chair"/>
    <x v="0"/>
  </r>
  <r>
    <s v="O2724"/>
    <x v="725"/>
    <s v="C035"/>
    <s v="P039"/>
    <n v="5"/>
    <x v="1714"/>
    <n v="0.1"/>
    <n v="199.11"/>
    <x v="1"/>
    <x v="1"/>
    <x v="2"/>
    <s v="Pen"/>
    <x v="0"/>
  </r>
  <r>
    <s v="O2725"/>
    <x v="753"/>
    <s v="C068"/>
    <s v="P011"/>
    <n v="1"/>
    <x v="1715"/>
    <n v="0.1"/>
    <n v="173.63"/>
    <x v="0"/>
    <x v="1"/>
    <x v="0"/>
    <s v="Accessories"/>
    <x v="0"/>
  </r>
  <r>
    <s v="O2726"/>
    <x v="758"/>
    <s v="C120"/>
    <s v="P097"/>
    <n v="3"/>
    <x v="1716"/>
    <n v="0.1"/>
    <n v="75.45"/>
    <x v="1"/>
    <x v="0"/>
    <x v="2"/>
    <s v="Paper"/>
    <x v="1"/>
  </r>
  <r>
    <s v="O2727"/>
    <x v="759"/>
    <s v="C159"/>
    <s v="P005"/>
    <n v="2"/>
    <x v="1717"/>
    <n v="0"/>
    <n v="123.16"/>
    <x v="2"/>
    <x v="2"/>
    <x v="2"/>
    <s v="Paper"/>
    <x v="0"/>
  </r>
  <r>
    <s v="O2728"/>
    <x v="110"/>
    <s v="C199"/>
    <s v="P099"/>
    <n v="4"/>
    <x v="1718"/>
    <n v="0.3"/>
    <n v="116.36"/>
    <x v="0"/>
    <x v="2"/>
    <x v="1"/>
    <s v="Desk"/>
    <x v="1"/>
  </r>
  <r>
    <s v="O2729"/>
    <x v="687"/>
    <s v="C165"/>
    <s v="P058"/>
    <n v="2"/>
    <x v="1719"/>
    <n v="0.3"/>
    <n v="32.700000000000003"/>
    <x v="3"/>
    <x v="2"/>
    <x v="2"/>
    <s v="Paper"/>
    <x v="0"/>
  </r>
  <r>
    <s v="O2730"/>
    <x v="760"/>
    <s v="C136"/>
    <s v="P053"/>
    <n v="4"/>
    <x v="1720"/>
    <n v="0"/>
    <n v="145.59"/>
    <x v="1"/>
    <x v="2"/>
    <x v="0"/>
    <s v="Accessories"/>
    <x v="0"/>
  </r>
  <r>
    <s v="O2731"/>
    <x v="541"/>
    <s v="C036"/>
    <s v="P041"/>
    <n v="2"/>
    <x v="1721"/>
    <n v="0"/>
    <n v="247.67"/>
    <x v="0"/>
    <x v="0"/>
    <x v="0"/>
    <s v="Tablet"/>
    <x v="0"/>
  </r>
  <r>
    <s v="O2732"/>
    <x v="761"/>
    <s v="C146"/>
    <s v="P001"/>
    <n v="5"/>
    <x v="1722"/>
    <n v="0.2"/>
    <n v="206.9"/>
    <x v="3"/>
    <x v="0"/>
    <x v="2"/>
    <s v="Storage"/>
    <x v="0"/>
  </r>
  <r>
    <s v="O2733"/>
    <x v="257"/>
    <s v="C062"/>
    <s v="P054"/>
    <n v="5"/>
    <x v="1723"/>
    <n v="0.2"/>
    <n v="244.04"/>
    <x v="1"/>
    <x v="2"/>
    <x v="1"/>
    <s v="Shelf"/>
    <x v="0"/>
  </r>
  <r>
    <s v="O2734"/>
    <x v="173"/>
    <s v="C012"/>
    <s v="P045"/>
    <n v="5"/>
    <x v="1724"/>
    <n v="0.2"/>
    <n v="314.91000000000003"/>
    <x v="1"/>
    <x v="2"/>
    <x v="0"/>
    <s v="Tablet"/>
    <x v="1"/>
  </r>
  <r>
    <s v="O2735"/>
    <x v="10"/>
    <s v="C092"/>
    <s v="P005"/>
    <n v="1"/>
    <x v="1725"/>
    <n v="0.1"/>
    <n v="13.6"/>
    <x v="1"/>
    <x v="1"/>
    <x v="2"/>
    <s v="Paper"/>
    <x v="0"/>
  </r>
  <r>
    <s v="O2736"/>
    <x v="732"/>
    <s v="C181"/>
    <s v="P058"/>
    <n v="4"/>
    <x v="1726"/>
    <n v="0.2"/>
    <n v="61.31"/>
    <x v="2"/>
    <x v="1"/>
    <x v="2"/>
    <s v="Paper"/>
    <x v="0"/>
  </r>
  <r>
    <s v="O2737"/>
    <x v="227"/>
    <s v="C185"/>
    <s v="P021"/>
    <n v="5"/>
    <x v="1727"/>
    <n v="0.3"/>
    <n v="384.57"/>
    <x v="1"/>
    <x v="2"/>
    <x v="1"/>
    <s v="Desk"/>
    <x v="0"/>
  </r>
  <r>
    <s v="O2738"/>
    <x v="276"/>
    <s v="C105"/>
    <s v="P019"/>
    <n v="1"/>
    <x v="1728"/>
    <n v="0.1"/>
    <n v="235.4"/>
    <x v="3"/>
    <x v="2"/>
    <x v="0"/>
    <s v="Phone"/>
    <x v="0"/>
  </r>
  <r>
    <s v="O2739"/>
    <x v="345"/>
    <s v="C112"/>
    <s v="P037"/>
    <n v="4"/>
    <x v="1729"/>
    <n v="0.2"/>
    <n v="21.39"/>
    <x v="2"/>
    <x v="0"/>
    <x v="2"/>
    <s v="Storage"/>
    <x v="0"/>
  </r>
  <r>
    <s v="O2740"/>
    <x v="386"/>
    <s v="C055"/>
    <s v="P096"/>
    <n v="2"/>
    <x v="1730"/>
    <n v="0.1"/>
    <n v="345.14"/>
    <x v="0"/>
    <x v="2"/>
    <x v="0"/>
    <s v="Laptop"/>
    <x v="0"/>
  </r>
  <r>
    <s v="O2741"/>
    <x v="762"/>
    <s v="C068"/>
    <s v="P016"/>
    <n v="1"/>
    <x v="1731"/>
    <n v="0.3"/>
    <n v="89.9"/>
    <x v="0"/>
    <x v="1"/>
    <x v="1"/>
    <s v="Chair"/>
    <x v="0"/>
  </r>
  <r>
    <s v="O2742"/>
    <x v="420"/>
    <s v="C073"/>
    <s v="P051"/>
    <n v="3"/>
    <x v="1732"/>
    <n v="0.2"/>
    <n v="233.57"/>
    <x v="2"/>
    <x v="1"/>
    <x v="0"/>
    <s v="Tablet"/>
    <x v="1"/>
  </r>
  <r>
    <s v="O2743"/>
    <x v="329"/>
    <s v="C085"/>
    <s v="P042"/>
    <n v="1"/>
    <x v="1733"/>
    <n v="0.3"/>
    <n v="40.14"/>
    <x v="2"/>
    <x v="0"/>
    <x v="0"/>
    <s v="Tablet"/>
    <x v="0"/>
  </r>
  <r>
    <s v="O2744"/>
    <x v="51"/>
    <s v="C052"/>
    <s v="P017"/>
    <n v="1"/>
    <x v="1734"/>
    <n v="0.3"/>
    <n v="290.17"/>
    <x v="2"/>
    <x v="2"/>
    <x v="2"/>
    <s v="Pen"/>
    <x v="0"/>
  </r>
  <r>
    <s v="O2745"/>
    <x v="650"/>
    <s v="C053"/>
    <s v="P026"/>
    <n v="4"/>
    <x v="1735"/>
    <n v="0.3"/>
    <n v="169.09"/>
    <x v="0"/>
    <x v="2"/>
    <x v="0"/>
    <s v="Phone"/>
    <x v="0"/>
  </r>
  <r>
    <s v="O2746"/>
    <x v="294"/>
    <s v="C121"/>
    <s v="P008"/>
    <n v="2"/>
    <x v="1736"/>
    <n v="0.2"/>
    <n v="111.58"/>
    <x v="0"/>
    <x v="2"/>
    <x v="0"/>
    <s v="Accessories"/>
    <x v="1"/>
  </r>
  <r>
    <s v="O2747"/>
    <x v="307"/>
    <s v="C181"/>
    <s v="P086"/>
    <n v="3"/>
    <x v="1737"/>
    <n v="0"/>
    <n v="150.29"/>
    <x v="2"/>
    <x v="1"/>
    <x v="1"/>
    <s v="Shelf"/>
    <x v="0"/>
  </r>
  <r>
    <s v="O2748"/>
    <x v="763"/>
    <s v="C053"/>
    <s v="P092"/>
    <n v="5"/>
    <x v="1738"/>
    <n v="0.2"/>
    <n v="467.69"/>
    <x v="0"/>
    <x v="2"/>
    <x v="0"/>
    <s v="Phone"/>
    <x v="1"/>
  </r>
  <r>
    <s v="O2749"/>
    <x v="66"/>
    <s v="C052"/>
    <s v="P009"/>
    <n v="5"/>
    <x v="1739"/>
    <n v="0.3"/>
    <n v="164.99"/>
    <x v="2"/>
    <x v="2"/>
    <x v="1"/>
    <s v="Chair"/>
    <x v="0"/>
  </r>
  <r>
    <s v="O2750"/>
    <x v="358"/>
    <s v="C119"/>
    <s v="P001"/>
    <n v="1"/>
    <x v="1740"/>
    <n v="0.2"/>
    <n v="61.1"/>
    <x v="3"/>
    <x v="1"/>
    <x v="2"/>
    <s v="Storage"/>
    <x v="0"/>
  </r>
  <r>
    <s v="O2751"/>
    <x v="340"/>
    <s v="C148"/>
    <s v="P041"/>
    <n v="4"/>
    <x v="1741"/>
    <n v="0.3"/>
    <n v="86.88"/>
    <x v="0"/>
    <x v="2"/>
    <x v="0"/>
    <s v="Tablet"/>
    <x v="0"/>
  </r>
  <r>
    <s v="O2752"/>
    <x v="436"/>
    <s v="C114"/>
    <s v="P033"/>
    <n v="4"/>
    <x v="1742"/>
    <n v="0"/>
    <n v="75.959999999999994"/>
    <x v="3"/>
    <x v="1"/>
    <x v="1"/>
    <s v="Table"/>
    <x v="0"/>
  </r>
  <r>
    <s v="O2753"/>
    <x v="303"/>
    <s v="C044"/>
    <s v="P046"/>
    <n v="5"/>
    <x v="1743"/>
    <n v="0.1"/>
    <n v="346.3"/>
    <x v="1"/>
    <x v="1"/>
    <x v="1"/>
    <s v="Chair"/>
    <x v="0"/>
  </r>
  <r>
    <s v="O2754"/>
    <x v="59"/>
    <s v="C100"/>
    <s v="P037"/>
    <n v="3"/>
    <x v="1744"/>
    <n v="0"/>
    <n v="78.010000000000005"/>
    <x v="2"/>
    <x v="1"/>
    <x v="2"/>
    <s v="Storage"/>
    <x v="0"/>
  </r>
  <r>
    <s v="O2755"/>
    <x v="476"/>
    <s v="C096"/>
    <s v="P080"/>
    <n v="2"/>
    <x v="1745"/>
    <n v="0"/>
    <n v="83.35"/>
    <x v="0"/>
    <x v="2"/>
    <x v="2"/>
    <s v="Pen"/>
    <x v="0"/>
  </r>
  <r>
    <s v="O2756"/>
    <x v="764"/>
    <s v="C105"/>
    <s v="P044"/>
    <n v="3"/>
    <x v="1746"/>
    <n v="0.1"/>
    <n v="198.5"/>
    <x v="3"/>
    <x v="2"/>
    <x v="1"/>
    <s v="Table"/>
    <x v="0"/>
  </r>
  <r>
    <s v="O2757"/>
    <x v="279"/>
    <s v="C156"/>
    <s v="P059"/>
    <n v="2"/>
    <x v="1747"/>
    <n v="0.2"/>
    <n v="360.18"/>
    <x v="2"/>
    <x v="1"/>
    <x v="1"/>
    <s v="Table"/>
    <x v="0"/>
  </r>
  <r>
    <s v="O2758"/>
    <x v="55"/>
    <s v="C036"/>
    <s v="P016"/>
    <n v="5"/>
    <x v="1748"/>
    <n v="0.1"/>
    <n v="168.07"/>
    <x v="0"/>
    <x v="0"/>
    <x v="1"/>
    <s v="Chair"/>
    <x v="0"/>
  </r>
  <r>
    <s v="O2759"/>
    <x v="608"/>
    <s v="C187"/>
    <s v="P088"/>
    <n v="2"/>
    <x v="1749"/>
    <n v="0.2"/>
    <n v="150.28"/>
    <x v="2"/>
    <x v="2"/>
    <x v="0"/>
    <s v="Laptop"/>
    <x v="0"/>
  </r>
  <r>
    <s v="O2760"/>
    <x v="323"/>
    <s v="C006"/>
    <s v="P007"/>
    <n v="4"/>
    <x v="1750"/>
    <n v="0.2"/>
    <n v="203.93"/>
    <x v="3"/>
    <x v="0"/>
    <x v="1"/>
    <s v="Desk"/>
    <x v="0"/>
  </r>
  <r>
    <s v="O2761"/>
    <x v="466"/>
    <s v="C023"/>
    <s v="P064"/>
    <n v="1"/>
    <x v="1751"/>
    <n v="0.3"/>
    <n v="163.25"/>
    <x v="3"/>
    <x v="2"/>
    <x v="2"/>
    <s v="Binder"/>
    <x v="0"/>
  </r>
  <r>
    <s v="O2762"/>
    <x v="207"/>
    <s v="C021"/>
    <s v="P036"/>
    <n v="1"/>
    <x v="1752"/>
    <n v="0.3"/>
    <n v="200.17"/>
    <x v="3"/>
    <x v="2"/>
    <x v="1"/>
    <s v="Shelf"/>
    <x v="0"/>
  </r>
  <r>
    <s v="O2763"/>
    <x v="765"/>
    <s v="C036"/>
    <s v="P083"/>
    <n v="5"/>
    <x v="1753"/>
    <n v="0.1"/>
    <n v="253.51"/>
    <x v="0"/>
    <x v="0"/>
    <x v="2"/>
    <s v="Paper"/>
    <x v="0"/>
  </r>
  <r>
    <s v="O2764"/>
    <x v="575"/>
    <s v="C039"/>
    <s v="P073"/>
    <n v="4"/>
    <x v="1754"/>
    <n v="0"/>
    <n v="276.89"/>
    <x v="2"/>
    <x v="0"/>
    <x v="1"/>
    <s v="Table"/>
    <x v="1"/>
  </r>
  <r>
    <s v="O2765"/>
    <x v="766"/>
    <s v="C118"/>
    <s v="P084"/>
    <n v="3"/>
    <x v="1755"/>
    <n v="0.1"/>
    <n v="101.76"/>
    <x v="3"/>
    <x v="0"/>
    <x v="2"/>
    <s v="Paper"/>
    <x v="0"/>
  </r>
  <r>
    <s v="O2766"/>
    <x v="717"/>
    <s v="C054"/>
    <s v="P077"/>
    <n v="4"/>
    <x v="1756"/>
    <n v="0.2"/>
    <n v="154.5"/>
    <x v="3"/>
    <x v="0"/>
    <x v="0"/>
    <s v="Accessories"/>
    <x v="0"/>
  </r>
  <r>
    <s v="O2767"/>
    <x v="106"/>
    <s v="C193"/>
    <s v="P032"/>
    <n v="1"/>
    <x v="1757"/>
    <n v="0.3"/>
    <n v="99.75"/>
    <x v="1"/>
    <x v="2"/>
    <x v="2"/>
    <s v="Paper"/>
    <x v="0"/>
  </r>
  <r>
    <s v="O2768"/>
    <x v="174"/>
    <s v="C135"/>
    <s v="P074"/>
    <n v="1"/>
    <x v="1758"/>
    <n v="0.1"/>
    <n v="72.8"/>
    <x v="1"/>
    <x v="2"/>
    <x v="1"/>
    <s v="Table"/>
    <x v="0"/>
  </r>
  <r>
    <s v="O2769"/>
    <x v="681"/>
    <s v="C189"/>
    <s v="P017"/>
    <n v="4"/>
    <x v="1759"/>
    <n v="0.1"/>
    <n v="142.86000000000001"/>
    <x v="0"/>
    <x v="2"/>
    <x v="2"/>
    <s v="Pen"/>
    <x v="1"/>
  </r>
  <r>
    <s v="O2770"/>
    <x v="225"/>
    <s v="C133"/>
    <s v="P033"/>
    <n v="4"/>
    <x v="1760"/>
    <n v="0.3"/>
    <n v="138.6"/>
    <x v="0"/>
    <x v="2"/>
    <x v="1"/>
    <s v="Table"/>
    <x v="0"/>
  </r>
  <r>
    <s v="O2771"/>
    <x v="232"/>
    <s v="C029"/>
    <s v="P006"/>
    <n v="1"/>
    <x v="1761"/>
    <n v="0.3"/>
    <n v="127.1"/>
    <x v="0"/>
    <x v="2"/>
    <x v="1"/>
    <s v="Chair"/>
    <x v="0"/>
  </r>
  <r>
    <s v="O2772"/>
    <x v="437"/>
    <s v="C089"/>
    <s v="P082"/>
    <n v="3"/>
    <x v="1762"/>
    <n v="0.3"/>
    <n v="26.35"/>
    <x v="2"/>
    <x v="2"/>
    <x v="0"/>
    <s v="Accessories"/>
    <x v="0"/>
  </r>
  <r>
    <s v="O2773"/>
    <x v="145"/>
    <s v="C159"/>
    <s v="P057"/>
    <n v="5"/>
    <x v="1763"/>
    <n v="0.2"/>
    <n v="162.88999999999999"/>
    <x v="2"/>
    <x v="2"/>
    <x v="0"/>
    <s v="Laptop"/>
    <x v="1"/>
  </r>
  <r>
    <s v="O2774"/>
    <x v="273"/>
    <s v="C128"/>
    <s v="P097"/>
    <n v="5"/>
    <x v="1764"/>
    <n v="0.3"/>
    <n v="108.37"/>
    <x v="1"/>
    <x v="2"/>
    <x v="2"/>
    <s v="Paper"/>
    <x v="0"/>
  </r>
  <r>
    <s v="O2775"/>
    <x v="150"/>
    <s v="C029"/>
    <s v="P008"/>
    <n v="4"/>
    <x v="1765"/>
    <n v="0"/>
    <n v="204.5"/>
    <x v="0"/>
    <x v="2"/>
    <x v="0"/>
    <s v="Accessories"/>
    <x v="0"/>
  </r>
  <r>
    <s v="O2776"/>
    <x v="767"/>
    <s v="C064"/>
    <s v="P086"/>
    <n v="5"/>
    <x v="1766"/>
    <n v="0.1"/>
    <n v="128.06"/>
    <x v="0"/>
    <x v="0"/>
    <x v="1"/>
    <s v="Shelf"/>
    <x v="1"/>
  </r>
  <r>
    <s v="O2777"/>
    <x v="507"/>
    <s v="C169"/>
    <s v="P074"/>
    <n v="1"/>
    <x v="1767"/>
    <n v="0.3"/>
    <n v="71.930000000000007"/>
    <x v="3"/>
    <x v="1"/>
    <x v="1"/>
    <s v="Table"/>
    <x v="0"/>
  </r>
  <r>
    <s v="O2778"/>
    <x v="140"/>
    <s v="C127"/>
    <s v="P020"/>
    <n v="1"/>
    <x v="1768"/>
    <n v="0.3"/>
    <n v="263.39999999999998"/>
    <x v="1"/>
    <x v="0"/>
    <x v="2"/>
    <s v="Pen"/>
    <x v="0"/>
  </r>
  <r>
    <s v="O2779"/>
    <x v="665"/>
    <s v="C100"/>
    <s v="P001"/>
    <n v="4"/>
    <x v="1769"/>
    <n v="0.2"/>
    <n v="136.13999999999999"/>
    <x v="2"/>
    <x v="1"/>
    <x v="2"/>
    <s v="Storage"/>
    <x v="0"/>
  </r>
  <r>
    <s v="O2780"/>
    <x v="391"/>
    <s v="C123"/>
    <s v="P014"/>
    <n v="4"/>
    <x v="1770"/>
    <n v="0.2"/>
    <n v="475.61"/>
    <x v="2"/>
    <x v="0"/>
    <x v="1"/>
    <s v="Shelf"/>
    <x v="1"/>
  </r>
  <r>
    <s v="O2781"/>
    <x v="574"/>
    <s v="C120"/>
    <s v="P073"/>
    <n v="4"/>
    <x v="1771"/>
    <n v="0.1"/>
    <n v="295.51"/>
    <x v="1"/>
    <x v="0"/>
    <x v="1"/>
    <s v="Table"/>
    <x v="1"/>
  </r>
  <r>
    <s v="O2782"/>
    <x v="59"/>
    <s v="C010"/>
    <s v="P028"/>
    <n v="3"/>
    <x v="1772"/>
    <n v="0"/>
    <n v="106.81"/>
    <x v="2"/>
    <x v="2"/>
    <x v="0"/>
    <s v="Laptop"/>
    <x v="0"/>
  </r>
  <r>
    <s v="O2783"/>
    <x v="152"/>
    <s v="C193"/>
    <s v="P070"/>
    <n v="5"/>
    <x v="424"/>
    <n v="0.1"/>
    <n v="102.64"/>
    <x v="1"/>
    <x v="2"/>
    <x v="2"/>
    <s v="Paper"/>
    <x v="1"/>
  </r>
  <r>
    <s v="O2784"/>
    <x v="86"/>
    <s v="C029"/>
    <s v="P067"/>
    <n v="4"/>
    <x v="1773"/>
    <n v="0.3"/>
    <n v="155.79"/>
    <x v="0"/>
    <x v="2"/>
    <x v="2"/>
    <s v="Binder"/>
    <x v="0"/>
  </r>
  <r>
    <s v="O2785"/>
    <x v="50"/>
    <s v="C093"/>
    <s v="P013"/>
    <n v="2"/>
    <x v="1774"/>
    <n v="0"/>
    <n v="100.76"/>
    <x v="0"/>
    <x v="1"/>
    <x v="0"/>
    <s v="Laptop"/>
    <x v="0"/>
  </r>
  <r>
    <s v="O2786"/>
    <x v="203"/>
    <s v="C097"/>
    <s v="P100"/>
    <n v="2"/>
    <x v="1775"/>
    <n v="0"/>
    <n v="308.76"/>
    <x v="2"/>
    <x v="0"/>
    <x v="0"/>
    <s v="Phone"/>
    <x v="0"/>
  </r>
  <r>
    <s v="O2787"/>
    <x v="730"/>
    <s v="C153"/>
    <s v="P094"/>
    <n v="1"/>
    <x v="1776"/>
    <n v="0"/>
    <n v="255.98"/>
    <x v="2"/>
    <x v="2"/>
    <x v="1"/>
    <s v="Table"/>
    <x v="0"/>
  </r>
  <r>
    <s v="O2788"/>
    <x v="591"/>
    <s v="C032"/>
    <s v="P097"/>
    <n v="5"/>
    <x v="1777"/>
    <n v="0"/>
    <n v="99.74"/>
    <x v="3"/>
    <x v="1"/>
    <x v="2"/>
    <s v="Paper"/>
    <x v="0"/>
  </r>
  <r>
    <s v="O2789"/>
    <x v="171"/>
    <s v="C015"/>
    <s v="P062"/>
    <n v="4"/>
    <x v="1778"/>
    <n v="0.1"/>
    <n v="55.74"/>
    <x v="3"/>
    <x v="1"/>
    <x v="1"/>
    <s v="Shelf"/>
    <x v="0"/>
  </r>
  <r>
    <s v="O2790"/>
    <x v="6"/>
    <s v="C082"/>
    <s v="P037"/>
    <n v="2"/>
    <x v="1779"/>
    <n v="0.2"/>
    <n v="81.41"/>
    <x v="3"/>
    <x v="2"/>
    <x v="2"/>
    <s v="Storage"/>
    <x v="0"/>
  </r>
  <r>
    <s v="O2791"/>
    <x v="768"/>
    <s v="C196"/>
    <s v="P094"/>
    <n v="5"/>
    <x v="1780"/>
    <n v="0.2"/>
    <n v="365.68"/>
    <x v="3"/>
    <x v="1"/>
    <x v="1"/>
    <s v="Table"/>
    <x v="1"/>
  </r>
  <r>
    <s v="O2792"/>
    <x v="374"/>
    <s v="C136"/>
    <s v="P016"/>
    <n v="1"/>
    <x v="1781"/>
    <n v="0.3"/>
    <n v="111.36"/>
    <x v="1"/>
    <x v="2"/>
    <x v="1"/>
    <s v="Chair"/>
    <x v="1"/>
  </r>
  <r>
    <s v="O2793"/>
    <x v="202"/>
    <s v="C105"/>
    <s v="P084"/>
    <n v="3"/>
    <x v="1782"/>
    <n v="0.2"/>
    <n v="165.69"/>
    <x v="3"/>
    <x v="2"/>
    <x v="2"/>
    <s v="Paper"/>
    <x v="0"/>
  </r>
  <r>
    <s v="O2794"/>
    <x v="272"/>
    <s v="C007"/>
    <s v="P085"/>
    <n v="5"/>
    <x v="1783"/>
    <n v="0.2"/>
    <n v="171.13"/>
    <x v="1"/>
    <x v="2"/>
    <x v="0"/>
    <s v="Tablet"/>
    <x v="0"/>
  </r>
  <r>
    <s v="O2795"/>
    <x v="648"/>
    <s v="C125"/>
    <s v="P022"/>
    <n v="5"/>
    <x v="1784"/>
    <n v="0.2"/>
    <n v="377.52"/>
    <x v="0"/>
    <x v="2"/>
    <x v="0"/>
    <s v="Tablet"/>
    <x v="0"/>
  </r>
  <r>
    <s v="O2796"/>
    <x v="48"/>
    <s v="C017"/>
    <s v="P061"/>
    <n v="3"/>
    <x v="1785"/>
    <n v="0.2"/>
    <n v="168.69"/>
    <x v="3"/>
    <x v="0"/>
    <x v="2"/>
    <s v="Pen"/>
    <x v="0"/>
  </r>
  <r>
    <s v="O2797"/>
    <x v="213"/>
    <s v="C113"/>
    <s v="P050"/>
    <n v="5"/>
    <x v="1786"/>
    <n v="0.3"/>
    <n v="94.47"/>
    <x v="0"/>
    <x v="1"/>
    <x v="2"/>
    <s v="Pen"/>
    <x v="0"/>
  </r>
  <r>
    <s v="O2798"/>
    <x v="238"/>
    <s v="C111"/>
    <s v="P019"/>
    <n v="1"/>
    <x v="1787"/>
    <n v="0.1"/>
    <n v="363.73"/>
    <x v="0"/>
    <x v="1"/>
    <x v="0"/>
    <s v="Phone"/>
    <x v="1"/>
  </r>
  <r>
    <s v="O2799"/>
    <x v="136"/>
    <s v="C109"/>
    <s v="P029"/>
    <n v="1"/>
    <x v="1788"/>
    <n v="0"/>
    <n v="117.32"/>
    <x v="0"/>
    <x v="2"/>
    <x v="1"/>
    <s v="Shelf"/>
    <x v="0"/>
  </r>
  <r>
    <s v="O2800"/>
    <x v="457"/>
    <s v="C048"/>
    <s v="P082"/>
    <n v="3"/>
    <x v="1789"/>
    <n v="0.2"/>
    <n v="78.23"/>
    <x v="2"/>
    <x v="2"/>
    <x v="0"/>
    <s v="Accessories"/>
    <x v="0"/>
  </r>
  <r>
    <s v="O2801"/>
    <x v="49"/>
    <s v="C023"/>
    <s v="P044"/>
    <n v="4"/>
    <x v="1790"/>
    <n v="0.1"/>
    <n v="389.07"/>
    <x v="3"/>
    <x v="2"/>
    <x v="1"/>
    <s v="Table"/>
    <x v="0"/>
  </r>
  <r>
    <s v="O2802"/>
    <x v="605"/>
    <s v="C082"/>
    <s v="P028"/>
    <n v="2"/>
    <x v="1791"/>
    <n v="0.2"/>
    <n v="160.08000000000001"/>
    <x v="3"/>
    <x v="2"/>
    <x v="0"/>
    <s v="Laptop"/>
    <x v="0"/>
  </r>
  <r>
    <s v="O2803"/>
    <x v="293"/>
    <s v="C019"/>
    <s v="P076"/>
    <n v="4"/>
    <x v="1792"/>
    <n v="0.2"/>
    <n v="168.18"/>
    <x v="2"/>
    <x v="0"/>
    <x v="1"/>
    <s v="Shelf"/>
    <x v="1"/>
  </r>
  <r>
    <s v="O2804"/>
    <x v="769"/>
    <s v="C005"/>
    <s v="P045"/>
    <n v="5"/>
    <x v="1793"/>
    <n v="0"/>
    <n v="9.07"/>
    <x v="1"/>
    <x v="0"/>
    <x v="0"/>
    <s v="Tablet"/>
    <x v="0"/>
  </r>
  <r>
    <s v="O2805"/>
    <x v="770"/>
    <s v="C065"/>
    <s v="P058"/>
    <n v="2"/>
    <x v="1794"/>
    <n v="0"/>
    <n v="66.239999999999995"/>
    <x v="0"/>
    <x v="0"/>
    <x v="2"/>
    <s v="Paper"/>
    <x v="0"/>
  </r>
  <r>
    <s v="O2806"/>
    <x v="659"/>
    <s v="C013"/>
    <s v="P039"/>
    <n v="3"/>
    <x v="1795"/>
    <n v="0"/>
    <n v="27.04"/>
    <x v="2"/>
    <x v="0"/>
    <x v="2"/>
    <s v="Pen"/>
    <x v="0"/>
  </r>
  <r>
    <s v="O2807"/>
    <x v="567"/>
    <s v="C115"/>
    <s v="P077"/>
    <n v="3"/>
    <x v="1796"/>
    <n v="0.2"/>
    <n v="366.71"/>
    <x v="1"/>
    <x v="1"/>
    <x v="0"/>
    <s v="Accessories"/>
    <x v="0"/>
  </r>
  <r>
    <s v="O2808"/>
    <x v="285"/>
    <s v="C145"/>
    <s v="P082"/>
    <n v="2"/>
    <x v="1797"/>
    <n v="0.2"/>
    <n v="106.48"/>
    <x v="1"/>
    <x v="2"/>
    <x v="0"/>
    <s v="Accessories"/>
    <x v="0"/>
  </r>
  <r>
    <s v="O2809"/>
    <x v="36"/>
    <s v="C141"/>
    <s v="P030"/>
    <n v="1"/>
    <x v="1798"/>
    <n v="0.2"/>
    <n v="273.11"/>
    <x v="1"/>
    <x v="2"/>
    <x v="1"/>
    <s v="Shelf"/>
    <x v="0"/>
  </r>
  <r>
    <s v="O2810"/>
    <x v="248"/>
    <s v="C128"/>
    <s v="P088"/>
    <n v="2"/>
    <x v="1799"/>
    <n v="0"/>
    <n v="20.88"/>
    <x v="1"/>
    <x v="2"/>
    <x v="0"/>
    <s v="Laptop"/>
    <x v="0"/>
  </r>
  <r>
    <s v="O2811"/>
    <x v="351"/>
    <s v="C011"/>
    <s v="P026"/>
    <n v="5"/>
    <x v="1800"/>
    <n v="0.3"/>
    <n v="261.42"/>
    <x v="2"/>
    <x v="0"/>
    <x v="0"/>
    <s v="Phone"/>
    <x v="1"/>
  </r>
  <r>
    <s v="O2812"/>
    <x v="634"/>
    <s v="C012"/>
    <s v="P031"/>
    <n v="1"/>
    <x v="1801"/>
    <n v="0.1"/>
    <n v="51.42"/>
    <x v="1"/>
    <x v="2"/>
    <x v="2"/>
    <s v="Storage"/>
    <x v="0"/>
  </r>
  <r>
    <s v="O2813"/>
    <x v="1"/>
    <s v="C003"/>
    <s v="P006"/>
    <n v="3"/>
    <x v="1802"/>
    <n v="0.3"/>
    <n v="277.08"/>
    <x v="0"/>
    <x v="0"/>
    <x v="1"/>
    <s v="Chair"/>
    <x v="1"/>
  </r>
  <r>
    <s v="O2814"/>
    <x v="416"/>
    <s v="C120"/>
    <s v="P098"/>
    <n v="2"/>
    <x v="1803"/>
    <n v="0.2"/>
    <n v="424.58"/>
    <x v="1"/>
    <x v="0"/>
    <x v="1"/>
    <s v="Shelf"/>
    <x v="0"/>
  </r>
  <r>
    <s v="O2815"/>
    <x v="771"/>
    <s v="C070"/>
    <s v="P049"/>
    <n v="4"/>
    <x v="1804"/>
    <n v="0.2"/>
    <n v="160.38"/>
    <x v="3"/>
    <x v="1"/>
    <x v="2"/>
    <s v="Paper"/>
    <x v="0"/>
  </r>
  <r>
    <s v="O2816"/>
    <x v="772"/>
    <s v="C188"/>
    <s v="P070"/>
    <n v="4"/>
    <x v="1805"/>
    <n v="0.3"/>
    <n v="539.30999999999995"/>
    <x v="3"/>
    <x v="2"/>
    <x v="2"/>
    <s v="Paper"/>
    <x v="0"/>
  </r>
  <r>
    <s v="O2817"/>
    <x v="716"/>
    <s v="C015"/>
    <s v="P037"/>
    <n v="5"/>
    <x v="1806"/>
    <n v="0.2"/>
    <n v="238.07"/>
    <x v="3"/>
    <x v="1"/>
    <x v="2"/>
    <s v="Storage"/>
    <x v="0"/>
  </r>
  <r>
    <s v="O2818"/>
    <x v="134"/>
    <s v="C195"/>
    <s v="P028"/>
    <n v="4"/>
    <x v="1807"/>
    <n v="0.1"/>
    <n v="291.2"/>
    <x v="1"/>
    <x v="2"/>
    <x v="0"/>
    <s v="Laptop"/>
    <x v="0"/>
  </r>
  <r>
    <s v="O2819"/>
    <x v="773"/>
    <s v="C094"/>
    <s v="P098"/>
    <n v="2"/>
    <x v="1808"/>
    <n v="0.2"/>
    <n v="225.75"/>
    <x v="3"/>
    <x v="1"/>
    <x v="1"/>
    <s v="Shelf"/>
    <x v="0"/>
  </r>
  <r>
    <s v="O2820"/>
    <x v="763"/>
    <s v="C023"/>
    <s v="P064"/>
    <n v="2"/>
    <x v="1809"/>
    <n v="0.1"/>
    <n v="91.79"/>
    <x v="3"/>
    <x v="2"/>
    <x v="2"/>
    <s v="Binder"/>
    <x v="0"/>
  </r>
  <r>
    <s v="O2821"/>
    <x v="124"/>
    <s v="C087"/>
    <s v="P024"/>
    <n v="4"/>
    <x v="1810"/>
    <n v="0.3"/>
    <n v="315.95999999999998"/>
    <x v="0"/>
    <x v="1"/>
    <x v="1"/>
    <s v="Desk"/>
    <x v="0"/>
  </r>
  <r>
    <s v="O2822"/>
    <x v="774"/>
    <s v="C120"/>
    <s v="P080"/>
    <n v="2"/>
    <x v="1811"/>
    <n v="0.3"/>
    <n v="50.35"/>
    <x v="1"/>
    <x v="0"/>
    <x v="2"/>
    <s v="Pen"/>
    <x v="0"/>
  </r>
  <r>
    <s v="O2823"/>
    <x v="608"/>
    <s v="C166"/>
    <s v="P097"/>
    <n v="5"/>
    <x v="1812"/>
    <n v="0.2"/>
    <n v="75.86"/>
    <x v="0"/>
    <x v="2"/>
    <x v="2"/>
    <s v="Paper"/>
    <x v="0"/>
  </r>
  <r>
    <s v="O2824"/>
    <x v="594"/>
    <s v="C188"/>
    <s v="P082"/>
    <n v="1"/>
    <x v="1813"/>
    <n v="0.1"/>
    <n v="201.54"/>
    <x v="3"/>
    <x v="2"/>
    <x v="0"/>
    <s v="Accessories"/>
    <x v="0"/>
  </r>
  <r>
    <s v="O2825"/>
    <x v="103"/>
    <s v="C188"/>
    <s v="P047"/>
    <n v="5"/>
    <x v="1814"/>
    <n v="0.2"/>
    <n v="193.37"/>
    <x v="3"/>
    <x v="2"/>
    <x v="2"/>
    <s v="Pen"/>
    <x v="0"/>
  </r>
  <r>
    <s v="O2826"/>
    <x v="248"/>
    <s v="C198"/>
    <s v="P027"/>
    <n v="5"/>
    <x v="1815"/>
    <n v="0"/>
    <n v="98.81"/>
    <x v="0"/>
    <x v="1"/>
    <x v="2"/>
    <s v="Storage"/>
    <x v="0"/>
  </r>
  <r>
    <s v="O2827"/>
    <x v="217"/>
    <s v="C147"/>
    <s v="P077"/>
    <n v="2"/>
    <x v="1816"/>
    <n v="0"/>
    <n v="444.33"/>
    <x v="3"/>
    <x v="2"/>
    <x v="0"/>
    <s v="Accessories"/>
    <x v="0"/>
  </r>
  <r>
    <s v="O2828"/>
    <x v="594"/>
    <s v="C198"/>
    <s v="P017"/>
    <n v="1"/>
    <x v="1817"/>
    <n v="0"/>
    <n v="228.86"/>
    <x v="0"/>
    <x v="1"/>
    <x v="2"/>
    <s v="Pen"/>
    <x v="1"/>
  </r>
  <r>
    <s v="O2829"/>
    <x v="127"/>
    <s v="C020"/>
    <s v="P086"/>
    <n v="2"/>
    <x v="1818"/>
    <n v="0"/>
    <n v="256.70999999999998"/>
    <x v="0"/>
    <x v="1"/>
    <x v="1"/>
    <s v="Shelf"/>
    <x v="0"/>
  </r>
  <r>
    <s v="O2830"/>
    <x v="206"/>
    <s v="C189"/>
    <s v="P022"/>
    <n v="3"/>
    <x v="1819"/>
    <n v="0.2"/>
    <n v="99.49"/>
    <x v="0"/>
    <x v="2"/>
    <x v="0"/>
    <s v="Tablet"/>
    <x v="0"/>
  </r>
  <r>
    <s v="O2831"/>
    <x v="750"/>
    <s v="C088"/>
    <s v="P080"/>
    <n v="2"/>
    <x v="1820"/>
    <n v="0"/>
    <n v="50.38"/>
    <x v="2"/>
    <x v="1"/>
    <x v="2"/>
    <s v="Pen"/>
    <x v="0"/>
  </r>
  <r>
    <s v="O2832"/>
    <x v="661"/>
    <s v="C198"/>
    <s v="P049"/>
    <n v="2"/>
    <x v="1821"/>
    <n v="0.1"/>
    <n v="54.59"/>
    <x v="0"/>
    <x v="1"/>
    <x v="2"/>
    <s v="Paper"/>
    <x v="0"/>
  </r>
  <r>
    <s v="O2833"/>
    <x v="478"/>
    <s v="C070"/>
    <s v="P035"/>
    <n v="2"/>
    <x v="1822"/>
    <n v="0.3"/>
    <n v="47.93"/>
    <x v="3"/>
    <x v="1"/>
    <x v="1"/>
    <s v="Chair"/>
    <x v="0"/>
  </r>
  <r>
    <s v="O2834"/>
    <x v="141"/>
    <s v="C037"/>
    <s v="P054"/>
    <n v="1"/>
    <x v="1823"/>
    <n v="0.3"/>
    <n v="37.67"/>
    <x v="1"/>
    <x v="1"/>
    <x v="1"/>
    <s v="Shelf"/>
    <x v="0"/>
  </r>
  <r>
    <s v="O2835"/>
    <x v="91"/>
    <s v="C172"/>
    <s v="P058"/>
    <n v="2"/>
    <x v="1824"/>
    <n v="0"/>
    <n v="116.95"/>
    <x v="1"/>
    <x v="2"/>
    <x v="2"/>
    <s v="Paper"/>
    <x v="0"/>
  </r>
  <r>
    <s v="O2836"/>
    <x v="714"/>
    <s v="C090"/>
    <s v="P039"/>
    <n v="1"/>
    <x v="1825"/>
    <n v="0"/>
    <n v="158.58000000000001"/>
    <x v="2"/>
    <x v="2"/>
    <x v="2"/>
    <s v="Pen"/>
    <x v="1"/>
  </r>
  <r>
    <s v="O2837"/>
    <x v="607"/>
    <s v="C130"/>
    <s v="P084"/>
    <n v="4"/>
    <x v="1826"/>
    <n v="0"/>
    <n v="183.65"/>
    <x v="3"/>
    <x v="0"/>
    <x v="2"/>
    <s v="Paper"/>
    <x v="1"/>
  </r>
  <r>
    <s v="O2838"/>
    <x v="762"/>
    <s v="C159"/>
    <s v="P100"/>
    <n v="3"/>
    <x v="1827"/>
    <n v="0.2"/>
    <n v="101.63"/>
    <x v="2"/>
    <x v="2"/>
    <x v="0"/>
    <s v="Phone"/>
    <x v="0"/>
  </r>
  <r>
    <s v="O2839"/>
    <x v="148"/>
    <s v="C089"/>
    <s v="P045"/>
    <n v="1"/>
    <x v="1828"/>
    <n v="0.3"/>
    <n v="374.57"/>
    <x v="2"/>
    <x v="2"/>
    <x v="0"/>
    <s v="Tablet"/>
    <x v="0"/>
  </r>
  <r>
    <s v="O2840"/>
    <x v="723"/>
    <s v="C096"/>
    <s v="P082"/>
    <n v="4"/>
    <x v="1829"/>
    <n v="0"/>
    <n v="130.06"/>
    <x v="0"/>
    <x v="2"/>
    <x v="0"/>
    <s v="Accessories"/>
    <x v="0"/>
  </r>
  <r>
    <s v="O2841"/>
    <x v="685"/>
    <s v="C090"/>
    <s v="P084"/>
    <n v="1"/>
    <x v="1830"/>
    <n v="0.1"/>
    <n v="22.44"/>
    <x v="2"/>
    <x v="2"/>
    <x v="2"/>
    <s v="Paper"/>
    <x v="1"/>
  </r>
  <r>
    <s v="O2842"/>
    <x v="669"/>
    <s v="C068"/>
    <s v="P085"/>
    <n v="1"/>
    <x v="1831"/>
    <n v="0"/>
    <n v="461.17"/>
    <x v="0"/>
    <x v="1"/>
    <x v="0"/>
    <s v="Tablet"/>
    <x v="0"/>
  </r>
  <r>
    <s v="O2843"/>
    <x v="223"/>
    <s v="C024"/>
    <s v="P013"/>
    <n v="3"/>
    <x v="1832"/>
    <n v="0.3"/>
    <n v="213.74"/>
    <x v="2"/>
    <x v="0"/>
    <x v="0"/>
    <s v="Laptop"/>
    <x v="0"/>
  </r>
  <r>
    <s v="O2844"/>
    <x v="630"/>
    <s v="C060"/>
    <s v="P062"/>
    <n v="5"/>
    <x v="1833"/>
    <n v="0"/>
    <n v="99.96"/>
    <x v="1"/>
    <x v="2"/>
    <x v="1"/>
    <s v="Shelf"/>
    <x v="0"/>
  </r>
  <r>
    <s v="O2845"/>
    <x v="437"/>
    <s v="C065"/>
    <s v="P007"/>
    <n v="5"/>
    <x v="1834"/>
    <n v="0.3"/>
    <n v="20.11"/>
    <x v="0"/>
    <x v="0"/>
    <x v="1"/>
    <s v="Desk"/>
    <x v="1"/>
  </r>
  <r>
    <s v="O2846"/>
    <x v="141"/>
    <s v="C180"/>
    <s v="P095"/>
    <n v="1"/>
    <x v="1835"/>
    <n v="0"/>
    <n v="268.82"/>
    <x v="3"/>
    <x v="1"/>
    <x v="0"/>
    <s v="Phone"/>
    <x v="1"/>
  </r>
  <r>
    <s v="O2847"/>
    <x v="438"/>
    <s v="C068"/>
    <s v="P065"/>
    <n v="2"/>
    <x v="1836"/>
    <n v="0.1"/>
    <n v="113.95"/>
    <x v="0"/>
    <x v="1"/>
    <x v="1"/>
    <s v="Chair"/>
    <x v="0"/>
  </r>
  <r>
    <s v="O2848"/>
    <x v="531"/>
    <s v="C094"/>
    <s v="P074"/>
    <n v="4"/>
    <x v="1837"/>
    <n v="0"/>
    <n v="335.79"/>
    <x v="3"/>
    <x v="1"/>
    <x v="1"/>
    <s v="Table"/>
    <x v="1"/>
  </r>
  <r>
    <s v="O2849"/>
    <x v="775"/>
    <s v="C196"/>
    <s v="P084"/>
    <n v="2"/>
    <x v="1838"/>
    <n v="0.1"/>
    <n v="311.02999999999997"/>
    <x v="3"/>
    <x v="1"/>
    <x v="2"/>
    <s v="Paper"/>
    <x v="0"/>
  </r>
  <r>
    <s v="O2850"/>
    <x v="168"/>
    <s v="C146"/>
    <s v="P092"/>
    <n v="2"/>
    <x v="1839"/>
    <n v="0.1"/>
    <n v="203.99"/>
    <x v="3"/>
    <x v="0"/>
    <x v="0"/>
    <s v="Phone"/>
    <x v="0"/>
  </r>
  <r>
    <s v="O2851"/>
    <x v="656"/>
    <s v="C197"/>
    <s v="P027"/>
    <n v="1"/>
    <x v="1840"/>
    <n v="0"/>
    <n v="240.24"/>
    <x v="3"/>
    <x v="1"/>
    <x v="2"/>
    <s v="Storage"/>
    <x v="1"/>
  </r>
  <r>
    <s v="O2852"/>
    <x v="520"/>
    <s v="C177"/>
    <s v="P082"/>
    <n v="1"/>
    <x v="1841"/>
    <n v="0.1"/>
    <n v="277.31"/>
    <x v="0"/>
    <x v="0"/>
    <x v="0"/>
    <s v="Accessories"/>
    <x v="1"/>
  </r>
  <r>
    <s v="O2853"/>
    <x v="163"/>
    <s v="C050"/>
    <s v="P010"/>
    <n v="1"/>
    <x v="1842"/>
    <n v="0.2"/>
    <n v="565.59"/>
    <x v="0"/>
    <x v="0"/>
    <x v="2"/>
    <s v="Paper"/>
    <x v="0"/>
  </r>
  <r>
    <s v="O2854"/>
    <x v="276"/>
    <s v="C078"/>
    <s v="P098"/>
    <n v="1"/>
    <x v="1843"/>
    <n v="0"/>
    <n v="415.83"/>
    <x v="2"/>
    <x v="2"/>
    <x v="1"/>
    <s v="Shelf"/>
    <x v="1"/>
  </r>
  <r>
    <s v="O2855"/>
    <x v="340"/>
    <s v="C139"/>
    <s v="P076"/>
    <n v="5"/>
    <x v="1844"/>
    <n v="0"/>
    <n v="168.13"/>
    <x v="0"/>
    <x v="0"/>
    <x v="1"/>
    <s v="Shelf"/>
    <x v="0"/>
  </r>
  <r>
    <s v="O2856"/>
    <x v="186"/>
    <s v="C177"/>
    <s v="P044"/>
    <n v="1"/>
    <x v="1845"/>
    <n v="0.1"/>
    <n v="351.86"/>
    <x v="0"/>
    <x v="0"/>
    <x v="1"/>
    <s v="Table"/>
    <x v="0"/>
  </r>
  <r>
    <s v="O2857"/>
    <x v="691"/>
    <s v="C193"/>
    <s v="P058"/>
    <n v="5"/>
    <x v="1846"/>
    <n v="0.1"/>
    <n v="159.96"/>
    <x v="1"/>
    <x v="2"/>
    <x v="2"/>
    <s v="Paper"/>
    <x v="0"/>
  </r>
  <r>
    <s v="O2858"/>
    <x v="344"/>
    <s v="C107"/>
    <s v="P081"/>
    <n v="5"/>
    <x v="1847"/>
    <n v="0"/>
    <n v="100.65"/>
    <x v="2"/>
    <x v="1"/>
    <x v="2"/>
    <s v="Pen"/>
    <x v="0"/>
  </r>
  <r>
    <s v="O2859"/>
    <x v="703"/>
    <s v="C185"/>
    <s v="P083"/>
    <n v="1"/>
    <x v="1848"/>
    <n v="0.2"/>
    <n v="97.1"/>
    <x v="1"/>
    <x v="2"/>
    <x v="2"/>
    <s v="Paper"/>
    <x v="1"/>
  </r>
  <r>
    <s v="O2860"/>
    <x v="539"/>
    <s v="C055"/>
    <s v="P051"/>
    <n v="3"/>
    <x v="1849"/>
    <n v="0.1"/>
    <n v="151.94"/>
    <x v="0"/>
    <x v="2"/>
    <x v="0"/>
    <s v="Tablet"/>
    <x v="0"/>
  </r>
  <r>
    <s v="O2861"/>
    <x v="403"/>
    <s v="C110"/>
    <s v="P019"/>
    <n v="4"/>
    <x v="1850"/>
    <n v="0.1"/>
    <n v="340.21"/>
    <x v="3"/>
    <x v="0"/>
    <x v="0"/>
    <s v="Phone"/>
    <x v="0"/>
  </r>
  <r>
    <s v="O2862"/>
    <x v="579"/>
    <s v="C030"/>
    <s v="P042"/>
    <n v="2"/>
    <x v="1851"/>
    <n v="0.3"/>
    <n v="87.87"/>
    <x v="1"/>
    <x v="1"/>
    <x v="0"/>
    <s v="Tablet"/>
    <x v="0"/>
  </r>
  <r>
    <s v="O2863"/>
    <x v="70"/>
    <s v="C097"/>
    <s v="P097"/>
    <n v="5"/>
    <x v="1852"/>
    <n v="0.2"/>
    <n v="60.93"/>
    <x v="2"/>
    <x v="0"/>
    <x v="2"/>
    <s v="Paper"/>
    <x v="0"/>
  </r>
  <r>
    <s v="O2864"/>
    <x v="533"/>
    <s v="C164"/>
    <s v="P087"/>
    <n v="4"/>
    <x v="1853"/>
    <n v="0.2"/>
    <n v="115.84"/>
    <x v="2"/>
    <x v="2"/>
    <x v="0"/>
    <s v="Phone"/>
    <x v="0"/>
  </r>
  <r>
    <s v="O2865"/>
    <x v="634"/>
    <s v="C133"/>
    <s v="P081"/>
    <n v="3"/>
    <x v="1854"/>
    <n v="0"/>
    <n v="115.76"/>
    <x v="0"/>
    <x v="2"/>
    <x v="2"/>
    <s v="Pen"/>
    <x v="0"/>
  </r>
  <r>
    <s v="O2866"/>
    <x v="553"/>
    <s v="C031"/>
    <s v="P020"/>
    <n v="2"/>
    <x v="1855"/>
    <n v="0.2"/>
    <n v="390.5"/>
    <x v="2"/>
    <x v="1"/>
    <x v="2"/>
    <s v="Pen"/>
    <x v="1"/>
  </r>
  <r>
    <s v="O2867"/>
    <x v="730"/>
    <s v="C012"/>
    <s v="P014"/>
    <n v="2"/>
    <x v="1856"/>
    <n v="0"/>
    <n v="246.53"/>
    <x v="1"/>
    <x v="2"/>
    <x v="1"/>
    <s v="Shelf"/>
    <x v="0"/>
  </r>
  <r>
    <s v="O2868"/>
    <x v="667"/>
    <s v="C021"/>
    <s v="P070"/>
    <n v="5"/>
    <x v="1857"/>
    <n v="0.3"/>
    <n v="475.82"/>
    <x v="3"/>
    <x v="2"/>
    <x v="2"/>
    <s v="Paper"/>
    <x v="0"/>
  </r>
  <r>
    <s v="O2869"/>
    <x v="55"/>
    <s v="C138"/>
    <s v="P097"/>
    <n v="1"/>
    <x v="1858"/>
    <n v="0.2"/>
    <n v="249.51"/>
    <x v="0"/>
    <x v="1"/>
    <x v="2"/>
    <s v="Paper"/>
    <x v="0"/>
  </r>
  <r>
    <s v="O2870"/>
    <x v="776"/>
    <s v="C067"/>
    <s v="P078"/>
    <n v="3"/>
    <x v="1859"/>
    <n v="0.1"/>
    <n v="80.86"/>
    <x v="1"/>
    <x v="2"/>
    <x v="2"/>
    <s v="Storage"/>
    <x v="1"/>
  </r>
  <r>
    <s v="O2871"/>
    <x v="672"/>
    <s v="C166"/>
    <s v="P001"/>
    <n v="5"/>
    <x v="1860"/>
    <n v="0.3"/>
    <n v="37.840000000000003"/>
    <x v="0"/>
    <x v="2"/>
    <x v="2"/>
    <s v="Storage"/>
    <x v="0"/>
  </r>
  <r>
    <s v="O2872"/>
    <x v="633"/>
    <s v="C091"/>
    <s v="P012"/>
    <n v="3"/>
    <x v="1861"/>
    <n v="0"/>
    <n v="250.92"/>
    <x v="3"/>
    <x v="1"/>
    <x v="0"/>
    <s v="Laptop"/>
    <x v="0"/>
  </r>
  <r>
    <s v="O2873"/>
    <x v="777"/>
    <s v="C017"/>
    <s v="P071"/>
    <n v="1"/>
    <x v="1862"/>
    <n v="0.3"/>
    <n v="413.54"/>
    <x v="3"/>
    <x v="0"/>
    <x v="0"/>
    <s v="Laptop"/>
    <x v="1"/>
  </r>
  <r>
    <s v="O2874"/>
    <x v="521"/>
    <s v="C091"/>
    <s v="P035"/>
    <n v="1"/>
    <x v="1863"/>
    <n v="0"/>
    <n v="218.62"/>
    <x v="3"/>
    <x v="1"/>
    <x v="1"/>
    <s v="Chair"/>
    <x v="0"/>
  </r>
  <r>
    <s v="O2875"/>
    <x v="582"/>
    <s v="C176"/>
    <s v="P036"/>
    <n v="5"/>
    <x v="1864"/>
    <n v="0.3"/>
    <n v="105.22"/>
    <x v="3"/>
    <x v="2"/>
    <x v="1"/>
    <s v="Shelf"/>
    <x v="0"/>
  </r>
  <r>
    <s v="O2876"/>
    <x v="687"/>
    <s v="C092"/>
    <s v="P031"/>
    <n v="1"/>
    <x v="1865"/>
    <n v="0"/>
    <n v="522.67999999999995"/>
    <x v="1"/>
    <x v="1"/>
    <x v="2"/>
    <s v="Storage"/>
    <x v="0"/>
  </r>
  <r>
    <s v="O2877"/>
    <x v="487"/>
    <s v="C013"/>
    <s v="P044"/>
    <n v="4"/>
    <x v="1866"/>
    <n v="0.2"/>
    <n v="40.880000000000003"/>
    <x v="2"/>
    <x v="0"/>
    <x v="1"/>
    <s v="Table"/>
    <x v="1"/>
  </r>
  <r>
    <s v="O2878"/>
    <x v="545"/>
    <s v="C040"/>
    <s v="P014"/>
    <n v="2"/>
    <x v="1867"/>
    <n v="0.1"/>
    <n v="214.19"/>
    <x v="1"/>
    <x v="0"/>
    <x v="1"/>
    <s v="Shelf"/>
    <x v="0"/>
  </r>
  <r>
    <s v="O2879"/>
    <x v="475"/>
    <s v="C169"/>
    <s v="P045"/>
    <n v="5"/>
    <x v="1868"/>
    <n v="0"/>
    <n v="213.92"/>
    <x v="3"/>
    <x v="1"/>
    <x v="0"/>
    <s v="Tablet"/>
    <x v="0"/>
  </r>
  <r>
    <s v="O2880"/>
    <x v="599"/>
    <s v="C043"/>
    <s v="P055"/>
    <n v="3"/>
    <x v="1869"/>
    <n v="0.3"/>
    <n v="85.86"/>
    <x v="3"/>
    <x v="2"/>
    <x v="2"/>
    <s v="Binder"/>
    <x v="0"/>
  </r>
  <r>
    <s v="O2881"/>
    <x v="423"/>
    <s v="C088"/>
    <s v="P095"/>
    <n v="4"/>
    <x v="1870"/>
    <n v="0"/>
    <n v="182.3"/>
    <x v="2"/>
    <x v="1"/>
    <x v="0"/>
    <s v="Phone"/>
    <x v="0"/>
  </r>
  <r>
    <s v="O2882"/>
    <x v="447"/>
    <s v="C158"/>
    <s v="P020"/>
    <n v="5"/>
    <x v="1871"/>
    <n v="0"/>
    <n v="72.47"/>
    <x v="3"/>
    <x v="0"/>
    <x v="2"/>
    <s v="Pen"/>
    <x v="0"/>
  </r>
  <r>
    <s v="O2883"/>
    <x v="778"/>
    <s v="C132"/>
    <s v="P020"/>
    <n v="1"/>
    <x v="1872"/>
    <n v="0"/>
    <n v="87.9"/>
    <x v="1"/>
    <x v="0"/>
    <x v="2"/>
    <s v="Pen"/>
    <x v="0"/>
  </r>
  <r>
    <s v="O2884"/>
    <x v="419"/>
    <s v="C173"/>
    <s v="P040"/>
    <n v="1"/>
    <x v="1873"/>
    <n v="0.3"/>
    <n v="375.74"/>
    <x v="1"/>
    <x v="0"/>
    <x v="2"/>
    <s v="Binder"/>
    <x v="0"/>
  </r>
  <r>
    <s v="O2885"/>
    <x v="387"/>
    <s v="C019"/>
    <s v="P054"/>
    <n v="1"/>
    <x v="1874"/>
    <n v="0.1"/>
    <n v="144.94"/>
    <x v="2"/>
    <x v="0"/>
    <x v="1"/>
    <s v="Shelf"/>
    <x v="0"/>
  </r>
  <r>
    <s v="O2886"/>
    <x v="130"/>
    <s v="C033"/>
    <s v="P091"/>
    <n v="1"/>
    <x v="1875"/>
    <n v="0.2"/>
    <n v="111.46"/>
    <x v="2"/>
    <x v="0"/>
    <x v="1"/>
    <s v="Shelf"/>
    <x v="0"/>
  </r>
  <r>
    <s v="O2887"/>
    <x v="353"/>
    <s v="C173"/>
    <s v="P005"/>
    <n v="3"/>
    <x v="1876"/>
    <n v="0.1"/>
    <n v="91.91"/>
    <x v="1"/>
    <x v="0"/>
    <x v="2"/>
    <s v="Paper"/>
    <x v="0"/>
  </r>
  <r>
    <s v="O2888"/>
    <x v="461"/>
    <s v="C090"/>
    <s v="P007"/>
    <n v="4"/>
    <x v="1877"/>
    <n v="0"/>
    <n v="178.04"/>
    <x v="2"/>
    <x v="2"/>
    <x v="1"/>
    <s v="Desk"/>
    <x v="0"/>
  </r>
  <r>
    <s v="O2889"/>
    <x v="779"/>
    <s v="C062"/>
    <s v="P069"/>
    <n v="2"/>
    <x v="1878"/>
    <n v="0.3"/>
    <n v="92.58"/>
    <x v="1"/>
    <x v="2"/>
    <x v="2"/>
    <s v="Pen"/>
    <x v="0"/>
  </r>
  <r>
    <s v="O2890"/>
    <x v="42"/>
    <s v="C090"/>
    <s v="P039"/>
    <n v="3"/>
    <x v="1879"/>
    <n v="0.1"/>
    <n v="479.41"/>
    <x v="2"/>
    <x v="2"/>
    <x v="2"/>
    <s v="Pen"/>
    <x v="0"/>
  </r>
  <r>
    <s v="O2891"/>
    <x v="314"/>
    <s v="C106"/>
    <s v="P063"/>
    <n v="3"/>
    <x v="1880"/>
    <n v="0"/>
    <n v="102.07"/>
    <x v="0"/>
    <x v="1"/>
    <x v="2"/>
    <s v="Pen"/>
    <x v="1"/>
  </r>
  <r>
    <s v="O2892"/>
    <x v="67"/>
    <s v="C086"/>
    <s v="P078"/>
    <n v="2"/>
    <x v="1881"/>
    <n v="0.2"/>
    <n v="29.25"/>
    <x v="3"/>
    <x v="1"/>
    <x v="2"/>
    <s v="Storage"/>
    <x v="0"/>
  </r>
  <r>
    <s v="O2893"/>
    <x v="180"/>
    <s v="C112"/>
    <s v="P027"/>
    <n v="2"/>
    <x v="1882"/>
    <n v="0.2"/>
    <n v="404.51"/>
    <x v="2"/>
    <x v="0"/>
    <x v="2"/>
    <s v="Storage"/>
    <x v="0"/>
  </r>
  <r>
    <s v="O2894"/>
    <x v="669"/>
    <s v="C023"/>
    <s v="P086"/>
    <n v="1"/>
    <x v="1883"/>
    <n v="0.2"/>
    <n v="266.64"/>
    <x v="3"/>
    <x v="2"/>
    <x v="1"/>
    <s v="Shelf"/>
    <x v="0"/>
  </r>
  <r>
    <s v="O2895"/>
    <x v="27"/>
    <s v="C028"/>
    <s v="P071"/>
    <n v="3"/>
    <x v="1884"/>
    <n v="0"/>
    <n v="417.7"/>
    <x v="2"/>
    <x v="1"/>
    <x v="0"/>
    <s v="Laptop"/>
    <x v="1"/>
  </r>
  <r>
    <s v="O2896"/>
    <x v="668"/>
    <s v="C143"/>
    <s v="P033"/>
    <n v="5"/>
    <x v="1885"/>
    <n v="0.3"/>
    <n v="386.72"/>
    <x v="0"/>
    <x v="2"/>
    <x v="1"/>
    <s v="Table"/>
    <x v="0"/>
  </r>
  <r>
    <s v="O2897"/>
    <x v="780"/>
    <s v="C006"/>
    <s v="P043"/>
    <n v="2"/>
    <x v="1886"/>
    <n v="0.1"/>
    <n v="456.99"/>
    <x v="3"/>
    <x v="0"/>
    <x v="1"/>
    <s v="Table"/>
    <x v="0"/>
  </r>
  <r>
    <s v="O2898"/>
    <x v="675"/>
    <s v="C128"/>
    <s v="P081"/>
    <n v="2"/>
    <x v="1887"/>
    <n v="0.2"/>
    <n v="345.25"/>
    <x v="1"/>
    <x v="2"/>
    <x v="2"/>
    <s v="Pen"/>
    <x v="1"/>
  </r>
  <r>
    <s v="O2899"/>
    <x v="343"/>
    <s v="C164"/>
    <s v="P026"/>
    <n v="4"/>
    <x v="1888"/>
    <n v="0"/>
    <n v="88.64"/>
    <x v="2"/>
    <x v="2"/>
    <x v="0"/>
    <s v="Phone"/>
    <x v="0"/>
  </r>
  <r>
    <s v="O2900"/>
    <x v="383"/>
    <s v="C068"/>
    <s v="P082"/>
    <n v="5"/>
    <x v="1889"/>
    <n v="0"/>
    <n v="187.17"/>
    <x v="0"/>
    <x v="1"/>
    <x v="0"/>
    <s v="Accessories"/>
    <x v="0"/>
  </r>
  <r>
    <s v="O2901"/>
    <x v="565"/>
    <s v="C006"/>
    <s v="P087"/>
    <n v="5"/>
    <x v="1890"/>
    <n v="0.1"/>
    <n v="70.569999999999993"/>
    <x v="3"/>
    <x v="0"/>
    <x v="0"/>
    <s v="Phone"/>
    <x v="0"/>
  </r>
  <r>
    <s v="O2902"/>
    <x v="781"/>
    <s v="C141"/>
    <s v="P018"/>
    <n v="2"/>
    <x v="1891"/>
    <n v="0.2"/>
    <n v="77.67"/>
    <x v="1"/>
    <x v="2"/>
    <x v="2"/>
    <s v="Storage"/>
    <x v="1"/>
  </r>
  <r>
    <s v="O2903"/>
    <x v="167"/>
    <s v="C172"/>
    <s v="P100"/>
    <n v="1"/>
    <x v="1892"/>
    <n v="0"/>
    <n v="202.69"/>
    <x v="1"/>
    <x v="2"/>
    <x v="0"/>
    <s v="Phone"/>
    <x v="0"/>
  </r>
  <r>
    <s v="O2904"/>
    <x v="486"/>
    <s v="C041"/>
    <s v="P001"/>
    <n v="4"/>
    <x v="1893"/>
    <n v="0.1"/>
    <n v="128.80000000000001"/>
    <x v="0"/>
    <x v="1"/>
    <x v="2"/>
    <s v="Storage"/>
    <x v="0"/>
  </r>
  <r>
    <s v="O2905"/>
    <x v="670"/>
    <s v="C167"/>
    <s v="P037"/>
    <n v="5"/>
    <x v="1894"/>
    <n v="0.3"/>
    <n v="97.17"/>
    <x v="2"/>
    <x v="0"/>
    <x v="2"/>
    <s v="Storage"/>
    <x v="0"/>
  </r>
  <r>
    <s v="O2906"/>
    <x v="387"/>
    <s v="C144"/>
    <s v="P072"/>
    <n v="2"/>
    <x v="1895"/>
    <n v="0.3"/>
    <n v="119.25"/>
    <x v="0"/>
    <x v="0"/>
    <x v="1"/>
    <s v="Chair"/>
    <x v="0"/>
  </r>
  <r>
    <s v="O2907"/>
    <x v="25"/>
    <s v="C009"/>
    <s v="P052"/>
    <n v="5"/>
    <x v="1896"/>
    <n v="0.3"/>
    <n v="211.96"/>
    <x v="0"/>
    <x v="2"/>
    <x v="1"/>
    <s v="Chair"/>
    <x v="0"/>
  </r>
  <r>
    <s v="O2908"/>
    <x v="239"/>
    <s v="C003"/>
    <s v="P057"/>
    <n v="4"/>
    <x v="1897"/>
    <n v="0.2"/>
    <n v="222.73"/>
    <x v="0"/>
    <x v="0"/>
    <x v="0"/>
    <s v="Laptop"/>
    <x v="1"/>
  </r>
  <r>
    <s v="O2909"/>
    <x v="34"/>
    <s v="C068"/>
    <s v="P077"/>
    <n v="4"/>
    <x v="1898"/>
    <n v="0.1"/>
    <n v="29"/>
    <x v="0"/>
    <x v="1"/>
    <x v="0"/>
    <s v="Accessories"/>
    <x v="0"/>
  </r>
  <r>
    <s v="O2910"/>
    <x v="560"/>
    <s v="C179"/>
    <s v="P099"/>
    <n v="3"/>
    <x v="1899"/>
    <n v="0.1"/>
    <n v="25.02"/>
    <x v="3"/>
    <x v="1"/>
    <x v="1"/>
    <s v="Desk"/>
    <x v="0"/>
  </r>
  <r>
    <s v="O2911"/>
    <x v="200"/>
    <s v="C080"/>
    <s v="P015"/>
    <n v="2"/>
    <x v="1900"/>
    <n v="0"/>
    <n v="206.8"/>
    <x v="2"/>
    <x v="1"/>
    <x v="0"/>
    <s v="Tablet"/>
    <x v="1"/>
  </r>
  <r>
    <s v="O2912"/>
    <x v="192"/>
    <s v="C097"/>
    <s v="P028"/>
    <n v="4"/>
    <x v="1901"/>
    <n v="0"/>
    <n v="52.38"/>
    <x v="2"/>
    <x v="0"/>
    <x v="0"/>
    <s v="Laptop"/>
    <x v="0"/>
  </r>
  <r>
    <s v="O2913"/>
    <x v="782"/>
    <s v="C151"/>
    <s v="P024"/>
    <n v="3"/>
    <x v="1902"/>
    <n v="0"/>
    <n v="156.29"/>
    <x v="3"/>
    <x v="2"/>
    <x v="1"/>
    <s v="Desk"/>
    <x v="1"/>
  </r>
  <r>
    <s v="O2914"/>
    <x v="739"/>
    <s v="C172"/>
    <s v="P058"/>
    <n v="3"/>
    <x v="1903"/>
    <n v="0.1"/>
    <n v="270.87"/>
    <x v="1"/>
    <x v="2"/>
    <x v="2"/>
    <s v="Paper"/>
    <x v="0"/>
  </r>
  <r>
    <s v="O2915"/>
    <x v="442"/>
    <s v="C006"/>
    <s v="P019"/>
    <n v="5"/>
    <x v="1904"/>
    <n v="0"/>
    <n v="185.62"/>
    <x v="3"/>
    <x v="0"/>
    <x v="0"/>
    <s v="Phone"/>
    <x v="0"/>
  </r>
  <r>
    <s v="O2916"/>
    <x v="13"/>
    <s v="C198"/>
    <s v="P051"/>
    <n v="5"/>
    <x v="1905"/>
    <n v="0.1"/>
    <n v="394.17"/>
    <x v="0"/>
    <x v="1"/>
    <x v="0"/>
    <s v="Tablet"/>
    <x v="1"/>
  </r>
  <r>
    <s v="O2917"/>
    <x v="374"/>
    <s v="C101"/>
    <s v="P059"/>
    <n v="3"/>
    <x v="1906"/>
    <n v="0.1"/>
    <n v="41.44"/>
    <x v="1"/>
    <x v="1"/>
    <x v="1"/>
    <s v="Table"/>
    <x v="0"/>
  </r>
  <r>
    <s v="O2918"/>
    <x v="16"/>
    <s v="C019"/>
    <s v="P065"/>
    <n v="5"/>
    <x v="1907"/>
    <n v="0.3"/>
    <n v="248.7"/>
    <x v="2"/>
    <x v="0"/>
    <x v="1"/>
    <s v="Chair"/>
    <x v="0"/>
  </r>
  <r>
    <s v="O2919"/>
    <x v="783"/>
    <s v="C064"/>
    <s v="P061"/>
    <n v="4"/>
    <x v="1908"/>
    <n v="0"/>
    <n v="100.7"/>
    <x v="0"/>
    <x v="0"/>
    <x v="2"/>
    <s v="Pen"/>
    <x v="0"/>
  </r>
  <r>
    <s v="O2920"/>
    <x v="615"/>
    <s v="C117"/>
    <s v="P009"/>
    <n v="1"/>
    <x v="1909"/>
    <n v="0.3"/>
    <n v="49.94"/>
    <x v="1"/>
    <x v="0"/>
    <x v="1"/>
    <s v="Chair"/>
    <x v="1"/>
  </r>
  <r>
    <s v="O2921"/>
    <x v="784"/>
    <s v="C142"/>
    <s v="P041"/>
    <n v="4"/>
    <x v="1910"/>
    <n v="0.2"/>
    <n v="367.95"/>
    <x v="2"/>
    <x v="1"/>
    <x v="0"/>
    <s v="Tablet"/>
    <x v="0"/>
  </r>
  <r>
    <s v="O2922"/>
    <x v="460"/>
    <s v="C188"/>
    <s v="P073"/>
    <n v="3"/>
    <x v="1911"/>
    <n v="0.2"/>
    <n v="64.63"/>
    <x v="3"/>
    <x v="2"/>
    <x v="1"/>
    <s v="Table"/>
    <x v="0"/>
  </r>
  <r>
    <s v="O2923"/>
    <x v="785"/>
    <s v="C131"/>
    <s v="P043"/>
    <n v="3"/>
    <x v="401"/>
    <n v="0.2"/>
    <n v="113.78"/>
    <x v="2"/>
    <x v="0"/>
    <x v="1"/>
    <s v="Table"/>
    <x v="0"/>
  </r>
  <r>
    <s v="O2924"/>
    <x v="724"/>
    <s v="C100"/>
    <s v="P072"/>
    <n v="4"/>
    <x v="1912"/>
    <n v="0.1"/>
    <n v="336.34"/>
    <x v="2"/>
    <x v="1"/>
    <x v="1"/>
    <s v="Chair"/>
    <x v="0"/>
  </r>
  <r>
    <s v="O2925"/>
    <x v="761"/>
    <s v="C059"/>
    <s v="P028"/>
    <n v="5"/>
    <x v="1913"/>
    <n v="0.1"/>
    <n v="8.24"/>
    <x v="1"/>
    <x v="2"/>
    <x v="0"/>
    <s v="Laptop"/>
    <x v="0"/>
  </r>
  <r>
    <s v="O2926"/>
    <x v="69"/>
    <s v="C107"/>
    <s v="P031"/>
    <n v="5"/>
    <x v="1914"/>
    <n v="0.1"/>
    <n v="128.5"/>
    <x v="2"/>
    <x v="1"/>
    <x v="2"/>
    <s v="Storage"/>
    <x v="1"/>
  </r>
  <r>
    <s v="O2927"/>
    <x v="441"/>
    <s v="C076"/>
    <s v="P099"/>
    <n v="3"/>
    <x v="1915"/>
    <n v="0"/>
    <n v="323.2"/>
    <x v="2"/>
    <x v="1"/>
    <x v="1"/>
    <s v="Desk"/>
    <x v="0"/>
  </r>
  <r>
    <s v="O2928"/>
    <x v="433"/>
    <s v="C125"/>
    <s v="P055"/>
    <n v="2"/>
    <x v="1916"/>
    <n v="0.3"/>
    <n v="473.45"/>
    <x v="0"/>
    <x v="2"/>
    <x v="2"/>
    <s v="Binder"/>
    <x v="1"/>
  </r>
  <r>
    <s v="O2929"/>
    <x v="53"/>
    <s v="C007"/>
    <s v="P076"/>
    <n v="5"/>
    <x v="1917"/>
    <n v="0.1"/>
    <n v="274.19"/>
    <x v="1"/>
    <x v="2"/>
    <x v="1"/>
    <s v="Shelf"/>
    <x v="0"/>
  </r>
  <r>
    <s v="O2930"/>
    <x v="775"/>
    <s v="C129"/>
    <s v="P037"/>
    <n v="4"/>
    <x v="1918"/>
    <n v="0.3"/>
    <n v="450.82"/>
    <x v="1"/>
    <x v="2"/>
    <x v="2"/>
    <s v="Storage"/>
    <x v="0"/>
  </r>
  <r>
    <s v="O2931"/>
    <x v="17"/>
    <s v="C057"/>
    <s v="P018"/>
    <n v="5"/>
    <x v="1919"/>
    <n v="0.3"/>
    <n v="48.25"/>
    <x v="0"/>
    <x v="0"/>
    <x v="2"/>
    <s v="Storage"/>
    <x v="0"/>
  </r>
  <r>
    <s v="O2932"/>
    <x v="786"/>
    <s v="C033"/>
    <s v="P068"/>
    <n v="4"/>
    <x v="1920"/>
    <n v="0.3"/>
    <n v="46.49"/>
    <x v="2"/>
    <x v="0"/>
    <x v="1"/>
    <s v="Table"/>
    <x v="1"/>
  </r>
  <r>
    <s v="O2933"/>
    <x v="144"/>
    <s v="C177"/>
    <s v="P086"/>
    <n v="3"/>
    <x v="1921"/>
    <n v="0"/>
    <n v="55.86"/>
    <x v="0"/>
    <x v="0"/>
    <x v="1"/>
    <s v="Shelf"/>
    <x v="0"/>
  </r>
  <r>
    <s v="O2934"/>
    <x v="336"/>
    <s v="C169"/>
    <s v="P082"/>
    <n v="5"/>
    <x v="1922"/>
    <n v="0"/>
    <n v="510.51"/>
    <x v="3"/>
    <x v="1"/>
    <x v="0"/>
    <s v="Accessories"/>
    <x v="0"/>
  </r>
  <r>
    <s v="O2935"/>
    <x v="677"/>
    <s v="C081"/>
    <s v="P085"/>
    <n v="4"/>
    <x v="1923"/>
    <n v="0.2"/>
    <n v="412.68"/>
    <x v="2"/>
    <x v="0"/>
    <x v="0"/>
    <s v="Tablet"/>
    <x v="0"/>
  </r>
  <r>
    <s v="O2936"/>
    <x v="538"/>
    <s v="C020"/>
    <s v="P008"/>
    <n v="3"/>
    <x v="1924"/>
    <n v="0.2"/>
    <n v="304.62"/>
    <x v="0"/>
    <x v="1"/>
    <x v="0"/>
    <s v="Accessories"/>
    <x v="0"/>
  </r>
  <r>
    <s v="O2937"/>
    <x v="515"/>
    <s v="C155"/>
    <s v="P094"/>
    <n v="2"/>
    <x v="1925"/>
    <n v="0.3"/>
    <n v="203.69"/>
    <x v="1"/>
    <x v="1"/>
    <x v="1"/>
    <s v="Table"/>
    <x v="0"/>
  </r>
  <r>
    <s v="O2938"/>
    <x v="304"/>
    <s v="C153"/>
    <s v="P027"/>
    <n v="4"/>
    <x v="1926"/>
    <n v="0.2"/>
    <n v="68.39"/>
    <x v="2"/>
    <x v="2"/>
    <x v="2"/>
    <s v="Storage"/>
    <x v="0"/>
  </r>
  <r>
    <s v="O2939"/>
    <x v="358"/>
    <s v="C051"/>
    <s v="P025"/>
    <n v="2"/>
    <x v="1927"/>
    <n v="0.3"/>
    <n v="193"/>
    <x v="0"/>
    <x v="1"/>
    <x v="0"/>
    <s v="Accessories"/>
    <x v="0"/>
  </r>
  <r>
    <s v="O2940"/>
    <x v="8"/>
    <s v="C105"/>
    <s v="P078"/>
    <n v="2"/>
    <x v="1928"/>
    <n v="0"/>
    <n v="69.36"/>
    <x v="3"/>
    <x v="2"/>
    <x v="2"/>
    <s v="Storage"/>
    <x v="0"/>
  </r>
  <r>
    <s v="O2941"/>
    <x v="228"/>
    <s v="C069"/>
    <s v="P019"/>
    <n v="1"/>
    <x v="1929"/>
    <n v="0"/>
    <n v="44.51"/>
    <x v="0"/>
    <x v="0"/>
    <x v="0"/>
    <s v="Phone"/>
    <x v="0"/>
  </r>
  <r>
    <s v="O2942"/>
    <x v="269"/>
    <s v="C043"/>
    <s v="P081"/>
    <n v="5"/>
    <x v="1930"/>
    <n v="0"/>
    <n v="57.02"/>
    <x v="3"/>
    <x v="2"/>
    <x v="2"/>
    <s v="Pen"/>
    <x v="0"/>
  </r>
  <r>
    <s v="O2943"/>
    <x v="633"/>
    <s v="C084"/>
    <s v="P021"/>
    <n v="4"/>
    <x v="1931"/>
    <n v="0.1"/>
    <n v="102.05"/>
    <x v="2"/>
    <x v="2"/>
    <x v="1"/>
    <s v="Desk"/>
    <x v="0"/>
  </r>
  <r>
    <s v="O2944"/>
    <x v="530"/>
    <s v="C129"/>
    <s v="P003"/>
    <n v="2"/>
    <x v="1932"/>
    <n v="0.3"/>
    <n v="151.43"/>
    <x v="1"/>
    <x v="2"/>
    <x v="2"/>
    <s v="Pen"/>
    <x v="1"/>
  </r>
  <r>
    <s v="O2945"/>
    <x v="473"/>
    <s v="C088"/>
    <s v="P097"/>
    <n v="1"/>
    <x v="1933"/>
    <n v="0"/>
    <n v="28.23"/>
    <x v="2"/>
    <x v="1"/>
    <x v="2"/>
    <s v="Paper"/>
    <x v="0"/>
  </r>
  <r>
    <s v="O2946"/>
    <x v="603"/>
    <s v="C097"/>
    <s v="P021"/>
    <n v="3"/>
    <x v="1934"/>
    <n v="0.3"/>
    <n v="27.88"/>
    <x v="2"/>
    <x v="0"/>
    <x v="1"/>
    <s v="Desk"/>
    <x v="0"/>
  </r>
  <r>
    <s v="O2947"/>
    <x v="540"/>
    <s v="C131"/>
    <s v="P047"/>
    <n v="4"/>
    <x v="1935"/>
    <n v="0.2"/>
    <n v="113.81"/>
    <x v="2"/>
    <x v="0"/>
    <x v="2"/>
    <s v="Pen"/>
    <x v="1"/>
  </r>
  <r>
    <s v="O2948"/>
    <x v="598"/>
    <s v="C186"/>
    <s v="P034"/>
    <n v="2"/>
    <x v="1324"/>
    <n v="0.2"/>
    <n v="109.53"/>
    <x v="2"/>
    <x v="0"/>
    <x v="2"/>
    <s v="Storage"/>
    <x v="0"/>
  </r>
  <r>
    <s v="O2949"/>
    <x v="57"/>
    <s v="C102"/>
    <s v="P013"/>
    <n v="5"/>
    <x v="1936"/>
    <n v="0"/>
    <n v="399.26"/>
    <x v="1"/>
    <x v="0"/>
    <x v="0"/>
    <s v="Laptop"/>
    <x v="0"/>
  </r>
  <r>
    <s v="O2950"/>
    <x v="185"/>
    <s v="C119"/>
    <s v="P091"/>
    <n v="1"/>
    <x v="1937"/>
    <n v="0.3"/>
    <n v="274.02999999999997"/>
    <x v="3"/>
    <x v="1"/>
    <x v="1"/>
    <s v="Shelf"/>
    <x v="0"/>
  </r>
  <r>
    <s v="O2951"/>
    <x v="330"/>
    <s v="C168"/>
    <s v="P002"/>
    <n v="2"/>
    <x v="1938"/>
    <n v="0"/>
    <n v="243.61"/>
    <x v="3"/>
    <x v="0"/>
    <x v="1"/>
    <s v="Chair"/>
    <x v="0"/>
  </r>
  <r>
    <s v="O2952"/>
    <x v="208"/>
    <s v="C049"/>
    <s v="P073"/>
    <n v="5"/>
    <x v="1939"/>
    <n v="0.2"/>
    <n v="118.65"/>
    <x v="1"/>
    <x v="0"/>
    <x v="1"/>
    <s v="Table"/>
    <x v="0"/>
  </r>
  <r>
    <s v="O2953"/>
    <x v="670"/>
    <s v="C183"/>
    <s v="P028"/>
    <n v="2"/>
    <x v="1940"/>
    <n v="0"/>
    <n v="445.27"/>
    <x v="1"/>
    <x v="1"/>
    <x v="0"/>
    <s v="Laptop"/>
    <x v="1"/>
  </r>
  <r>
    <s v="O2954"/>
    <x v="787"/>
    <s v="C024"/>
    <s v="P057"/>
    <n v="4"/>
    <x v="1941"/>
    <n v="0.3"/>
    <n v="202.68"/>
    <x v="2"/>
    <x v="0"/>
    <x v="0"/>
    <s v="Laptop"/>
    <x v="0"/>
  </r>
  <r>
    <s v="O2955"/>
    <x v="753"/>
    <s v="C148"/>
    <s v="P080"/>
    <n v="4"/>
    <x v="1942"/>
    <n v="0.2"/>
    <n v="34.96"/>
    <x v="0"/>
    <x v="2"/>
    <x v="2"/>
    <s v="Pen"/>
    <x v="0"/>
  </r>
  <r>
    <s v="O2956"/>
    <x v="788"/>
    <s v="C196"/>
    <s v="P092"/>
    <n v="4"/>
    <x v="1943"/>
    <n v="0.1"/>
    <n v="37.299999999999997"/>
    <x v="3"/>
    <x v="1"/>
    <x v="0"/>
    <s v="Phone"/>
    <x v="0"/>
  </r>
  <r>
    <s v="O2957"/>
    <x v="18"/>
    <s v="C083"/>
    <s v="P043"/>
    <n v="1"/>
    <x v="1944"/>
    <n v="0.2"/>
    <n v="39"/>
    <x v="1"/>
    <x v="0"/>
    <x v="1"/>
    <s v="Table"/>
    <x v="0"/>
  </r>
  <r>
    <s v="O2958"/>
    <x v="351"/>
    <s v="C011"/>
    <s v="P062"/>
    <n v="4"/>
    <x v="1945"/>
    <n v="0.1"/>
    <n v="127.63"/>
    <x v="2"/>
    <x v="0"/>
    <x v="1"/>
    <s v="Shelf"/>
    <x v="1"/>
  </r>
  <r>
    <s v="O2959"/>
    <x v="219"/>
    <s v="C073"/>
    <s v="P021"/>
    <n v="5"/>
    <x v="1946"/>
    <n v="0"/>
    <n v="210.88"/>
    <x v="2"/>
    <x v="1"/>
    <x v="1"/>
    <s v="Desk"/>
    <x v="0"/>
  </r>
  <r>
    <s v="O2960"/>
    <x v="608"/>
    <s v="C166"/>
    <s v="P099"/>
    <n v="2"/>
    <x v="1947"/>
    <n v="0"/>
    <n v="227.78"/>
    <x v="0"/>
    <x v="2"/>
    <x v="1"/>
    <s v="Desk"/>
    <x v="0"/>
  </r>
  <r>
    <s v="O2961"/>
    <x v="660"/>
    <s v="C185"/>
    <s v="P053"/>
    <n v="3"/>
    <x v="1948"/>
    <n v="0.3"/>
    <n v="44.16"/>
    <x v="1"/>
    <x v="2"/>
    <x v="0"/>
    <s v="Accessories"/>
    <x v="0"/>
  </r>
  <r>
    <s v="O2962"/>
    <x v="14"/>
    <s v="C182"/>
    <s v="P068"/>
    <n v="5"/>
    <x v="1949"/>
    <n v="0.1"/>
    <n v="48.56"/>
    <x v="1"/>
    <x v="2"/>
    <x v="1"/>
    <s v="Table"/>
    <x v="0"/>
  </r>
  <r>
    <s v="O2963"/>
    <x v="696"/>
    <s v="C059"/>
    <s v="P059"/>
    <n v="5"/>
    <x v="1950"/>
    <n v="0"/>
    <n v="411.32"/>
    <x v="1"/>
    <x v="2"/>
    <x v="1"/>
    <s v="Table"/>
    <x v="0"/>
  </r>
  <r>
    <s v="O2964"/>
    <x v="639"/>
    <s v="C190"/>
    <s v="P046"/>
    <n v="4"/>
    <x v="1951"/>
    <n v="0.1"/>
    <n v="110.65"/>
    <x v="0"/>
    <x v="2"/>
    <x v="1"/>
    <s v="Chair"/>
    <x v="0"/>
  </r>
  <r>
    <s v="O2965"/>
    <x v="696"/>
    <s v="C145"/>
    <s v="P074"/>
    <n v="1"/>
    <x v="1952"/>
    <n v="0"/>
    <n v="87.98"/>
    <x v="1"/>
    <x v="2"/>
    <x v="1"/>
    <s v="Table"/>
    <x v="0"/>
  </r>
  <r>
    <s v="O2966"/>
    <x v="656"/>
    <s v="C123"/>
    <s v="P015"/>
    <n v="2"/>
    <x v="1953"/>
    <n v="0.2"/>
    <n v="302.74"/>
    <x v="2"/>
    <x v="0"/>
    <x v="0"/>
    <s v="Tablet"/>
    <x v="0"/>
  </r>
  <r>
    <s v="O2967"/>
    <x v="9"/>
    <s v="C069"/>
    <s v="P060"/>
    <n v="1"/>
    <x v="1954"/>
    <n v="0"/>
    <n v="28.21"/>
    <x v="0"/>
    <x v="0"/>
    <x v="1"/>
    <s v="Chair"/>
    <x v="0"/>
  </r>
  <r>
    <s v="O2968"/>
    <x v="706"/>
    <s v="C197"/>
    <s v="P052"/>
    <n v="2"/>
    <x v="1955"/>
    <n v="0.3"/>
    <n v="48.81"/>
    <x v="3"/>
    <x v="1"/>
    <x v="1"/>
    <s v="Chair"/>
    <x v="0"/>
  </r>
  <r>
    <s v="O2969"/>
    <x v="787"/>
    <s v="C068"/>
    <s v="P094"/>
    <n v="2"/>
    <x v="1956"/>
    <n v="0.2"/>
    <n v="179.32"/>
    <x v="0"/>
    <x v="1"/>
    <x v="1"/>
    <s v="Table"/>
    <x v="0"/>
  </r>
  <r>
    <s v="O2970"/>
    <x v="261"/>
    <s v="C082"/>
    <s v="P007"/>
    <n v="1"/>
    <x v="1957"/>
    <n v="0.3"/>
    <n v="58.09"/>
    <x v="3"/>
    <x v="2"/>
    <x v="1"/>
    <s v="Desk"/>
    <x v="0"/>
  </r>
  <r>
    <s v="O2971"/>
    <x v="165"/>
    <s v="C144"/>
    <s v="P002"/>
    <n v="5"/>
    <x v="1958"/>
    <n v="0.2"/>
    <n v="187.88"/>
    <x v="0"/>
    <x v="0"/>
    <x v="1"/>
    <s v="Chair"/>
    <x v="1"/>
  </r>
  <r>
    <s v="O2972"/>
    <x v="551"/>
    <s v="C136"/>
    <s v="P037"/>
    <n v="2"/>
    <x v="1959"/>
    <n v="0.1"/>
    <n v="217.28"/>
    <x v="1"/>
    <x v="2"/>
    <x v="2"/>
    <s v="Storage"/>
    <x v="0"/>
  </r>
  <r>
    <s v="O2973"/>
    <x v="736"/>
    <s v="C113"/>
    <s v="P034"/>
    <n v="1"/>
    <x v="1960"/>
    <n v="0.3"/>
    <n v="65.069999999999993"/>
    <x v="0"/>
    <x v="1"/>
    <x v="2"/>
    <s v="Storage"/>
    <x v="1"/>
  </r>
  <r>
    <s v="O2974"/>
    <x v="275"/>
    <s v="C086"/>
    <s v="P097"/>
    <n v="2"/>
    <x v="1961"/>
    <n v="0"/>
    <n v="236.35"/>
    <x v="3"/>
    <x v="1"/>
    <x v="2"/>
    <s v="Paper"/>
    <x v="0"/>
  </r>
  <r>
    <s v="O2975"/>
    <x v="62"/>
    <s v="C193"/>
    <s v="P064"/>
    <n v="3"/>
    <x v="1962"/>
    <n v="0.1"/>
    <n v="55.28"/>
    <x v="1"/>
    <x v="2"/>
    <x v="2"/>
    <s v="Binder"/>
    <x v="0"/>
  </r>
  <r>
    <s v="O2976"/>
    <x v="98"/>
    <s v="C171"/>
    <s v="P041"/>
    <n v="5"/>
    <x v="1963"/>
    <n v="0"/>
    <n v="89.79"/>
    <x v="2"/>
    <x v="1"/>
    <x v="0"/>
    <s v="Tablet"/>
    <x v="0"/>
  </r>
  <r>
    <s v="O2977"/>
    <x v="733"/>
    <s v="C083"/>
    <s v="P006"/>
    <n v="4"/>
    <x v="1964"/>
    <n v="0.2"/>
    <n v="293.44"/>
    <x v="1"/>
    <x v="0"/>
    <x v="1"/>
    <s v="Chair"/>
    <x v="0"/>
  </r>
  <r>
    <s v="O2978"/>
    <x v="593"/>
    <s v="C177"/>
    <s v="P084"/>
    <n v="2"/>
    <x v="1965"/>
    <n v="0.2"/>
    <n v="87.76"/>
    <x v="0"/>
    <x v="0"/>
    <x v="2"/>
    <s v="Paper"/>
    <x v="1"/>
  </r>
  <r>
    <s v="O2979"/>
    <x v="763"/>
    <s v="C023"/>
    <s v="P094"/>
    <n v="3"/>
    <x v="1966"/>
    <n v="0"/>
    <n v="64.930000000000007"/>
    <x v="3"/>
    <x v="2"/>
    <x v="1"/>
    <s v="Table"/>
    <x v="0"/>
  </r>
  <r>
    <s v="O2980"/>
    <x v="789"/>
    <s v="C020"/>
    <s v="P057"/>
    <n v="4"/>
    <x v="1967"/>
    <n v="0"/>
    <n v="61.19"/>
    <x v="0"/>
    <x v="1"/>
    <x v="0"/>
    <s v="Laptop"/>
    <x v="0"/>
  </r>
  <r>
    <s v="O2981"/>
    <x v="681"/>
    <s v="C146"/>
    <s v="P021"/>
    <n v="4"/>
    <x v="1968"/>
    <n v="0.1"/>
    <n v="281.06"/>
    <x v="3"/>
    <x v="0"/>
    <x v="1"/>
    <s v="Desk"/>
    <x v="0"/>
  </r>
  <r>
    <s v="O2982"/>
    <x v="720"/>
    <s v="C176"/>
    <s v="P022"/>
    <n v="2"/>
    <x v="1969"/>
    <n v="0"/>
    <n v="75.08"/>
    <x v="3"/>
    <x v="2"/>
    <x v="0"/>
    <s v="Tablet"/>
    <x v="1"/>
  </r>
  <r>
    <s v="O2983"/>
    <x v="790"/>
    <s v="C096"/>
    <s v="P098"/>
    <n v="1"/>
    <x v="1970"/>
    <n v="0.3"/>
    <n v="217.59"/>
    <x v="0"/>
    <x v="2"/>
    <x v="1"/>
    <s v="Shelf"/>
    <x v="0"/>
  </r>
  <r>
    <s v="O2984"/>
    <x v="200"/>
    <s v="C119"/>
    <s v="P023"/>
    <n v="2"/>
    <x v="1971"/>
    <n v="0.3"/>
    <n v="19.98"/>
    <x v="3"/>
    <x v="1"/>
    <x v="1"/>
    <s v="Shelf"/>
    <x v="0"/>
  </r>
  <r>
    <s v="O2985"/>
    <x v="469"/>
    <s v="C197"/>
    <s v="P009"/>
    <n v="3"/>
    <x v="1972"/>
    <n v="0"/>
    <n v="173.91"/>
    <x v="3"/>
    <x v="1"/>
    <x v="1"/>
    <s v="Chair"/>
    <x v="0"/>
  </r>
  <r>
    <s v="O2986"/>
    <x v="168"/>
    <s v="C045"/>
    <s v="P002"/>
    <n v="4"/>
    <x v="1973"/>
    <n v="0.3"/>
    <n v="86.14"/>
    <x v="2"/>
    <x v="0"/>
    <x v="1"/>
    <s v="Chair"/>
    <x v="0"/>
  </r>
  <r>
    <s v="O2987"/>
    <x v="222"/>
    <s v="C104"/>
    <s v="P026"/>
    <n v="2"/>
    <x v="1974"/>
    <n v="0"/>
    <n v="205.45"/>
    <x v="0"/>
    <x v="1"/>
    <x v="0"/>
    <s v="Phone"/>
    <x v="0"/>
  </r>
  <r>
    <s v="O2988"/>
    <x v="426"/>
    <s v="C085"/>
    <s v="P068"/>
    <n v="1"/>
    <x v="1975"/>
    <n v="0.1"/>
    <n v="267.12"/>
    <x v="2"/>
    <x v="0"/>
    <x v="1"/>
    <s v="Table"/>
    <x v="0"/>
  </r>
  <r>
    <s v="O2989"/>
    <x v="379"/>
    <s v="C029"/>
    <s v="P049"/>
    <n v="2"/>
    <x v="1976"/>
    <n v="0.3"/>
    <n v="259.89999999999998"/>
    <x v="0"/>
    <x v="2"/>
    <x v="2"/>
    <s v="Paper"/>
    <x v="0"/>
  </r>
  <r>
    <s v="O2990"/>
    <x v="584"/>
    <s v="C028"/>
    <s v="P089"/>
    <n v="5"/>
    <x v="1977"/>
    <n v="0.3"/>
    <n v="231.12"/>
    <x v="2"/>
    <x v="1"/>
    <x v="0"/>
    <s v="Phone"/>
    <x v="0"/>
  </r>
  <r>
    <s v="O2991"/>
    <x v="601"/>
    <s v="C168"/>
    <s v="P045"/>
    <n v="1"/>
    <x v="1978"/>
    <n v="0"/>
    <n v="269.52999999999997"/>
    <x v="3"/>
    <x v="0"/>
    <x v="0"/>
    <s v="Tablet"/>
    <x v="0"/>
  </r>
  <r>
    <s v="O2992"/>
    <x v="483"/>
    <s v="C087"/>
    <s v="P020"/>
    <n v="3"/>
    <x v="1979"/>
    <n v="0.3"/>
    <n v="132.68"/>
    <x v="0"/>
    <x v="1"/>
    <x v="2"/>
    <s v="Pen"/>
    <x v="0"/>
  </r>
  <r>
    <s v="O2993"/>
    <x v="188"/>
    <s v="C111"/>
    <s v="P055"/>
    <n v="4"/>
    <x v="1980"/>
    <n v="0.2"/>
    <n v="57.76"/>
    <x v="0"/>
    <x v="1"/>
    <x v="2"/>
    <s v="Binder"/>
    <x v="0"/>
  </r>
  <r>
    <s v="O2994"/>
    <x v="234"/>
    <s v="C093"/>
    <s v="P091"/>
    <n v="2"/>
    <x v="1981"/>
    <n v="0.1"/>
    <n v="118.1"/>
    <x v="0"/>
    <x v="1"/>
    <x v="1"/>
    <s v="Shelf"/>
    <x v="0"/>
  </r>
  <r>
    <s v="O2995"/>
    <x v="603"/>
    <s v="C053"/>
    <s v="P057"/>
    <n v="1"/>
    <x v="1982"/>
    <n v="0.1"/>
    <n v="535.21"/>
    <x v="0"/>
    <x v="2"/>
    <x v="0"/>
    <s v="Laptop"/>
    <x v="0"/>
  </r>
  <r>
    <s v="O2996"/>
    <x v="574"/>
    <s v="C140"/>
    <s v="P037"/>
    <n v="5"/>
    <x v="1983"/>
    <n v="0.3"/>
    <n v="124.36"/>
    <x v="1"/>
    <x v="2"/>
    <x v="2"/>
    <s v="Storage"/>
    <x v="0"/>
  </r>
  <r>
    <s v="O2997"/>
    <x v="791"/>
    <s v="C161"/>
    <s v="P062"/>
    <n v="1"/>
    <x v="1984"/>
    <n v="0.3"/>
    <n v="182.67"/>
    <x v="3"/>
    <x v="2"/>
    <x v="1"/>
    <s v="Shelf"/>
    <x v="1"/>
  </r>
  <r>
    <s v="O2998"/>
    <x v="113"/>
    <s v="C197"/>
    <s v="P070"/>
    <n v="5"/>
    <x v="1985"/>
    <n v="0.2"/>
    <n v="131.83000000000001"/>
    <x v="3"/>
    <x v="1"/>
    <x v="2"/>
    <s v="Paper"/>
    <x v="0"/>
  </r>
  <r>
    <s v="O2999"/>
    <x v="546"/>
    <s v="C200"/>
    <s v="P034"/>
    <n v="3"/>
    <x v="1986"/>
    <n v="0.2"/>
    <n v="121.18"/>
    <x v="3"/>
    <x v="0"/>
    <x v="2"/>
    <s v="Storage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ECADE1-765C-4D36-A630-48CA7747D766}" name="PivotTable1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15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numFmtId="2" showAll="0">
      <items count="1988">
        <item x="1320"/>
        <item x="1023"/>
        <item x="1133"/>
        <item x="1329"/>
        <item x="746"/>
        <item x="1631"/>
        <item x="342"/>
        <item x="1030"/>
        <item x="1051"/>
        <item x="322"/>
        <item x="1729"/>
        <item x="713"/>
        <item x="714"/>
        <item x="1180"/>
        <item x="1514"/>
        <item x="1725"/>
        <item x="947"/>
        <item x="1236"/>
        <item x="1522"/>
        <item x="307"/>
        <item x="1111"/>
        <item x="1683"/>
        <item x="768"/>
        <item x="165"/>
        <item x="1395"/>
        <item x="779"/>
        <item x="1235"/>
        <item x="221"/>
        <item x="174"/>
        <item x="1425"/>
        <item x="643"/>
        <item x="550"/>
        <item x="1532"/>
        <item x="952"/>
        <item x="1830"/>
        <item x="1101"/>
        <item x="1484"/>
        <item x="1505"/>
        <item x="1122"/>
        <item x="1127"/>
        <item x="631"/>
        <item x="1675"/>
        <item x="935"/>
        <item x="1637"/>
        <item x="1881"/>
        <item x="168"/>
        <item x="1104"/>
        <item x="235"/>
        <item x="438"/>
        <item x="1575"/>
        <item x="1823"/>
        <item x="840"/>
        <item x="1138"/>
        <item x="390"/>
        <item x="1393"/>
        <item x="816"/>
        <item x="118"/>
        <item x="389"/>
        <item x="500"/>
        <item x="832"/>
        <item x="1247"/>
        <item x="1913"/>
        <item x="837"/>
        <item x="1793"/>
        <item x="1899"/>
        <item x="601"/>
        <item x="430"/>
        <item x="1795"/>
        <item x="660"/>
        <item x="324"/>
        <item x="1276"/>
        <item x="72"/>
        <item x="716"/>
        <item x="1317"/>
        <item x="202"/>
        <item x="1275"/>
        <item x="1834"/>
        <item x="1799"/>
        <item x="836"/>
        <item x="886"/>
        <item x="1820"/>
        <item x="216"/>
        <item x="247"/>
        <item x="622"/>
        <item x="1357"/>
        <item x="287"/>
        <item x="784"/>
        <item x="1194"/>
        <item x="1255"/>
        <item x="702"/>
        <item x="1025"/>
        <item x="650"/>
        <item x="1063"/>
        <item x="1198"/>
        <item x="981"/>
        <item x="748"/>
        <item x="1404"/>
        <item x="1427"/>
        <item x="484"/>
        <item x="1898"/>
        <item x="443"/>
        <item x="1072"/>
        <item x="1860"/>
        <item x="1020"/>
        <item x="1323"/>
        <item x="1578"/>
        <item x="1442"/>
        <item x="1971"/>
        <item x="418"/>
        <item x="867"/>
        <item x="1645"/>
        <item x="138"/>
        <item x="1151"/>
        <item x="1096"/>
        <item x="136"/>
        <item x="360"/>
        <item x="750"/>
        <item x="43"/>
        <item x="133"/>
        <item x="1178"/>
        <item x="480"/>
        <item x="147"/>
        <item x="1919"/>
        <item x="929"/>
        <item x="1537"/>
        <item x="1948"/>
        <item x="431"/>
        <item x="1028"/>
        <item x="665"/>
        <item x="1571"/>
        <item x="349"/>
        <item x="501"/>
        <item x="428"/>
        <item x="1145"/>
        <item x="968"/>
        <item x="776"/>
        <item x="1733"/>
        <item x="1707"/>
        <item x="210"/>
        <item x="1702"/>
        <item x="1921"/>
        <item x="1811"/>
        <item x="1456"/>
        <item x="28"/>
        <item x="466"/>
        <item x="117"/>
        <item x="1436"/>
        <item x="1553"/>
        <item x="1719"/>
        <item x="417"/>
        <item x="1302"/>
        <item x="1677"/>
        <item x="26"/>
        <item x="590"/>
        <item x="1588"/>
        <item x="698"/>
        <item x="760"/>
        <item x="1928"/>
        <item x="1301"/>
        <item x="220"/>
        <item x="820"/>
        <item x="1005"/>
        <item x="219"/>
        <item x="973"/>
        <item x="982"/>
        <item x="1214"/>
        <item x="1709"/>
        <item x="1476"/>
        <item x="1158"/>
        <item x="1697"/>
        <item x="1188"/>
        <item x="977"/>
        <item x="1767"/>
        <item x="1475"/>
        <item x="359"/>
        <item x="965"/>
        <item x="1350"/>
        <item x="657"/>
        <item x="555"/>
        <item x="19"/>
        <item x="761"/>
        <item x="405"/>
        <item x="98"/>
        <item x="1542"/>
        <item x="469"/>
        <item x="236"/>
        <item x="1967"/>
        <item x="1955"/>
        <item x="537"/>
        <item x="1636"/>
        <item x="1901"/>
        <item x="217"/>
        <item x="1926"/>
        <item x="20"/>
        <item x="725"/>
        <item x="76"/>
        <item x="1789"/>
        <item x="370"/>
        <item x="963"/>
        <item x="66"/>
        <item x="1045"/>
        <item x="1528"/>
        <item x="1479"/>
        <item x="1516"/>
        <item x="345"/>
        <item x="669"/>
        <item x="1812"/>
        <item x="1245"/>
        <item x="641"/>
        <item x="50"/>
        <item x="184"/>
        <item x="231"/>
        <item x="311"/>
        <item x="573"/>
        <item x="1933"/>
        <item x="145"/>
        <item x="1451"/>
        <item x="1272"/>
        <item x="1034"/>
        <item x="1363"/>
        <item x="1612"/>
        <item x="15"/>
        <item x="689"/>
        <item x="1641"/>
        <item x="1060"/>
        <item x="1581"/>
        <item x="505"/>
        <item x="127"/>
        <item x="1495"/>
        <item x="717"/>
        <item x="924"/>
        <item x="180"/>
        <item x="1594"/>
        <item x="620"/>
        <item x="613"/>
        <item x="970"/>
        <item x="1097"/>
        <item x="638"/>
        <item x="1460"/>
        <item x="727"/>
        <item x="456"/>
        <item x="753"/>
        <item x="463"/>
        <item x="668"/>
        <item x="1663"/>
        <item x="845"/>
        <item x="90"/>
        <item x="1665"/>
        <item x="1629"/>
        <item x="380"/>
        <item x="1250"/>
        <item x="1125"/>
        <item x="774"/>
        <item x="757"/>
        <item x="143"/>
        <item x="267"/>
        <item x="999"/>
        <item x="785"/>
        <item x="1105"/>
        <item x="897"/>
        <item x="1121"/>
        <item x="586"/>
        <item x="68"/>
        <item x="1318"/>
        <item x="257"/>
        <item x="14"/>
        <item x="1944"/>
        <item x="1822"/>
        <item x="895"/>
        <item x="156"/>
        <item x="734"/>
        <item x="1412"/>
        <item x="289"/>
        <item x="106"/>
        <item x="404"/>
        <item x="1018"/>
        <item x="1183"/>
        <item x="940"/>
        <item x="119"/>
        <item x="413"/>
        <item x="7"/>
        <item x="1085"/>
        <item x="171"/>
        <item x="1960"/>
        <item x="874"/>
        <item x="433"/>
        <item x="703"/>
        <item x="1740"/>
        <item x="830"/>
        <item x="529"/>
        <item x="1162"/>
        <item x="575"/>
        <item x="778"/>
        <item x="142"/>
        <item x="812"/>
        <item x="1667"/>
        <item x="956"/>
        <item x="1013"/>
        <item x="1963"/>
        <item x="115"/>
        <item x="1951"/>
        <item x="1166"/>
        <item x="1935"/>
        <item x="1179"/>
        <item x="367"/>
        <item x="902"/>
        <item x="330"/>
        <item x="186"/>
        <item x="212"/>
        <item x="457"/>
        <item x="1312"/>
        <item x="132"/>
        <item x="534"/>
        <item x="59"/>
        <item x="1891"/>
        <item x="858"/>
        <item x="815"/>
        <item x="1496"/>
        <item x="1954"/>
        <item x="1872"/>
        <item x="1755"/>
        <item x="1414"/>
        <item x="521"/>
        <item x="411"/>
        <item x="1586"/>
        <item x="839"/>
        <item x="305"/>
        <item x="1624"/>
        <item x="1587"/>
        <item x="1635"/>
        <item x="1225"/>
        <item x="549"/>
        <item x="1231"/>
        <item x="1389"/>
        <item x="488"/>
        <item x="288"/>
        <item x="1630"/>
        <item x="1195"/>
        <item x="472"/>
        <item x="546"/>
        <item x="810"/>
        <item x="1052"/>
        <item x="1353"/>
        <item x="1866"/>
        <item x="1934"/>
        <item x="1880"/>
        <item x="1744"/>
        <item x="1657"/>
        <item x="100"/>
        <item x="570"/>
        <item x="230"/>
        <item x="112"/>
        <item x="591"/>
        <item x="1277"/>
        <item x="46"/>
        <item x="283"/>
        <item x="1626"/>
        <item x="1408"/>
        <item x="1875"/>
        <item x="1458"/>
        <item x="1341"/>
        <item x="1693"/>
        <item x="531"/>
        <item x="386"/>
        <item x="229"/>
        <item x="656"/>
        <item x="1589"/>
        <item x="400"/>
        <item x="1297"/>
        <item x="557"/>
        <item x="1788"/>
        <item x="1766"/>
        <item x="318"/>
        <item x="1511"/>
        <item x="1217"/>
        <item x="1779"/>
        <item x="1270"/>
        <item x="22"/>
        <item x="1616"/>
        <item x="159"/>
        <item x="866"/>
        <item x="1745"/>
        <item x="1985"/>
        <item x="1378"/>
        <item x="1161"/>
        <item x="708"/>
        <item x="1909"/>
        <item x="1205"/>
        <item x="268"/>
        <item x="450"/>
        <item x="1448"/>
        <item x="1092"/>
        <item x="1529"/>
        <item x="1549"/>
        <item x="923"/>
        <item x="48"/>
        <item x="884"/>
        <item x="486"/>
        <item x="530"/>
        <item x="1759"/>
        <item x="326"/>
        <item x="1500"/>
        <item x="910"/>
        <item x="1701"/>
        <item x="511"/>
        <item x="314"/>
        <item x="1672"/>
        <item x="1295"/>
        <item x="492"/>
        <item x="1468"/>
        <item x="242"/>
        <item x="1669"/>
        <item x="711"/>
        <item x="1300"/>
        <item x="88"/>
        <item x="1069"/>
        <item x="1197"/>
        <item x="1949"/>
        <item x="945"/>
        <item x="1929"/>
        <item x="1906"/>
        <item x="1853"/>
        <item x="1077"/>
        <item x="600"/>
        <item x="292"/>
        <item x="1534"/>
        <item x="1762"/>
        <item x="173"/>
        <item x="1081"/>
        <item x="129"/>
        <item x="1726"/>
        <item x="826"/>
        <item x="1781"/>
        <item x="715"/>
        <item x="1648"/>
        <item x="1716"/>
        <item x="371"/>
        <item x="1274"/>
        <item x="1241"/>
        <item x="1642"/>
        <item x="1332"/>
        <item x="260"/>
        <item x="458"/>
        <item x="1160"/>
        <item x="993"/>
        <item x="1325"/>
        <item x="24"/>
        <item x="593"/>
        <item x="889"/>
        <item x="1146"/>
        <item x="1239"/>
        <item x="1847"/>
        <item x="1930"/>
        <item x="1628"/>
        <item x="1328"/>
        <item x="2"/>
        <item x="1829"/>
        <item x="985"/>
        <item x="1943"/>
        <item x="30"/>
        <item x="1647"/>
        <item x="57"/>
        <item x="1399"/>
        <item x="687"/>
        <item x="496"/>
        <item x="141"/>
        <item x="658"/>
        <item x="574"/>
        <item x="1269"/>
        <item x="266"/>
        <item x="175"/>
        <item x="1819"/>
        <item x="1761"/>
        <item x="1639"/>
        <item x="642"/>
        <item x="1007"/>
        <item x="1203"/>
        <item x="1526"/>
        <item x="1797"/>
        <item x="1644"/>
        <item x="1147"/>
        <item x="308"/>
        <item x="1031"/>
        <item x="421"/>
        <item x="1228"/>
        <item x="1536"/>
        <item x="1533"/>
        <item x="1565"/>
        <item x="1809"/>
        <item x="423"/>
        <item x="1597"/>
        <item x="1420"/>
        <item x="1486"/>
        <item x="459"/>
        <item x="1265"/>
        <item x="276"/>
        <item x="1507"/>
        <item x="1682"/>
        <item x="699"/>
        <item x="200"/>
        <item x="1945"/>
        <item x="448"/>
        <item x="749"/>
        <item x="487"/>
        <item x="1519"/>
        <item x="396"/>
        <item x="865"/>
        <item x="1211"/>
        <item x="1794"/>
        <item x="169"/>
        <item x="1171"/>
        <item x="445"/>
        <item x="1585"/>
        <item x="609"/>
        <item x="420"/>
        <item x="74"/>
        <item x="1774"/>
        <item x="1467"/>
        <item x="1783"/>
        <item x="234"/>
        <item x="1358"/>
        <item x="1126"/>
        <item x="1483"/>
        <item x="1099"/>
        <item x="1470"/>
        <item x="1932"/>
        <item x="1558"/>
        <item x="1778"/>
        <item x="356"/>
        <item x="869"/>
        <item x="1036"/>
        <item x="1535"/>
        <item x="1758"/>
        <item x="1491"/>
        <item x="1015"/>
        <item x="424"/>
        <item x="392"/>
        <item x="1965"/>
        <item x="1376"/>
        <item x="18"/>
        <item x="1189"/>
        <item x="735"/>
        <item x="1871"/>
        <item x="794"/>
        <item x="899"/>
        <item x="1026"/>
        <item x="1453"/>
        <item x="704"/>
        <item x="527"/>
        <item x="1893"/>
        <item x="1452"/>
        <item x="1939"/>
        <item x="944"/>
        <item x="595"/>
        <item x="625"/>
        <item x="710"/>
        <item x="986"/>
        <item x="636"/>
        <item x="419"/>
        <item x="1315"/>
        <item x="1279"/>
        <item x="1286"/>
        <item x="1017"/>
        <item x="1438"/>
        <item x="909"/>
        <item x="271"/>
        <item x="1911"/>
        <item x="513"/>
        <item x="1094"/>
        <item x="1471"/>
        <item x="1429"/>
        <item x="852"/>
        <item x="1251"/>
        <item x="1595"/>
        <item x="843"/>
        <item x="1416"/>
        <item x="1174"/>
        <item x="627"/>
        <item x="1573"/>
        <item x="250"/>
        <item x="1128"/>
        <item x="722"/>
        <item x="951"/>
        <item x="781"/>
        <item x="984"/>
        <item x="1084"/>
        <item x="238"/>
        <item x="225"/>
        <item x="1360"/>
        <item x="647"/>
        <item x="1478"/>
        <item x="299"/>
        <item x="1059"/>
        <item x="394"/>
        <item x="1942"/>
        <item x="941"/>
        <item x="976"/>
        <item x="1134"/>
        <item x="648"/>
        <item x="1576"/>
        <item x="645"/>
        <item x="864"/>
        <item x="1957"/>
        <item x="1144"/>
        <item x="1337"/>
        <item x="73"/>
        <item x="144"/>
        <item x="1327"/>
        <item x="602"/>
        <item x="1326"/>
        <item x="97"/>
        <item x="634"/>
        <item x="599"/>
        <item x="79"/>
        <item x="331"/>
        <item x="152"/>
        <item x="795"/>
        <item x="1969"/>
        <item x="1430"/>
        <item x="1604"/>
        <item x="742"/>
        <item x="1415"/>
        <item x="1596"/>
        <item x="822"/>
        <item x="124"/>
        <item x="1116"/>
        <item x="1827"/>
        <item x="1490"/>
        <item x="1038"/>
        <item x="1760"/>
        <item x="1979"/>
        <item x="847"/>
        <item x="562"/>
        <item x="197"/>
        <item x="1088"/>
        <item x="1033"/>
        <item x="524"/>
        <item x="677"/>
        <item x="1022"/>
        <item x="803"/>
        <item x="1715"/>
        <item x="991"/>
        <item x="1242"/>
        <item x="1801"/>
        <item x="23"/>
        <item x="35"/>
        <item x="1777"/>
        <item x="187"/>
        <item x="588"/>
        <item x="1804"/>
        <item x="1338"/>
        <item x="1941"/>
        <item x="1814"/>
        <item x="1607"/>
        <item x="329"/>
        <item x="368"/>
        <item x="489"/>
        <item x="706"/>
        <item x="1298"/>
        <item x="1308"/>
        <item x="1441"/>
        <item x="36"/>
        <item x="1690"/>
        <item x="1433"/>
        <item x="361"/>
        <item x="388"/>
        <item x="569"/>
        <item x="1920"/>
        <item x="1380"/>
        <item x="1666"/>
        <item x="1103"/>
        <item x="258"/>
        <item x="718"/>
        <item x="856"/>
        <item x="819"/>
        <item x="1851"/>
        <item x="868"/>
        <item x="1952"/>
        <item x="787"/>
        <item x="1172"/>
        <item x="728"/>
        <item x="1379"/>
        <item x="814"/>
        <item x="102"/>
        <item x="1465"/>
        <item x="872"/>
        <item x="436"/>
        <item x="53"/>
        <item x="576"/>
        <item x="1131"/>
        <item x="969"/>
        <item x="455"/>
        <item x="226"/>
        <item x="1717"/>
        <item x="581"/>
        <item x="1431"/>
        <item x="1287"/>
        <item x="224"/>
        <item x="1601"/>
        <item x="1640"/>
        <item x="1608"/>
        <item x="762"/>
        <item x="1897"/>
        <item x="25"/>
        <item x="1946"/>
        <item x="319"/>
        <item x="343"/>
        <item x="1600"/>
        <item x="1237"/>
        <item x="1263"/>
        <item x="566"/>
        <item x="997"/>
        <item x="1267"/>
        <item x="942"/>
        <item x="1064"/>
        <item x="75"/>
        <item x="1035"/>
        <item x="1824"/>
        <item x="700"/>
        <item x="766"/>
        <item x="387"/>
        <item x="825"/>
        <item x="1159"/>
        <item x="116"/>
        <item x="160"/>
        <item x="1095"/>
        <item x="328"/>
        <item x="334"/>
        <item x="1791"/>
        <item x="1559"/>
        <item x="1070"/>
        <item x="756"/>
        <item x="1366"/>
        <item x="1720"/>
        <item x="1071"/>
        <item x="1342"/>
        <item x="1554"/>
        <item x="805"/>
        <item x="1984"/>
        <item x="1257"/>
        <item x="1132"/>
        <item x="261"/>
        <item x="1718"/>
        <item x="1864"/>
        <item x="1443"/>
        <item x="809"/>
        <item x="908"/>
        <item x="1710"/>
        <item x="190"/>
        <item x="1043"/>
        <item x="1102"/>
        <item x="618"/>
        <item x="508"/>
        <item x="1388"/>
        <item x="92"/>
        <item x="241"/>
        <item x="1769"/>
        <item x="383"/>
        <item x="754"/>
        <item x="835"/>
        <item x="1392"/>
        <item x="690"/>
        <item x="855"/>
        <item x="1927"/>
        <item x="912"/>
        <item x="1048"/>
        <item x="1698"/>
        <item x="838"/>
        <item x="1169"/>
        <item x="1846"/>
        <item x="1704"/>
        <item x="854"/>
        <item x="3"/>
        <item x="1646"/>
        <item x="339"/>
        <item x="1670"/>
        <item x="1258"/>
        <item x="1613"/>
        <item x="1347"/>
        <item x="191"/>
        <item x="736"/>
        <item x="1090"/>
        <item x="885"/>
        <item x="518"/>
        <item x="1411"/>
        <item x="80"/>
        <item x="724"/>
        <item x="1466"/>
        <item x="1252"/>
        <item x="1143"/>
        <item x="114"/>
        <item x="1510"/>
        <item x="58"/>
        <item x="312"/>
        <item x="878"/>
        <item x="1890"/>
        <item x="983"/>
        <item x="99"/>
        <item x="1461"/>
        <item x="1108"/>
        <item x="9"/>
        <item x="1435"/>
        <item x="989"/>
        <item x="967"/>
        <item x="966"/>
        <item x="918"/>
        <item x="1504"/>
        <item x="1305"/>
        <item x="821"/>
        <item x="1583"/>
        <item x="381"/>
        <item x="738"/>
        <item x="435"/>
        <item x="1821"/>
        <item x="477"/>
        <item x="1659"/>
        <item x="340"/>
        <item x="1106"/>
        <item x="161"/>
        <item x="1652"/>
        <item x="166"/>
        <item x="1074"/>
        <item x="1321"/>
        <item x="542"/>
        <item x="1449"/>
        <item x="1972"/>
        <item x="444"/>
        <item x="758"/>
        <item x="1674"/>
        <item x="1291"/>
        <item x="377"/>
        <item x="737"/>
        <item x="780"/>
        <item x="621"/>
        <item x="1336"/>
        <item x="1464"/>
        <item x="1900"/>
        <item x="1763"/>
        <item x="1316"/>
        <item x="155"/>
        <item x="548"/>
        <item x="1567"/>
        <item x="10"/>
        <item x="1246"/>
        <item x="1653"/>
        <item x="397"/>
        <item x="792"/>
        <item x="676"/>
        <item x="811"/>
        <item x="802"/>
        <item x="1454"/>
        <item x="262"/>
        <item x="1792"/>
        <item x="123"/>
        <item x="1067"/>
        <item x="1439"/>
        <item x="1193"/>
        <item x="1712"/>
        <item x="1515"/>
        <item x="1041"/>
        <item x="369"/>
        <item x="1520"/>
        <item x="678"/>
        <item x="1282"/>
        <item x="408"/>
        <item x="1212"/>
        <item x="199"/>
        <item x="1398"/>
        <item x="926"/>
        <item x="1622"/>
        <item x="263"/>
        <item x="126"/>
        <item x="1938"/>
        <item x="366"/>
        <item x="535"/>
        <item x="863"/>
        <item x="1844"/>
        <item x="1568"/>
        <item x="682"/>
        <item x="1574"/>
        <item x="875"/>
        <item x="1196"/>
        <item x="797"/>
        <item x="614"/>
        <item x="81"/>
        <item x="1182"/>
        <item x="931"/>
        <item x="335"/>
        <item x="1002"/>
        <item x="426"/>
        <item x="158"/>
        <item x="1508"/>
        <item x="577"/>
        <item x="51"/>
        <item x="497"/>
        <item x="1692"/>
        <item x="828"/>
        <item x="1563"/>
        <item x="182"/>
        <item x="1861"/>
        <item x="1877"/>
        <item x="755"/>
        <item x="1068"/>
        <item x="1142"/>
        <item x="402"/>
        <item x="470"/>
        <item x="1973"/>
        <item x="842"/>
        <item x="1538"/>
        <item x="483"/>
        <item x="565"/>
        <item x="192"/>
        <item x="1968"/>
        <item x="1191"/>
        <item x="135"/>
        <item x="615"/>
        <item x="278"/>
        <item x="204"/>
        <item x="306"/>
        <item x="1371"/>
        <item x="476"/>
        <item x="903"/>
        <item x="452"/>
        <item x="1112"/>
        <item x="1721"/>
        <item x="1917"/>
        <item x="42"/>
        <item x="1696"/>
        <item x="644"/>
        <item x="1931"/>
        <item x="1175"/>
        <item x="563"/>
        <item x="583"/>
        <item x="1079"/>
        <item x="701"/>
        <item x="1150"/>
        <item x="1756"/>
        <item x="1678"/>
        <item x="887"/>
        <item x="189"/>
        <item x="1293"/>
        <item x="992"/>
        <item x="936"/>
        <item x="1226"/>
        <item x="1248"/>
        <item x="347"/>
        <item x="167"/>
        <item x="707"/>
        <item x="403"/>
        <item x="1469"/>
        <item x="905"/>
        <item x="1728"/>
        <item x="1148"/>
        <item x="1956"/>
        <item x="471"/>
        <item x="1689"/>
        <item x="831"/>
        <item x="782"/>
        <item x="109"/>
        <item x="429"/>
        <item x="964"/>
        <item x="691"/>
        <item x="1966"/>
        <item x="179"/>
        <item x="185"/>
        <item x="1889"/>
        <item x="877"/>
        <item x="1986"/>
        <item x="1579"/>
        <item x="914"/>
        <item x="1107"/>
        <item x="731"/>
        <item x="1047"/>
        <item x="567"/>
        <item x="1387"/>
        <item x="407"/>
        <item x="1016"/>
        <item x="5"/>
        <item x="85"/>
        <item x="1294"/>
        <item x="504"/>
        <item x="358"/>
        <item x="1234"/>
        <item x="1658"/>
        <item x="1867"/>
        <item x="1066"/>
        <item x="1186"/>
        <item x="978"/>
        <item x="113"/>
        <item x="1577"/>
        <item x="1001"/>
        <item x="1615"/>
        <item x="1405"/>
        <item x="540"/>
        <item x="833"/>
        <item x="1962"/>
        <item x="1609"/>
        <item x="293"/>
        <item x="1273"/>
        <item x="125"/>
        <item x="696"/>
        <item x="1304"/>
        <item x="1765"/>
        <item x="729"/>
        <item x="1673"/>
        <item x="298"/>
        <item x="1365"/>
        <item x="148"/>
        <item x="932"/>
        <item x="1024"/>
        <item x="913"/>
        <item x="214"/>
        <item x="688"/>
        <item x="481"/>
        <item x="598"/>
        <item x="721"/>
        <item x="1364"/>
        <item x="1634"/>
        <item x="1598"/>
        <item x="83"/>
        <item x="1098"/>
        <item x="712"/>
        <item x="1284"/>
        <item x="365"/>
        <item x="675"/>
        <item x="1130"/>
        <item x="1739"/>
        <item x="393"/>
        <item x="211"/>
        <item x="1457"/>
        <item x="1114"/>
        <item x="27"/>
        <item x="1643"/>
        <item x="491"/>
        <item x="1012"/>
        <item x="64"/>
        <item x="1119"/>
        <item x="664"/>
        <item x="1222"/>
        <item x="1322"/>
        <item x="975"/>
        <item x="512"/>
        <item x="462"/>
        <item x="154"/>
        <item x="552"/>
        <item x="1852"/>
        <item x="1185"/>
        <item x="246"/>
        <item x="1109"/>
        <item x="434"/>
        <item x="1662"/>
        <item x="34"/>
        <item x="520"/>
        <item x="893"/>
        <item x="777"/>
        <item x="172"/>
        <item x="1599"/>
        <item x="1685"/>
        <item x="49"/>
        <item x="1888"/>
        <item x="1980"/>
        <item x="1557"/>
        <item x="503"/>
        <item x="1314"/>
        <item x="62"/>
        <item x="31"/>
        <item x="640"/>
        <item x="560"/>
        <item x="1654"/>
        <item x="857"/>
        <item x="860"/>
        <item x="1705"/>
        <item x="296"/>
        <item x="888"/>
        <item x="468"/>
        <item x="1548"/>
        <item x="1156"/>
        <item x="1351"/>
        <item x="284"/>
        <item x="479"/>
        <item x="1402"/>
        <item x="1192"/>
        <item x="617"/>
        <item x="1"/>
        <item x="181"/>
        <item x="1732"/>
        <item x="1428"/>
        <item x="121"/>
        <item x="1011"/>
        <item x="1410"/>
        <item x="1614"/>
        <item x="859"/>
        <item x="78"/>
        <item x="321"/>
        <item x="315"/>
        <item x="1651"/>
        <item x="1798"/>
        <item x="871"/>
        <item x="40"/>
        <item x="786"/>
        <item x="1714"/>
        <item x="551"/>
        <item x="441"/>
        <item x="612"/>
        <item x="352"/>
        <item x="1679"/>
        <item x="461"/>
        <item x="351"/>
        <item x="1385"/>
        <item x="44"/>
        <item x="1837"/>
        <item x="1958"/>
        <item x="1266"/>
        <item x="300"/>
        <item x="1232"/>
        <item x="451"/>
        <item x="1826"/>
        <item x="882"/>
        <item x="1210"/>
        <item x="1422"/>
        <item x="674"/>
        <item x="384"/>
        <item x="720"/>
        <item x="1892"/>
        <item x="921"/>
        <item x="1975"/>
        <item x="1810"/>
        <item x="1262"/>
        <item x="783"/>
        <item x="915"/>
        <item x="515"/>
        <item x="1165"/>
        <item x="17"/>
        <item x="1753"/>
        <item x="350"/>
        <item x="1283"/>
        <item x="873"/>
        <item x="1961"/>
        <item x="1841"/>
        <item x="1281"/>
        <item x="804"/>
        <item x="253"/>
        <item x="661"/>
        <item x="1506"/>
        <item x="1895"/>
        <item x="1735"/>
        <item x="1355"/>
        <item x="1556"/>
        <item x="1003"/>
        <item x="1840"/>
        <item x="1501"/>
        <item x="385"/>
        <item x="346"/>
        <item x="907"/>
        <item x="1523"/>
        <item x="297"/>
        <item x="1348"/>
        <item x="1296"/>
        <item x="685"/>
        <item x="1896"/>
        <item x="338"/>
        <item x="1859"/>
        <item x="654"/>
        <item x="1213"/>
        <item x="767"/>
        <item x="4"/>
        <item x="1110"/>
        <item x="1782"/>
        <item x="1848"/>
        <item x="1750"/>
        <item x="1492"/>
        <item x="372"/>
        <item x="646"/>
        <item x="667"/>
        <item x="1480"/>
        <item x="1874"/>
        <item x="82"/>
        <item x="694"/>
        <item x="806"/>
        <item x="1359"/>
        <item x="252"/>
        <item x="680"/>
        <item x="849"/>
        <item x="353"/>
        <item x="996"/>
        <item x="1474"/>
        <item x="751"/>
        <item x="1664"/>
        <item x="824"/>
        <item x="110"/>
        <item x="1540"/>
        <item x="1902"/>
        <item x="683"/>
        <item x="0"/>
        <item x="1083"/>
        <item x="741"/>
        <item x="454"/>
        <item x="1883"/>
        <item x="1489"/>
        <item x="412"/>
        <item x="1623"/>
        <item x="709"/>
        <item x="771"/>
        <item x="264"/>
        <item x="1524"/>
        <item x="962"/>
        <item x="209"/>
        <item x="243"/>
        <item x="151"/>
        <item x="536"/>
        <item x="317"/>
        <item x="1650"/>
        <item x="1550"/>
        <item x="726"/>
        <item x="1836"/>
        <item x="130"/>
        <item x="1742"/>
        <item x="883"/>
        <item x="580"/>
        <item x="1432"/>
        <item x="1215"/>
        <item x="1163"/>
        <item x="1915"/>
        <item x="881"/>
        <item x="65"/>
        <item x="1481"/>
        <item x="1832"/>
        <item x="153"/>
        <item x="1964"/>
        <item x="1838"/>
        <item x="240"/>
        <item x="1004"/>
        <item x="1421"/>
        <item x="876"/>
        <item x="933"/>
        <item x="1680"/>
        <item x="1019"/>
        <item x="1564"/>
        <item x="1181"/>
        <item x="684"/>
        <item x="1661"/>
        <item x="1447"/>
        <item x="1754"/>
        <item x="1049"/>
        <item x="697"/>
        <item x="585"/>
        <item x="1240"/>
        <item x="516"/>
        <item x="545"/>
        <item x="1873"/>
        <item x="1168"/>
        <item x="769"/>
        <item x="378"/>
        <item x="303"/>
        <item x="1776"/>
        <item x="747"/>
        <item x="208"/>
        <item x="818"/>
        <item x="205"/>
        <item x="1525"/>
        <item x="994"/>
        <item x="1229"/>
        <item x="128"/>
        <item x="104"/>
        <item x="1445"/>
        <item x="348"/>
        <item x="376"/>
        <item x="596"/>
        <item x="245"/>
        <item x="1062"/>
        <item x="1089"/>
        <item x="270"/>
        <item x="817"/>
        <item x="1135"/>
        <item x="998"/>
        <item x="1708"/>
        <item x="1482"/>
        <item x="1870"/>
        <item x="1569"/>
        <item x="1856"/>
        <item x="131"/>
        <item x="33"/>
        <item x="478"/>
        <item x="579"/>
        <item x="1086"/>
        <item x="692"/>
        <item x="789"/>
        <item x="603"/>
        <item x="1751"/>
        <item x="449"/>
        <item x="533"/>
        <item x="1828"/>
        <item x="1311"/>
        <item x="1584"/>
        <item x="282"/>
        <item x="256"/>
        <item x="1268"/>
        <item x="1723"/>
        <item x="1472"/>
        <item x="506"/>
        <item x="415"/>
        <item x="1078"/>
        <item x="959"/>
        <item x="1905"/>
        <item x="206"/>
        <item x="1771"/>
        <item x="232"/>
        <item x="1349"/>
        <item x="228"/>
        <item x="1727"/>
        <item x="39"/>
        <item x="1784"/>
        <item x="1249"/>
        <item x="1333"/>
        <item x="439"/>
        <item x="1590"/>
        <item x="54"/>
        <item x="608"/>
        <item x="1054"/>
        <item x="1561"/>
        <item x="1230"/>
        <item x="1800"/>
        <item x="1976"/>
        <item x="1878"/>
        <item x="653"/>
        <item x="544"/>
        <item x="764"/>
        <item x="475"/>
        <item x="671"/>
        <item x="37"/>
        <item x="611"/>
        <item x="1741"/>
        <item x="1446"/>
        <item x="1512"/>
        <item x="1418"/>
        <item x="1541"/>
        <item x="793"/>
        <item x="1625"/>
        <item x="1947"/>
        <item x="1426"/>
        <item x="1170"/>
        <item x="1862"/>
        <item x="1487"/>
        <item x="587"/>
        <item x="354"/>
        <item x="949"/>
        <item x="1618"/>
        <item x="823"/>
        <item x="1863"/>
        <item x="1115"/>
        <item x="1082"/>
        <item x="765"/>
        <item x="1187"/>
        <item x="1503"/>
        <item x="215"/>
        <item x="1006"/>
        <item x="1593"/>
        <item x="1440"/>
        <item x="589"/>
        <item x="752"/>
        <item x="1046"/>
        <item x="937"/>
        <item x="198"/>
        <item x="829"/>
        <item x="808"/>
        <item x="1681"/>
        <item x="301"/>
        <item x="47"/>
        <item x="1868"/>
        <item x="1668"/>
        <item x="146"/>
        <item x="1773"/>
        <item x="12"/>
        <item x="791"/>
        <item x="939"/>
        <item x="1309"/>
        <item x="1627"/>
        <item x="597"/>
        <item x="1373"/>
        <item x="1780"/>
        <item x="101"/>
        <item x="139"/>
        <item x="8"/>
        <item x="341"/>
        <item x="522"/>
        <item x="1768"/>
        <item x="1655"/>
        <item x="1869"/>
        <item x="1369"/>
        <item x="1790"/>
        <item x="1884"/>
        <item x="1502"/>
        <item x="1383"/>
        <item x="1656"/>
        <item x="732"/>
        <item x="1058"/>
        <item x="686"/>
        <item x="639"/>
        <item x="1396"/>
        <item x="1050"/>
        <item x="1463"/>
        <item x="1400"/>
        <item x="1876"/>
        <item x="1566"/>
        <item x="807"/>
        <item x="1488"/>
        <item x="1027"/>
        <item x="980"/>
        <item x="1845"/>
        <item x="363"/>
        <item x="1177"/>
        <item x="467"/>
        <item x="71"/>
        <item x="1724"/>
        <item x="1352"/>
        <item x="561"/>
        <item x="1208"/>
        <item x="571"/>
        <item x="1339"/>
        <item x="1053"/>
        <item x="1091"/>
        <item x="1008"/>
        <item x="740"/>
        <item x="1527"/>
        <item x="1370"/>
        <item x="1361"/>
        <item x="1858"/>
        <item x="218"/>
        <item x="1757"/>
        <item x="11"/>
        <item x="1227"/>
        <item x="1406"/>
        <item x="1632"/>
        <item x="553"/>
        <item x="336"/>
        <item x="892"/>
        <item x="938"/>
        <item x="1722"/>
        <item x="465"/>
        <item x="1684"/>
        <item x="1521"/>
        <item x="773"/>
        <item x="16"/>
        <item x="1974"/>
        <item x="290"/>
        <item x="309"/>
        <item x="633"/>
        <item x="1384"/>
        <item x="406"/>
        <item x="280"/>
        <item x="1244"/>
        <item x="1374"/>
        <item x="788"/>
        <item x="1330"/>
        <item x="409"/>
        <item x="41"/>
        <item x="446"/>
        <item x="556"/>
        <item x="1633"/>
        <item x="1434"/>
        <item x="1539"/>
        <item x="295"/>
        <item x="316"/>
        <item x="163"/>
        <item x="1391"/>
        <item x="373"/>
        <item x="1498"/>
        <item x="188"/>
        <item x="1910"/>
        <item x="213"/>
        <item x="223"/>
        <item x="953"/>
        <item x="1462"/>
        <item x="1552"/>
        <item x="1087"/>
        <item x="1531"/>
        <item x="623"/>
        <item x="955"/>
        <item x="1032"/>
        <item x="1334"/>
        <item x="1743"/>
        <item x="1551"/>
        <item x="649"/>
        <item x="695"/>
        <item x="325"/>
        <item x="1149"/>
        <item x="254"/>
        <item x="1815"/>
        <item x="1621"/>
        <item x="1517"/>
        <item x="1021"/>
        <item x="578"/>
        <item x="1747"/>
        <item x="1450"/>
        <item x="759"/>
        <item x="414"/>
        <item x="1737"/>
        <item x="957"/>
        <item x="629"/>
        <item x="1346"/>
        <item x="1259"/>
        <item x="277"/>
        <item x="67"/>
        <item x="52"/>
        <item x="841"/>
        <item x="1843"/>
        <item x="490"/>
        <item x="1224"/>
        <item x="1749"/>
        <item x="1285"/>
        <item x="1362"/>
        <item x="1936"/>
        <item x="425"/>
        <item x="170"/>
        <item x="1787"/>
        <item x="323"/>
        <item x="1256"/>
        <item x="1056"/>
        <item x="304"/>
        <item x="911"/>
        <item x="861"/>
        <item x="1833"/>
        <item x="1831"/>
        <item x="233"/>
        <item x="1582"/>
        <item x="920"/>
        <item x="111"/>
        <item x="410"/>
        <item x="1319"/>
        <item x="606"/>
        <item x="960"/>
        <item x="1734"/>
        <item x="1073"/>
        <item x="958"/>
        <item x="239"/>
        <item x="164"/>
        <item x="1123"/>
        <item x="1310"/>
        <item x="1233"/>
        <item x="499"/>
        <item x="1731"/>
        <item x="1118"/>
        <item x="1129"/>
        <item x="679"/>
        <item x="1117"/>
        <item x="244"/>
        <item x="227"/>
        <item x="1014"/>
        <item x="509"/>
        <item x="281"/>
        <item x="427"/>
        <item x="1977"/>
        <item x="1786"/>
        <item x="1882"/>
        <item x="1292"/>
        <item x="1141"/>
        <item x="1354"/>
        <item x="134"/>
        <item x="1164"/>
        <item x="1061"/>
        <item x="1736"/>
        <item x="70"/>
        <item x="1140"/>
        <item x="1825"/>
        <item x="1437"/>
        <item x="320"/>
        <item x="362"/>
        <item x="193"/>
        <item x="1154"/>
        <item x="379"/>
        <item x="1390"/>
        <item x="485"/>
        <item x="196"/>
        <item x="1562"/>
        <item x="1264"/>
        <item x="607"/>
        <item x="364"/>
        <item x="1039"/>
        <item x="796"/>
        <item x="1603"/>
        <item x="96"/>
        <item x="896"/>
        <item x="1691"/>
        <item x="1218"/>
        <item x="1676"/>
        <item x="514"/>
        <item x="1201"/>
        <item x="523"/>
        <item x="344"/>
        <item x="898"/>
        <item x="979"/>
        <item x="659"/>
        <item x="55"/>
        <item x="1772"/>
        <item x="1419"/>
        <item x="517"/>
        <item x="1940"/>
        <item x="798"/>
        <item x="249"/>
        <item x="1409"/>
        <item x="313"/>
        <item x="29"/>
        <item x="177"/>
        <item x="719"/>
        <item x="401"/>
        <item x="1886"/>
        <item x="1738"/>
        <item x="987"/>
        <item x="1699"/>
        <item x="539"/>
        <item x="1959"/>
        <item x="1711"/>
        <item x="1010"/>
        <item x="1857"/>
        <item x="943"/>
        <item x="1730"/>
        <item x="630"/>
        <item x="355"/>
        <item x="1545"/>
        <item x="95"/>
        <item x="482"/>
        <item x="1816"/>
        <item x="1344"/>
        <item x="1190"/>
        <item x="1377"/>
        <item x="1124"/>
        <item x="971"/>
        <item x="1950"/>
        <item x="1306"/>
        <item x="1167"/>
        <item x="255"/>
        <item x="150"/>
        <item x="1592"/>
        <item x="1785"/>
        <item x="272"/>
        <item x="1340"/>
        <item x="1923"/>
        <item x="1401"/>
        <item x="91"/>
        <item x="291"/>
        <item x="559"/>
        <item x="745"/>
        <item x="1687"/>
        <item x="564"/>
        <item x="1770"/>
        <item x="507"/>
        <item x="1075"/>
        <item x="1970"/>
        <item x="799"/>
        <item x="105"/>
        <item x="1009"/>
        <item x="1546"/>
        <item x="743"/>
        <item x="1572"/>
        <item x="357"/>
        <item x="1807"/>
        <item x="572"/>
        <item x="69"/>
        <item x="850"/>
        <item x="1368"/>
        <item x="919"/>
        <item x="162"/>
        <item x="568"/>
        <item x="950"/>
        <item x="1602"/>
        <item x="672"/>
        <item x="635"/>
        <item x="666"/>
        <item x="391"/>
        <item x="1423"/>
        <item x="862"/>
        <item x="954"/>
        <item x="1100"/>
        <item x="1307"/>
        <item x="1686"/>
        <item x="594"/>
        <item x="1835"/>
        <item x="1879"/>
        <item x="1619"/>
        <item x="1885"/>
        <item x="1544"/>
        <item x="1394"/>
        <item x="1029"/>
        <item x="382"/>
        <item x="1981"/>
        <item x="294"/>
        <item x="201"/>
        <item x="582"/>
        <item x="399"/>
        <item x="279"/>
        <item x="63"/>
        <item x="1037"/>
        <item x="1688"/>
        <item x="1199"/>
        <item x="183"/>
        <item x="1808"/>
        <item x="790"/>
        <item x="961"/>
        <item x="274"/>
        <item x="927"/>
        <item x="1137"/>
        <item x="1918"/>
        <item x="1243"/>
        <item x="1335"/>
        <item x="474"/>
        <item x="1076"/>
        <item x="460"/>
        <item x="87"/>
        <item x="652"/>
        <item x="1924"/>
        <item x="1202"/>
        <item x="925"/>
        <item x="1694"/>
        <item x="1299"/>
        <item x="663"/>
        <item x="592"/>
        <item x="1382"/>
        <item x="525"/>
        <item x="800"/>
        <item x="1817"/>
        <item x="558"/>
        <item x="626"/>
        <item x="1620"/>
        <item x="1617"/>
        <item x="464"/>
        <item x="273"/>
        <item x="1375"/>
        <item x="107"/>
        <item x="1978"/>
        <item x="1407"/>
        <item x="1907"/>
        <item x="906"/>
        <item x="1839"/>
        <item x="616"/>
        <item x="1953"/>
        <item x="1413"/>
        <item x="916"/>
        <item x="1493"/>
        <item x="1278"/>
        <item x="94"/>
        <item x="894"/>
        <item x="1660"/>
        <item x="495"/>
        <item x="605"/>
        <item x="1417"/>
        <item x="398"/>
        <item x="637"/>
        <item x="302"/>
        <item x="772"/>
        <item x="730"/>
        <item x="1313"/>
        <item x="1611"/>
        <item x="332"/>
        <item x="900"/>
        <item x="1703"/>
        <item x="1530"/>
        <item x="493"/>
        <item x="93"/>
        <item x="673"/>
        <item x="1796"/>
        <item x="494"/>
        <item x="32"/>
        <item x="1080"/>
        <item x="880"/>
        <item x="1903"/>
        <item x="1591"/>
        <item x="547"/>
        <item x="538"/>
        <item x="1695"/>
        <item x="1904"/>
        <item x="1499"/>
        <item x="930"/>
        <item x="1908"/>
        <item x="337"/>
        <item x="157"/>
        <item x="269"/>
        <item x="1803"/>
        <item x="848"/>
        <item x="1000"/>
        <item x="1752"/>
        <item x="1983"/>
        <item x="813"/>
        <item x="1176"/>
        <item x="1093"/>
        <item x="554"/>
        <item x="1746"/>
        <item x="1638"/>
        <item x="1040"/>
        <item x="194"/>
        <item x="655"/>
        <item x="681"/>
        <item x="1290"/>
        <item x="928"/>
        <item x="532"/>
        <item x="1288"/>
        <item x="21"/>
        <item x="207"/>
        <item x="1560"/>
        <item x="1671"/>
        <item x="1914"/>
        <item x="1802"/>
        <item x="1139"/>
        <item x="437"/>
        <item x="844"/>
        <item x="1805"/>
        <item x="203"/>
        <item x="1700"/>
        <item x="1343"/>
        <item x="775"/>
        <item x="651"/>
        <item x="1424"/>
        <item x="990"/>
        <item x="526"/>
        <item x="422"/>
        <item x="432"/>
        <item x="610"/>
        <item x="739"/>
        <item x="1764"/>
        <item x="1219"/>
        <item x="1748"/>
        <item x="502"/>
        <item x="891"/>
        <item x="670"/>
        <item x="1042"/>
        <item x="628"/>
        <item x="770"/>
        <item x="1605"/>
        <item x="1518"/>
        <item x="519"/>
        <item x="801"/>
        <item x="1173"/>
        <item x="624"/>
        <item x="1271"/>
        <item x="1260"/>
        <item x="275"/>
        <item x="84"/>
        <item x="1253"/>
        <item x="1555"/>
        <item x="1372"/>
        <item x="1894"/>
        <item x="108"/>
        <item x="1238"/>
        <item x="934"/>
        <item x="61"/>
        <item x="1580"/>
        <item x="56"/>
        <item x="259"/>
        <item x="1849"/>
        <item x="1850"/>
        <item x="988"/>
        <item x="89"/>
        <item x="723"/>
        <item x="1547"/>
        <item x="1367"/>
        <item x="375"/>
        <item x="1570"/>
        <item x="442"/>
        <item x="77"/>
        <item x="286"/>
        <item x="1925"/>
        <item x="604"/>
        <item x="1775"/>
        <item x="395"/>
        <item x="1303"/>
        <item x="1610"/>
        <item x="1865"/>
        <item x="763"/>
        <item x="1153"/>
        <item x="265"/>
        <item x="1220"/>
        <item x="901"/>
        <item x="1444"/>
        <item x="1497"/>
        <item x="473"/>
        <item x="1289"/>
        <item x="1494"/>
        <item x="1386"/>
        <item x="972"/>
        <item x="1280"/>
        <item x="693"/>
        <item x="1057"/>
        <item x="1261"/>
        <item x="1477"/>
        <item x="1206"/>
        <item x="1543"/>
        <item x="1356"/>
        <item x="1606"/>
        <item x="744"/>
        <item x="974"/>
        <item x="195"/>
        <item x="846"/>
        <item x="922"/>
        <item x="222"/>
        <item x="416"/>
        <item x="1065"/>
        <item x="946"/>
        <item x="1509"/>
        <item x="45"/>
        <item x="1152"/>
        <item x="1184"/>
        <item x="327"/>
        <item x="178"/>
        <item x="1649"/>
        <item x="1221"/>
        <item x="1204"/>
        <item x="1887"/>
        <item x="853"/>
        <item x="1157"/>
        <item x="632"/>
        <item x="120"/>
        <item x="440"/>
        <item x="1113"/>
        <item x="834"/>
        <item x="890"/>
        <item x="1044"/>
        <item x="510"/>
        <item x="1485"/>
        <item x="122"/>
        <item x="1055"/>
        <item x="870"/>
        <item x="1331"/>
        <item x="1403"/>
        <item x="541"/>
        <item x="1937"/>
        <item x="237"/>
        <item x="1706"/>
        <item x="248"/>
        <item x="1473"/>
        <item x="1397"/>
        <item x="1459"/>
        <item x="705"/>
        <item x="453"/>
        <item x="1324"/>
        <item x="1916"/>
        <item x="1136"/>
        <item x="1922"/>
        <item x="103"/>
        <item x="176"/>
        <item x="1120"/>
        <item x="619"/>
        <item x="1513"/>
        <item x="1223"/>
        <item x="1381"/>
        <item x="995"/>
        <item x="584"/>
        <item x="251"/>
        <item x="1455"/>
        <item x="917"/>
        <item x="904"/>
        <item x="1855"/>
        <item x="1209"/>
        <item x="1216"/>
        <item x="1200"/>
        <item x="447"/>
        <item x="528"/>
        <item x="140"/>
        <item x="851"/>
        <item x="543"/>
        <item x="285"/>
        <item x="1345"/>
        <item x="498"/>
        <item x="6"/>
        <item x="827"/>
        <item x="1982"/>
        <item x="1842"/>
        <item x="13"/>
        <item x="1155"/>
        <item x="310"/>
        <item x="86"/>
        <item x="60"/>
        <item x="733"/>
        <item x="1254"/>
        <item x="879"/>
        <item x="38"/>
        <item x="1207"/>
        <item x="137"/>
        <item x="662"/>
        <item x="1854"/>
        <item x="1806"/>
        <item x="333"/>
        <item x="149"/>
        <item x="1713"/>
        <item x="1912"/>
        <item x="1818"/>
        <item x="948"/>
        <item x="374"/>
        <item x="1813"/>
        <item t="default"/>
      </items>
    </pivotField>
    <pivotField numFmtId="9" showAll="0"/>
    <pivotField numFmtId="2" showAll="0"/>
    <pivotField axis="axisRow" showAll="0">
      <items count="5">
        <item x="0"/>
        <item x="2"/>
        <item x="3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4842C-7A93-4537-9657-69F43A334E74}" name="PivotTable2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15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2" showAll="0"/>
    <pivotField numFmtId="9" showAll="0"/>
    <pivotField dataField="1" numFmtId="2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C4AF4D-EC04-4A68-9F77-21D0195E88F9}" name="PivotTable3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6" firstHeaderRow="1" firstDataRow="1" firstDataCol="1"/>
  <pivotFields count="15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numFmtId="2" showAll="0"/>
    <pivotField numFmtId="9" showAll="0"/>
    <pivotField numFmtId="2" showAll="0"/>
    <pivotField showAll="0"/>
    <pivotField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A3C85-7853-4752-80B6-1C5594EB24E0}" name="PivotTable4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" firstHeaderRow="1" firstDataRow="1" firstDataCol="1"/>
  <pivotFields count="15">
    <pivotField showAll="0"/>
    <pivotField numFmtId="14" showAll="0"/>
    <pivotField showAll="0"/>
    <pivotField showAll="0"/>
    <pivotField showAll="0"/>
    <pivotField numFmtId="2" showAll="0"/>
    <pivotField numFmtId="9" showAll="0"/>
    <pivotField numFmtId="2"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 defaultSubtotal="0"/>
    <pivotField showAll="0" defaultSubtota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Return_status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AE0D949-2C1A-439F-A31B-A2439668C40B}" autoFormatId="16" applyNumberFormats="0" applyBorderFormats="0" applyFontFormats="0" applyPatternFormats="0" applyAlignmentFormats="0" applyWidthHeightFormats="0">
  <queryTableRefresh nextId="9">
    <queryTableFields count="8">
      <queryTableField id="1" name="Order_ID" tableColumnId="1"/>
      <queryTableField id="2" name="Order_Date" tableColumnId="2"/>
      <queryTableField id="3" name="Customer_ID" tableColumnId="3"/>
      <queryTableField id="4" name="Product_ID" tableColumnId="4"/>
      <queryTableField id="5" name="Quantity" tableColumnId="5"/>
      <queryTableField id="6" name="Sales" tableColumnId="6"/>
      <queryTableField id="7" name="Discount" tableColumnId="7"/>
      <queryTableField id="8" name="Profit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230F5C3-ADC1-4FB3-BC48-32B1B39DACD1}" autoFormatId="16" applyNumberFormats="0" applyBorderFormats="0" applyFontFormats="0" applyPatternFormats="0" applyAlignmentFormats="0" applyWidthHeightFormats="0">
  <queryTableRefresh nextId="5">
    <queryTableFields count="4">
      <queryTableField id="1" name="Customer_ID" tableColumnId="1"/>
      <queryTableField id="2" name="Customer_Name" tableColumnId="2"/>
      <queryTableField id="3" name="Region" tableColumnId="3"/>
      <queryTableField id="4" name="Segmen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1ACC5DB6-95D5-4290-A681-914AED8FEABC}" autoFormatId="16" applyNumberFormats="0" applyBorderFormats="0" applyFontFormats="0" applyPatternFormats="0" applyAlignmentFormats="0" applyWidthHeightFormats="0">
  <queryTableRefresh nextId="5">
    <queryTableFields count="4">
      <queryTableField id="1" name="Product_ID" tableColumnId="1"/>
      <queryTableField id="2" name="Product_Name" tableColumnId="2"/>
      <queryTableField id="3" name="Category" tableColumnId="3"/>
      <queryTableField id="4" name="Sub_Category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288FE202-17A3-40F9-B22F-0786378A3D76}" autoFormatId="16" applyNumberFormats="0" applyBorderFormats="0" applyFontFormats="0" applyPatternFormats="0" applyAlignmentFormats="0" applyWidthHeightFormats="0">
  <queryTableRefresh nextId="3">
    <queryTableFields count="2">
      <queryTableField id="1" name="Order_ID" tableColumnId="1"/>
      <queryTableField id="2" name="Returned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08603F2-9B67-4642-9C0D-C0A8DA74A37F}" autoFormatId="16" applyNumberFormats="0" applyBorderFormats="0" applyFontFormats="0" applyPatternFormats="0" applyAlignmentFormats="0" applyWidthHeightFormats="0">
  <queryTableRefresh nextId="14" unboundColumnsRight="5">
    <queryTableFields count="13">
      <queryTableField id="1" name="Order_ID" tableColumnId="1"/>
      <queryTableField id="2" name="Order_Date" tableColumnId="2"/>
      <queryTableField id="3" name="Customer_ID" tableColumnId="3"/>
      <queryTableField id="4" name="Product_ID" tableColumnId="4"/>
      <queryTableField id="5" name="Quantity" tableColumnId="5"/>
      <queryTableField id="6" name="Sales" tableColumnId="6"/>
      <queryTableField id="7" name="Discount" tableColumnId="7"/>
      <queryTableField id="8" name="Profit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2EEC0E-82B4-4F25-836F-037E473A30D3}" name="orders__1" displayName="orders__1" ref="A1:H2001" tableType="queryTable" totalsRowShown="0">
  <autoFilter ref="A1:H2001" xr:uid="{8FA509EE-9FB6-4E91-8E58-84D3628A3A86}"/>
  <tableColumns count="8">
    <tableColumn id="1" xr3:uid="{667ACA6C-19ED-47EF-9E26-0F99A4FE5919}" uniqueName="1" name="Order_ID" queryTableFieldId="1" dataDxfId="26"/>
    <tableColumn id="2" xr3:uid="{5C606153-2478-42C4-AD56-5D2696FB5B56}" uniqueName="2" name="Order_Date" queryTableFieldId="2" dataDxfId="25"/>
    <tableColumn id="3" xr3:uid="{DDCBD10C-79E2-4542-BB86-036EDF905BDD}" uniqueName="3" name="Customer_ID" queryTableFieldId="3" dataDxfId="24"/>
    <tableColumn id="4" xr3:uid="{1C5BCE0B-90AF-4C66-89DF-BA7C859E4AD1}" uniqueName="4" name="Product_ID" queryTableFieldId="4" dataDxfId="23"/>
    <tableColumn id="5" xr3:uid="{62988EF8-74DE-4B62-AF4E-2AF9A44A7165}" uniqueName="5" name="Quantity" queryTableFieldId="5"/>
    <tableColumn id="6" xr3:uid="{D4770160-4D85-424B-9B1B-6B0F07A71215}" uniqueName="6" name="Sales" queryTableFieldId="6" dataDxfId="11"/>
    <tableColumn id="7" xr3:uid="{4A7855DD-DCCB-46A2-B0D2-D19CAABC10E9}" uniqueName="7" name="Discount" queryTableFieldId="7" dataCellStyle="Percent"/>
    <tableColumn id="8" xr3:uid="{F43322C0-7CF1-49C6-BEBC-00104E53D3AA}" uniqueName="8" name="Profit" queryTableFieldId="8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D3301F-ADDD-41F2-B43D-F120DD7DB0CB}" name="customers__2" displayName="customers__2" ref="A1:D201" tableType="queryTable" totalsRowShown="0">
  <autoFilter ref="A1:D201" xr:uid="{20715866-2BB5-412E-B544-7754C7617FDD}"/>
  <tableColumns count="4">
    <tableColumn id="1" xr3:uid="{A2D5F372-39AA-4A36-929D-3C7C543C68B3}" uniqueName="1" name="Customer_ID" queryTableFieldId="1" dataDxfId="22"/>
    <tableColumn id="2" xr3:uid="{0C7EA54F-5D56-4EB7-89C8-86926560183C}" uniqueName="2" name="Customer_Name" queryTableFieldId="2" dataDxfId="21"/>
    <tableColumn id="3" xr3:uid="{D664D0E3-9892-4E09-BADD-00AF23488CBA}" uniqueName="3" name="Region" queryTableFieldId="3" dataDxfId="20"/>
    <tableColumn id="4" xr3:uid="{896161EF-6B4F-4B26-8823-7776A4C4EBC5}" uniqueName="4" name="Segment" queryTableFieldId="4" dataDxf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E1E88A-7B3B-468C-A92D-8116E2763C6C}" name="products" displayName="products" ref="A1:D101" tableType="queryTable" totalsRowShown="0">
  <autoFilter ref="A1:D101" xr:uid="{4CB3C7B5-BC43-49B7-A9B0-59A4725E230F}"/>
  <tableColumns count="4">
    <tableColumn id="1" xr3:uid="{EA584BB2-8EDC-470F-803D-CC3383B609B3}" uniqueName="1" name="Product_ID" queryTableFieldId="1" dataDxfId="18"/>
    <tableColumn id="2" xr3:uid="{B72A15DD-941F-4E8A-B12D-AD6086705440}" uniqueName="2" name="Product_Name" queryTableFieldId="2" dataDxfId="17"/>
    <tableColumn id="3" xr3:uid="{797E354E-F41C-4254-B451-D74A343D6D65}" uniqueName="3" name="Category" queryTableFieldId="3" dataDxfId="16"/>
    <tableColumn id="4" xr3:uid="{664C7F64-ED2D-4A91-9931-6B565207F279}" uniqueName="4" name="Sub_Category" queryTableFieldId="4" dataDxf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258B55-1183-4339-A041-9E3315023FA9}" name="returns" displayName="returns" ref="A1:B2001" tableType="queryTable" totalsRowShown="0">
  <autoFilter ref="A1:B2001" xr:uid="{D3553E37-09BF-4C9E-9D99-5F28DB234367}"/>
  <tableColumns count="2">
    <tableColumn id="1" xr3:uid="{49518991-372D-4DEF-810E-6C0AA817D8BC}" uniqueName="1" name="Order_ID" queryTableFieldId="1" dataDxfId="14"/>
    <tableColumn id="2" xr3:uid="{679C761E-22BC-4ED8-844E-2DB425E0D5EB}" uniqueName="2" name="Returned" queryTableFieldId="2" dataDxf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F5D2DB-FAA3-420B-8383-961E007BB3DB}" name="orders__17" displayName="orders__17" ref="A1:M2001" tableType="queryTable" totalsRowShown="0">
  <autoFilter ref="A1:M2001" xr:uid="{E9EA25AA-7EEF-4A73-8AF8-7C51CC5E37C7}"/>
  <tableColumns count="13">
    <tableColumn id="1" xr3:uid="{26B2CCA0-943C-4C97-9FEB-E53C0271DF81}" uniqueName="1" name="Order_ID" queryTableFieldId="1" dataDxfId="10"/>
    <tableColumn id="2" xr3:uid="{A779088A-CE9D-4D94-85FB-81ECB4990267}" uniqueName="2" name="Order_Date" queryTableFieldId="2" dataDxfId="9"/>
    <tableColumn id="3" xr3:uid="{F6454B4D-9146-4B1D-85BE-4D3A8757B50B}" uniqueName="3" name="Customer_ID" queryTableFieldId="3" dataDxfId="8"/>
    <tableColumn id="4" xr3:uid="{DCDA88CE-D56D-44E2-B926-AFDCDC0DC81D}" uniqueName="4" name="Product_ID" queryTableFieldId="4" dataDxfId="7"/>
    <tableColumn id="5" xr3:uid="{F096809B-6CD3-4FD2-BDD7-6054784C14F5}" uniqueName="5" name="Quantity" queryTableFieldId="5"/>
    <tableColumn id="6" xr3:uid="{FA118F54-225A-4D57-A1DE-57B7217981FA}" uniqueName="6" name="Sales" queryTableFieldId="6" dataDxfId="6"/>
    <tableColumn id="7" xr3:uid="{8360A4DE-652C-4D72-B17F-E955F9896BBC}" uniqueName="7" name="Discount" queryTableFieldId="7" dataCellStyle="Percent"/>
    <tableColumn id="8" xr3:uid="{E32AD346-F594-4AFF-AD24-1CEA9D0218E8}" uniqueName="8" name="Profit" queryTableFieldId="8" dataDxfId="5"/>
    <tableColumn id="9" xr3:uid="{591FF339-6F6F-4644-B5C2-C8CC84BCFA77}" uniqueName="9" name="Region" queryTableFieldId="9" dataDxfId="4">
      <calculatedColumnFormula>VLOOKUP(orders__17[[#This Row],[Customer_ID]],customers__2[#All],3,0)</calculatedColumnFormula>
    </tableColumn>
    <tableColumn id="10" xr3:uid="{BBDA59F8-CF27-46D1-B53A-24D9F4A92E3C}" uniqueName="10" name="Segement" queryTableFieldId="10" dataDxfId="3">
      <calculatedColumnFormula>VLOOKUP(orders__17[[#This Row],[Customer_ID]],customers__2[#All],4,0)</calculatedColumnFormula>
    </tableColumn>
    <tableColumn id="11" xr3:uid="{D24EBF1F-A304-4A8B-B605-9C20C1468571}" uniqueName="11" name="Category" queryTableFieldId="11" dataDxfId="2">
      <calculatedColumnFormula>VLOOKUP(orders__17[[#This Row],[Product_ID]],products[#All],3,0)</calculatedColumnFormula>
    </tableColumn>
    <tableColumn id="12" xr3:uid="{F2C5BF7E-1573-408D-B4C6-EF8E8EAF1C22}" uniqueName="12" name="Sub_Category" queryTableFieldId="12" dataDxfId="1">
      <calculatedColumnFormula>VLOOKUP(orders__17[[#This Row],[Product_ID]],products[#All],4,0)</calculatedColumnFormula>
    </tableColumn>
    <tableColumn id="13" xr3:uid="{5918AAA3-6FB8-434A-A613-2BC479653904}" uniqueName="13" name="Return_status" queryTableFieldId="13" dataDxfId="0">
      <calculatedColumnFormula>VLOOKUP(orders__17[[#This Row],[Order_ID]],returns[#All],2,0)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242A8-E3A5-4E4B-98E8-5EFCC0A162BD}">
  <dimension ref="A1:H2001"/>
  <sheetViews>
    <sheetView topLeftCell="A1975" workbookViewId="0">
      <selection sqref="A1:H2001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4.109375" bestFit="1" customWidth="1"/>
    <col min="4" max="4" width="12.6640625" bestFit="1" customWidth="1"/>
    <col min="5" max="5" width="10.5546875" bestFit="1" customWidth="1"/>
    <col min="6" max="6" width="8" bestFit="1" customWidth="1"/>
    <col min="7" max="7" width="10.5546875" bestFit="1" customWidth="1"/>
    <col min="8" max="8" width="7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2">
        <v>45403</v>
      </c>
      <c r="C2" s="1" t="s">
        <v>9</v>
      </c>
      <c r="D2" s="1" t="s">
        <v>10</v>
      </c>
      <c r="E2">
        <v>4</v>
      </c>
      <c r="F2" s="4">
        <v>1253.48</v>
      </c>
      <c r="G2" s="3">
        <v>0.3</v>
      </c>
      <c r="H2" s="4">
        <v>368.7</v>
      </c>
    </row>
    <row r="3" spans="1:8" x14ac:dyDescent="0.3">
      <c r="A3" s="1" t="s">
        <v>11</v>
      </c>
      <c r="B3" s="2">
        <v>44682</v>
      </c>
      <c r="C3" s="1" t="s">
        <v>12</v>
      </c>
      <c r="D3" s="1" t="s">
        <v>13</v>
      </c>
      <c r="E3">
        <v>5</v>
      </c>
      <c r="F3" s="4">
        <v>1138.73</v>
      </c>
      <c r="G3" s="3">
        <v>0</v>
      </c>
      <c r="H3" s="4">
        <v>240.73</v>
      </c>
    </row>
    <row r="4" spans="1:8" x14ac:dyDescent="0.3">
      <c r="A4" s="1" t="s">
        <v>14</v>
      </c>
      <c r="B4" s="2">
        <v>45404</v>
      </c>
      <c r="C4" s="1" t="s">
        <v>15</v>
      </c>
      <c r="D4" s="1" t="s">
        <v>16</v>
      </c>
      <c r="E4">
        <v>3</v>
      </c>
      <c r="F4" s="4">
        <v>540.70000000000005</v>
      </c>
      <c r="G4" s="3">
        <v>0.2</v>
      </c>
      <c r="H4" s="4">
        <v>153.36000000000001</v>
      </c>
    </row>
    <row r="5" spans="1:8" x14ac:dyDescent="0.3">
      <c r="A5" s="1" t="s">
        <v>17</v>
      </c>
      <c r="B5" s="2">
        <v>45047</v>
      </c>
      <c r="C5" s="1" t="s">
        <v>18</v>
      </c>
      <c r="D5" s="1" t="s">
        <v>19</v>
      </c>
      <c r="E5">
        <v>5</v>
      </c>
      <c r="F5" s="4">
        <v>842.72</v>
      </c>
      <c r="G5" s="3">
        <v>0.3</v>
      </c>
      <c r="H5" s="4">
        <v>106.05</v>
      </c>
    </row>
    <row r="6" spans="1:8" x14ac:dyDescent="0.3">
      <c r="A6" s="1" t="s">
        <v>20</v>
      </c>
      <c r="B6" s="2">
        <v>45052</v>
      </c>
      <c r="C6" s="1" t="s">
        <v>21</v>
      </c>
      <c r="D6" s="1" t="s">
        <v>22</v>
      </c>
      <c r="E6">
        <v>5</v>
      </c>
      <c r="F6" s="4">
        <v>1229.51</v>
      </c>
      <c r="G6" s="3">
        <v>0.3</v>
      </c>
      <c r="H6" s="4">
        <v>301.81</v>
      </c>
    </row>
    <row r="7" spans="1:8" x14ac:dyDescent="0.3">
      <c r="A7" s="1" t="s">
        <v>23</v>
      </c>
      <c r="B7" s="2">
        <v>44767</v>
      </c>
      <c r="C7" s="1" t="s">
        <v>24</v>
      </c>
      <c r="D7" s="1" t="s">
        <v>25</v>
      </c>
      <c r="E7">
        <v>2</v>
      </c>
      <c r="F7" s="4">
        <v>1043.8599999999999</v>
      </c>
      <c r="G7" s="3">
        <v>0.1</v>
      </c>
      <c r="H7" s="4">
        <v>252.06</v>
      </c>
    </row>
    <row r="8" spans="1:8" x14ac:dyDescent="0.3">
      <c r="A8" s="1" t="s">
        <v>26</v>
      </c>
      <c r="B8" s="2">
        <v>44983</v>
      </c>
      <c r="C8" s="1" t="s">
        <v>27</v>
      </c>
      <c r="D8" s="1" t="s">
        <v>28</v>
      </c>
      <c r="E8">
        <v>3</v>
      </c>
      <c r="F8" s="4">
        <v>1976.79</v>
      </c>
      <c r="G8" s="3">
        <v>0.2</v>
      </c>
      <c r="H8" s="4">
        <v>440.65</v>
      </c>
    </row>
    <row r="9" spans="1:8" x14ac:dyDescent="0.3">
      <c r="A9" s="1" t="s">
        <v>29</v>
      </c>
      <c r="B9" s="2">
        <v>44767</v>
      </c>
      <c r="C9" s="1" t="s">
        <v>30</v>
      </c>
      <c r="D9" s="1" t="s">
        <v>31</v>
      </c>
      <c r="E9">
        <v>3</v>
      </c>
      <c r="F9" s="4">
        <v>359.24</v>
      </c>
      <c r="G9" s="3">
        <v>0.3</v>
      </c>
      <c r="H9" s="4">
        <v>104.69</v>
      </c>
    </row>
    <row r="10" spans="1:8" x14ac:dyDescent="0.3">
      <c r="A10" s="1" t="s">
        <v>32</v>
      </c>
      <c r="B10" s="2">
        <v>45353</v>
      </c>
      <c r="C10" s="1" t="s">
        <v>33</v>
      </c>
      <c r="D10" s="1" t="s">
        <v>34</v>
      </c>
      <c r="E10">
        <v>3</v>
      </c>
      <c r="F10" s="4">
        <v>1420.77</v>
      </c>
      <c r="G10" s="3">
        <v>0.2</v>
      </c>
      <c r="H10" s="4">
        <v>210.83</v>
      </c>
    </row>
    <row r="11" spans="1:8" x14ac:dyDescent="0.3">
      <c r="A11" s="1" t="s">
        <v>35</v>
      </c>
      <c r="B11" s="2">
        <v>45413</v>
      </c>
      <c r="C11" s="1" t="s">
        <v>36</v>
      </c>
      <c r="D11" s="1" t="s">
        <v>37</v>
      </c>
      <c r="E11">
        <v>5</v>
      </c>
      <c r="F11" s="4">
        <v>868.21</v>
      </c>
      <c r="G11" s="3">
        <v>0</v>
      </c>
      <c r="H11" s="4">
        <v>71.78</v>
      </c>
    </row>
    <row r="12" spans="1:8" x14ac:dyDescent="0.3">
      <c r="A12" s="1" t="s">
        <v>38</v>
      </c>
      <c r="B12" s="2">
        <v>45302</v>
      </c>
      <c r="C12" s="1" t="s">
        <v>39</v>
      </c>
      <c r="D12" s="1" t="s">
        <v>40</v>
      </c>
      <c r="E12">
        <v>4</v>
      </c>
      <c r="F12" s="4">
        <v>913.58</v>
      </c>
      <c r="G12" s="3">
        <v>0.2</v>
      </c>
      <c r="H12" s="4">
        <v>199.09</v>
      </c>
    </row>
    <row r="13" spans="1:8" x14ac:dyDescent="0.3">
      <c r="A13" s="1" t="s">
        <v>41</v>
      </c>
      <c r="B13" s="2">
        <v>44904</v>
      </c>
      <c r="C13" s="1" t="s">
        <v>42</v>
      </c>
      <c r="D13" s="1" t="s">
        <v>43</v>
      </c>
      <c r="E13">
        <v>3</v>
      </c>
      <c r="F13" s="4">
        <v>1463.44</v>
      </c>
      <c r="G13" s="3">
        <v>0.3</v>
      </c>
      <c r="H13" s="4">
        <v>340</v>
      </c>
    </row>
    <row r="14" spans="1:8" x14ac:dyDescent="0.3">
      <c r="A14" s="1" t="s">
        <v>44</v>
      </c>
      <c r="B14" s="2">
        <v>44934</v>
      </c>
      <c r="C14" s="1" t="s">
        <v>36</v>
      </c>
      <c r="D14" s="1" t="s">
        <v>45</v>
      </c>
      <c r="E14">
        <v>5</v>
      </c>
      <c r="F14" s="4">
        <v>1415.63</v>
      </c>
      <c r="G14" s="3">
        <v>0.1</v>
      </c>
      <c r="H14" s="4">
        <v>274.3</v>
      </c>
    </row>
    <row r="15" spans="1:8" x14ac:dyDescent="0.3">
      <c r="A15" s="1" t="s">
        <v>46</v>
      </c>
      <c r="B15" s="2">
        <v>45195</v>
      </c>
      <c r="C15" s="1" t="s">
        <v>47</v>
      </c>
      <c r="D15" s="1" t="s">
        <v>48</v>
      </c>
      <c r="E15">
        <v>2</v>
      </c>
      <c r="F15" s="4">
        <v>1983.39</v>
      </c>
      <c r="G15" s="3">
        <v>0.3</v>
      </c>
      <c r="H15" s="4">
        <v>201.72</v>
      </c>
    </row>
    <row r="16" spans="1:8" x14ac:dyDescent="0.3">
      <c r="A16" s="1" t="s">
        <v>49</v>
      </c>
      <c r="B16" s="2">
        <v>45032</v>
      </c>
      <c r="C16" s="1" t="s">
        <v>50</v>
      </c>
      <c r="D16" s="1" t="s">
        <v>51</v>
      </c>
      <c r="E16">
        <v>4</v>
      </c>
      <c r="F16" s="4">
        <v>343.95</v>
      </c>
      <c r="G16" s="3">
        <v>0.2</v>
      </c>
      <c r="H16" s="4">
        <v>60.57</v>
      </c>
    </row>
    <row r="17" spans="1:8" x14ac:dyDescent="0.3">
      <c r="A17" s="1" t="s">
        <v>52</v>
      </c>
      <c r="B17" s="2">
        <v>44872</v>
      </c>
      <c r="C17" s="1" t="s">
        <v>53</v>
      </c>
      <c r="D17" s="1" t="s">
        <v>54</v>
      </c>
      <c r="E17">
        <v>2</v>
      </c>
      <c r="F17" s="4">
        <v>297.81</v>
      </c>
      <c r="G17" s="3">
        <v>0.2</v>
      </c>
      <c r="H17" s="4">
        <v>38.130000000000003</v>
      </c>
    </row>
    <row r="18" spans="1:8" x14ac:dyDescent="0.3">
      <c r="A18" s="1" t="s">
        <v>55</v>
      </c>
      <c r="B18" s="2">
        <v>44582</v>
      </c>
      <c r="C18" s="1" t="s">
        <v>56</v>
      </c>
      <c r="D18" s="1" t="s">
        <v>22</v>
      </c>
      <c r="E18">
        <v>4</v>
      </c>
      <c r="F18" s="4">
        <v>1476.24</v>
      </c>
      <c r="G18" s="3">
        <v>0.3</v>
      </c>
      <c r="H18" s="4">
        <v>231.57</v>
      </c>
    </row>
    <row r="19" spans="1:8" x14ac:dyDescent="0.3">
      <c r="A19" s="1" t="s">
        <v>57</v>
      </c>
      <c r="B19" s="2">
        <v>44885</v>
      </c>
      <c r="C19" s="1" t="s">
        <v>58</v>
      </c>
      <c r="D19" s="1" t="s">
        <v>59</v>
      </c>
      <c r="E19">
        <v>5</v>
      </c>
      <c r="F19" s="4">
        <v>1198.94</v>
      </c>
      <c r="G19" s="3">
        <v>0.2</v>
      </c>
      <c r="H19" s="4">
        <v>253.34</v>
      </c>
    </row>
    <row r="20" spans="1:8" x14ac:dyDescent="0.3">
      <c r="A20" s="1" t="s">
        <v>60</v>
      </c>
      <c r="B20" s="2">
        <v>44817</v>
      </c>
      <c r="C20" s="1" t="s">
        <v>50</v>
      </c>
      <c r="D20" s="1" t="s">
        <v>61</v>
      </c>
      <c r="E20">
        <v>1</v>
      </c>
      <c r="F20" s="4">
        <v>620.91</v>
      </c>
      <c r="G20" s="3">
        <v>0</v>
      </c>
      <c r="H20" s="4">
        <v>146.72</v>
      </c>
    </row>
    <row r="21" spans="1:8" x14ac:dyDescent="0.3">
      <c r="A21" s="1" t="s">
        <v>62</v>
      </c>
      <c r="B21" s="2">
        <v>45216</v>
      </c>
      <c r="C21" s="1" t="s">
        <v>63</v>
      </c>
      <c r="D21" s="1" t="s">
        <v>64</v>
      </c>
      <c r="E21">
        <v>4</v>
      </c>
      <c r="F21" s="4">
        <v>250.9</v>
      </c>
      <c r="G21" s="3">
        <v>0.3</v>
      </c>
      <c r="H21" s="4">
        <v>27.11</v>
      </c>
    </row>
    <row r="22" spans="1:8" x14ac:dyDescent="0.3">
      <c r="A22" s="1" t="s">
        <v>65</v>
      </c>
      <c r="B22" s="2">
        <v>45377</v>
      </c>
      <c r="C22" s="1" t="s">
        <v>66</v>
      </c>
      <c r="D22" s="1" t="s">
        <v>67</v>
      </c>
      <c r="E22">
        <v>2</v>
      </c>
      <c r="F22" s="4">
        <v>262.75</v>
      </c>
      <c r="G22" s="3">
        <v>0.1</v>
      </c>
      <c r="H22" s="4">
        <v>39.76</v>
      </c>
    </row>
    <row r="23" spans="1:8" x14ac:dyDescent="0.3">
      <c r="A23" s="1" t="s">
        <v>68</v>
      </c>
      <c r="B23" s="2">
        <v>45132</v>
      </c>
      <c r="C23" s="1" t="s">
        <v>69</v>
      </c>
      <c r="D23" s="1" t="s">
        <v>70</v>
      </c>
      <c r="E23">
        <v>5</v>
      </c>
      <c r="F23" s="4">
        <v>1798.96</v>
      </c>
      <c r="G23" s="3">
        <v>0.3</v>
      </c>
      <c r="H23" s="4">
        <v>211</v>
      </c>
    </row>
    <row r="24" spans="1:8" x14ac:dyDescent="0.3">
      <c r="A24" s="1" t="s">
        <v>71</v>
      </c>
      <c r="B24" s="2">
        <v>44683</v>
      </c>
      <c r="C24" s="1" t="s">
        <v>50</v>
      </c>
      <c r="D24" s="1" t="s">
        <v>72</v>
      </c>
      <c r="E24">
        <v>4</v>
      </c>
      <c r="F24" s="4">
        <v>464.55</v>
      </c>
      <c r="G24" s="3">
        <v>0</v>
      </c>
      <c r="H24" s="4">
        <v>46.3</v>
      </c>
    </row>
    <row r="25" spans="1:8" x14ac:dyDescent="0.3">
      <c r="A25" s="1" t="s">
        <v>73</v>
      </c>
      <c r="B25" s="2">
        <v>45267</v>
      </c>
      <c r="C25" s="1" t="s">
        <v>74</v>
      </c>
      <c r="D25" s="1" t="s">
        <v>75</v>
      </c>
      <c r="E25">
        <v>1</v>
      </c>
      <c r="F25" s="4">
        <v>714.41</v>
      </c>
      <c r="G25" s="3">
        <v>0</v>
      </c>
      <c r="H25" s="4">
        <v>175.64</v>
      </c>
    </row>
    <row r="26" spans="1:8" x14ac:dyDescent="0.3">
      <c r="A26" s="1" t="s">
        <v>76</v>
      </c>
      <c r="B26" s="2">
        <v>45450</v>
      </c>
      <c r="C26" s="1" t="s">
        <v>77</v>
      </c>
      <c r="D26" s="1" t="s">
        <v>78</v>
      </c>
      <c r="E26">
        <v>1</v>
      </c>
      <c r="F26" s="4">
        <v>530.65</v>
      </c>
      <c r="G26" s="3">
        <v>0</v>
      </c>
      <c r="H26" s="4">
        <v>147.16</v>
      </c>
    </row>
    <row r="27" spans="1:8" x14ac:dyDescent="0.3">
      <c r="A27" s="1" t="s">
        <v>79</v>
      </c>
      <c r="B27" s="2">
        <v>45396</v>
      </c>
      <c r="C27" s="1" t="s">
        <v>80</v>
      </c>
      <c r="D27" s="1" t="s">
        <v>19</v>
      </c>
      <c r="E27">
        <v>3</v>
      </c>
      <c r="F27" s="4">
        <v>774.49</v>
      </c>
      <c r="G27" s="3">
        <v>0</v>
      </c>
      <c r="H27" s="4">
        <v>110.41</v>
      </c>
    </row>
    <row r="28" spans="1:8" x14ac:dyDescent="0.3">
      <c r="A28" s="1" t="s">
        <v>81</v>
      </c>
      <c r="B28" s="2">
        <v>45287</v>
      </c>
      <c r="C28" s="1" t="s">
        <v>82</v>
      </c>
      <c r="D28" s="1" t="s">
        <v>83</v>
      </c>
      <c r="E28">
        <v>3</v>
      </c>
      <c r="F28" s="4">
        <v>231.91</v>
      </c>
      <c r="G28" s="3">
        <v>0</v>
      </c>
      <c r="H28" s="4">
        <v>55.15</v>
      </c>
    </row>
    <row r="29" spans="1:8" x14ac:dyDescent="0.3">
      <c r="A29" s="1" t="s">
        <v>84</v>
      </c>
      <c r="B29" s="2">
        <v>44611</v>
      </c>
      <c r="C29" s="1" t="s">
        <v>85</v>
      </c>
      <c r="D29" s="1" t="s">
        <v>86</v>
      </c>
      <c r="E29">
        <v>2</v>
      </c>
      <c r="F29" s="4">
        <v>1086.21</v>
      </c>
      <c r="G29" s="3">
        <v>0.1</v>
      </c>
      <c r="H29" s="4">
        <v>297.89</v>
      </c>
    </row>
    <row r="30" spans="1:8" x14ac:dyDescent="0.3">
      <c r="A30" s="1" t="s">
        <v>87</v>
      </c>
      <c r="B30" s="2">
        <v>44941</v>
      </c>
      <c r="C30" s="1" t="s">
        <v>88</v>
      </c>
      <c r="D30" s="1" t="s">
        <v>89</v>
      </c>
      <c r="E30">
        <v>4</v>
      </c>
      <c r="F30" s="4">
        <v>228.46</v>
      </c>
      <c r="G30" s="3">
        <v>0.2</v>
      </c>
      <c r="H30" s="4">
        <v>59.75</v>
      </c>
    </row>
    <row r="31" spans="1:8" x14ac:dyDescent="0.3">
      <c r="A31" s="1" t="s">
        <v>90</v>
      </c>
      <c r="B31" s="2">
        <v>44597</v>
      </c>
      <c r="C31" s="1" t="s">
        <v>91</v>
      </c>
      <c r="D31" s="1" t="s">
        <v>92</v>
      </c>
      <c r="E31">
        <v>4</v>
      </c>
      <c r="F31" s="4">
        <v>1620.68</v>
      </c>
      <c r="G31" s="3">
        <v>0</v>
      </c>
      <c r="H31" s="4">
        <v>155.1</v>
      </c>
    </row>
    <row r="32" spans="1:8" x14ac:dyDescent="0.3">
      <c r="A32" s="1" t="s">
        <v>93</v>
      </c>
      <c r="B32" s="2">
        <v>45312</v>
      </c>
      <c r="C32" s="1" t="s">
        <v>94</v>
      </c>
      <c r="D32" s="1" t="s">
        <v>83</v>
      </c>
      <c r="E32">
        <v>3</v>
      </c>
      <c r="F32" s="4">
        <v>544.04999999999995</v>
      </c>
      <c r="G32" s="3">
        <v>0</v>
      </c>
      <c r="H32" s="4">
        <v>157.27000000000001</v>
      </c>
    </row>
    <row r="33" spans="1:8" x14ac:dyDescent="0.3">
      <c r="A33" s="1" t="s">
        <v>95</v>
      </c>
      <c r="B33" s="2">
        <v>44637</v>
      </c>
      <c r="C33" s="1" t="s">
        <v>96</v>
      </c>
      <c r="D33" s="1" t="s">
        <v>97</v>
      </c>
      <c r="E33">
        <v>4</v>
      </c>
      <c r="F33" s="4">
        <v>1126.02</v>
      </c>
      <c r="G33" s="3">
        <v>0.3</v>
      </c>
      <c r="H33" s="4">
        <v>162.34</v>
      </c>
    </row>
    <row r="34" spans="1:8" x14ac:dyDescent="0.3">
      <c r="A34" s="1" t="s">
        <v>98</v>
      </c>
      <c r="B34" s="2">
        <v>45310</v>
      </c>
      <c r="C34" s="1" t="s">
        <v>99</v>
      </c>
      <c r="D34" s="1" t="s">
        <v>100</v>
      </c>
      <c r="E34">
        <v>4</v>
      </c>
      <c r="F34" s="4">
        <v>1772.15</v>
      </c>
      <c r="G34" s="3">
        <v>0.1</v>
      </c>
      <c r="H34" s="4">
        <v>238.9</v>
      </c>
    </row>
    <row r="35" spans="1:8" x14ac:dyDescent="0.3">
      <c r="A35" s="1" t="s">
        <v>101</v>
      </c>
      <c r="B35" s="2">
        <v>45240</v>
      </c>
      <c r="C35" s="1" t="s">
        <v>102</v>
      </c>
      <c r="D35" s="1" t="s">
        <v>48</v>
      </c>
      <c r="E35">
        <v>1</v>
      </c>
      <c r="F35" s="4">
        <v>1336.67</v>
      </c>
      <c r="G35" s="3">
        <v>0.1</v>
      </c>
      <c r="H35" s="4">
        <v>87.7</v>
      </c>
    </row>
    <row r="36" spans="1:8" x14ac:dyDescent="0.3">
      <c r="A36" s="1" t="s">
        <v>103</v>
      </c>
      <c r="B36" s="2">
        <v>45116</v>
      </c>
      <c r="C36" s="1" t="s">
        <v>104</v>
      </c>
      <c r="D36" s="1" t="s">
        <v>31</v>
      </c>
      <c r="E36">
        <v>3</v>
      </c>
      <c r="F36" s="4">
        <v>1112.6199999999999</v>
      </c>
      <c r="G36" s="3">
        <v>0.2</v>
      </c>
      <c r="H36" s="4">
        <v>190.86</v>
      </c>
    </row>
    <row r="37" spans="1:8" x14ac:dyDescent="0.3">
      <c r="A37" s="1" t="s">
        <v>105</v>
      </c>
      <c r="B37" s="2">
        <v>44877</v>
      </c>
      <c r="C37" s="1" t="s">
        <v>106</v>
      </c>
      <c r="D37" s="1" t="s">
        <v>107</v>
      </c>
      <c r="E37">
        <v>5</v>
      </c>
      <c r="F37" s="4">
        <v>716.23</v>
      </c>
      <c r="G37" s="3">
        <v>0.1</v>
      </c>
      <c r="H37" s="4">
        <v>55.33</v>
      </c>
    </row>
    <row r="38" spans="1:8" x14ac:dyDescent="0.3">
      <c r="A38" s="1" t="s">
        <v>108</v>
      </c>
      <c r="B38" s="2">
        <v>44913</v>
      </c>
      <c r="C38" s="1" t="s">
        <v>77</v>
      </c>
      <c r="D38" s="1" t="s">
        <v>109</v>
      </c>
      <c r="E38">
        <v>3</v>
      </c>
      <c r="F38" s="4">
        <v>732.7</v>
      </c>
      <c r="G38" s="3">
        <v>0.3</v>
      </c>
      <c r="H38" s="4">
        <v>82.16</v>
      </c>
    </row>
    <row r="39" spans="1:8" x14ac:dyDescent="0.3">
      <c r="A39" s="1" t="s">
        <v>110</v>
      </c>
      <c r="B39" s="2">
        <v>45326</v>
      </c>
      <c r="C39" s="1" t="s">
        <v>27</v>
      </c>
      <c r="D39" s="1" t="s">
        <v>111</v>
      </c>
      <c r="E39">
        <v>5</v>
      </c>
      <c r="F39" s="4">
        <v>1372.03</v>
      </c>
      <c r="G39" s="3">
        <v>0.3</v>
      </c>
      <c r="H39" s="4">
        <v>177.32</v>
      </c>
    </row>
    <row r="40" spans="1:8" x14ac:dyDescent="0.3">
      <c r="A40" s="1" t="s">
        <v>112</v>
      </c>
      <c r="B40" s="2">
        <v>45291</v>
      </c>
      <c r="C40" s="1" t="s">
        <v>113</v>
      </c>
      <c r="D40" s="1" t="s">
        <v>13</v>
      </c>
      <c r="E40">
        <v>1</v>
      </c>
      <c r="F40" s="4">
        <v>1988.86</v>
      </c>
      <c r="G40" s="3">
        <v>0.2</v>
      </c>
      <c r="H40" s="4">
        <v>501.6</v>
      </c>
    </row>
    <row r="41" spans="1:8" x14ac:dyDescent="0.3">
      <c r="A41" s="1" t="s">
        <v>114</v>
      </c>
      <c r="B41" s="2">
        <v>44603</v>
      </c>
      <c r="C41" s="1" t="s">
        <v>115</v>
      </c>
      <c r="D41" s="1" t="s">
        <v>116</v>
      </c>
      <c r="E41">
        <v>2</v>
      </c>
      <c r="F41" s="4">
        <v>1357.49</v>
      </c>
      <c r="G41" s="3">
        <v>0.3</v>
      </c>
      <c r="H41" s="4">
        <v>364.99</v>
      </c>
    </row>
    <row r="42" spans="1:8" x14ac:dyDescent="0.3">
      <c r="A42" s="1" t="s">
        <v>117</v>
      </c>
      <c r="B42" s="2">
        <v>45373</v>
      </c>
      <c r="C42" s="1" t="s">
        <v>118</v>
      </c>
      <c r="D42" s="1" t="s">
        <v>119</v>
      </c>
      <c r="E42">
        <v>4</v>
      </c>
      <c r="F42" s="4">
        <v>1159.79</v>
      </c>
      <c r="G42" s="3">
        <v>0</v>
      </c>
      <c r="H42" s="4">
        <v>145.69</v>
      </c>
    </row>
    <row r="43" spans="1:8" x14ac:dyDescent="0.3">
      <c r="A43" s="1" t="s">
        <v>120</v>
      </c>
      <c r="B43" s="2">
        <v>45374</v>
      </c>
      <c r="C43" s="1" t="s">
        <v>121</v>
      </c>
      <c r="D43" s="1" t="s">
        <v>122</v>
      </c>
      <c r="E43">
        <v>1</v>
      </c>
      <c r="F43" s="4">
        <v>1488.24</v>
      </c>
      <c r="G43" s="3">
        <v>0</v>
      </c>
      <c r="H43" s="4">
        <v>393.9</v>
      </c>
    </row>
    <row r="44" spans="1:8" x14ac:dyDescent="0.3">
      <c r="A44" s="1" t="s">
        <v>123</v>
      </c>
      <c r="B44" s="2">
        <v>44615</v>
      </c>
      <c r="C44" s="1" t="s">
        <v>124</v>
      </c>
      <c r="D44" s="1" t="s">
        <v>86</v>
      </c>
      <c r="E44">
        <v>4</v>
      </c>
      <c r="F44" s="4">
        <v>983.89</v>
      </c>
      <c r="G44" s="3">
        <v>0.3</v>
      </c>
      <c r="H44" s="4">
        <v>260.05</v>
      </c>
    </row>
    <row r="45" spans="1:8" x14ac:dyDescent="0.3">
      <c r="A45" s="1" t="s">
        <v>125</v>
      </c>
      <c r="B45" s="2">
        <v>45350</v>
      </c>
      <c r="C45" s="1" t="s">
        <v>126</v>
      </c>
      <c r="D45" s="1" t="s">
        <v>127</v>
      </c>
      <c r="E45">
        <v>2</v>
      </c>
      <c r="F45" s="4">
        <v>214.27</v>
      </c>
      <c r="G45" s="3">
        <v>0.2</v>
      </c>
      <c r="H45" s="4">
        <v>51.67</v>
      </c>
    </row>
    <row r="46" spans="1:8" x14ac:dyDescent="0.3">
      <c r="A46" s="1" t="s">
        <v>128</v>
      </c>
      <c r="B46" s="2">
        <v>44746</v>
      </c>
      <c r="C46" s="1" t="s">
        <v>129</v>
      </c>
      <c r="D46" s="1" t="s">
        <v>130</v>
      </c>
      <c r="E46">
        <v>2</v>
      </c>
      <c r="F46" s="4">
        <v>1168.3599999999999</v>
      </c>
      <c r="G46" s="3">
        <v>0.1</v>
      </c>
      <c r="H46" s="4">
        <v>101.27</v>
      </c>
    </row>
    <row r="47" spans="1:8" x14ac:dyDescent="0.3">
      <c r="A47" s="1" t="s">
        <v>131</v>
      </c>
      <c r="B47" s="2">
        <v>44562</v>
      </c>
      <c r="C47" s="1" t="s">
        <v>24</v>
      </c>
      <c r="D47" s="1" t="s">
        <v>132</v>
      </c>
      <c r="E47">
        <v>1</v>
      </c>
      <c r="F47" s="4">
        <v>1919.49</v>
      </c>
      <c r="G47" s="3">
        <v>0.2</v>
      </c>
      <c r="H47" s="4">
        <v>427.24</v>
      </c>
    </row>
    <row r="48" spans="1:8" x14ac:dyDescent="0.3">
      <c r="A48" s="1" t="s">
        <v>133</v>
      </c>
      <c r="B48" s="2">
        <v>44801</v>
      </c>
      <c r="C48" s="1" t="s">
        <v>134</v>
      </c>
      <c r="D48" s="1" t="s">
        <v>54</v>
      </c>
      <c r="E48">
        <v>2</v>
      </c>
      <c r="F48" s="4">
        <v>433.08</v>
      </c>
      <c r="G48" s="3">
        <v>0.1</v>
      </c>
      <c r="H48" s="4">
        <v>123.97</v>
      </c>
    </row>
    <row r="49" spans="1:8" x14ac:dyDescent="0.3">
      <c r="A49" s="1" t="s">
        <v>135</v>
      </c>
      <c r="B49" s="2">
        <v>44894</v>
      </c>
      <c r="C49" s="1" t="s">
        <v>136</v>
      </c>
      <c r="D49" s="1" t="s">
        <v>122</v>
      </c>
      <c r="E49">
        <v>5</v>
      </c>
      <c r="F49" s="4">
        <v>1411.01</v>
      </c>
      <c r="G49" s="3">
        <v>0.3</v>
      </c>
      <c r="H49" s="4">
        <v>311.32</v>
      </c>
    </row>
    <row r="50" spans="1:8" x14ac:dyDescent="0.3">
      <c r="A50" s="1" t="s">
        <v>137</v>
      </c>
      <c r="B50" s="2">
        <v>45215</v>
      </c>
      <c r="C50" s="1" t="s">
        <v>138</v>
      </c>
      <c r="D50" s="1" t="s">
        <v>139</v>
      </c>
      <c r="E50">
        <v>2</v>
      </c>
      <c r="F50" s="4">
        <v>481.77</v>
      </c>
      <c r="G50" s="3">
        <v>0.3</v>
      </c>
      <c r="H50" s="4">
        <v>64.03</v>
      </c>
    </row>
    <row r="51" spans="1:8" x14ac:dyDescent="0.3">
      <c r="A51" s="1" t="s">
        <v>140</v>
      </c>
      <c r="B51" s="2">
        <v>45160</v>
      </c>
      <c r="C51" s="1" t="s">
        <v>115</v>
      </c>
      <c r="D51" s="1" t="s">
        <v>141</v>
      </c>
      <c r="E51">
        <v>4</v>
      </c>
      <c r="F51" s="4">
        <v>1118.07</v>
      </c>
      <c r="G51" s="3">
        <v>0</v>
      </c>
      <c r="H51" s="4">
        <v>195.82</v>
      </c>
    </row>
    <row r="52" spans="1:8" x14ac:dyDescent="0.3">
      <c r="A52" s="1" t="s">
        <v>142</v>
      </c>
      <c r="B52" s="2">
        <v>44797</v>
      </c>
      <c r="C52" s="1" t="s">
        <v>58</v>
      </c>
      <c r="D52" s="1" t="s">
        <v>143</v>
      </c>
      <c r="E52">
        <v>4</v>
      </c>
      <c r="F52" s="4">
        <v>283.69</v>
      </c>
      <c r="G52" s="3">
        <v>0.1</v>
      </c>
      <c r="H52" s="4">
        <v>59.98</v>
      </c>
    </row>
    <row r="53" spans="1:8" x14ac:dyDescent="0.3">
      <c r="A53" s="1" t="s">
        <v>144</v>
      </c>
      <c r="B53" s="2">
        <v>44675</v>
      </c>
      <c r="C53" s="1" t="s">
        <v>145</v>
      </c>
      <c r="D53" s="1" t="s">
        <v>28</v>
      </c>
      <c r="E53">
        <v>4</v>
      </c>
      <c r="F53" s="4">
        <v>955.7</v>
      </c>
      <c r="G53" s="3">
        <v>0.2</v>
      </c>
      <c r="H53" s="4">
        <v>169.77</v>
      </c>
    </row>
    <row r="54" spans="1:8" x14ac:dyDescent="0.3">
      <c r="A54" s="1" t="s">
        <v>146</v>
      </c>
      <c r="B54" s="2">
        <v>44767</v>
      </c>
      <c r="C54" s="1" t="s">
        <v>136</v>
      </c>
      <c r="D54" s="1" t="s">
        <v>147</v>
      </c>
      <c r="E54">
        <v>4</v>
      </c>
      <c r="F54" s="4">
        <v>1536.71</v>
      </c>
      <c r="G54" s="3">
        <v>0.3</v>
      </c>
      <c r="H54" s="4">
        <v>122.92</v>
      </c>
    </row>
    <row r="55" spans="1:8" x14ac:dyDescent="0.3">
      <c r="A55" s="1" t="s">
        <v>148</v>
      </c>
      <c r="B55" s="2">
        <v>44577</v>
      </c>
      <c r="C55" s="1" t="s">
        <v>118</v>
      </c>
      <c r="D55" s="1" t="s">
        <v>54</v>
      </c>
      <c r="E55">
        <v>5</v>
      </c>
      <c r="F55" s="4">
        <v>760.39</v>
      </c>
      <c r="G55" s="3">
        <v>0.2</v>
      </c>
      <c r="H55" s="4">
        <v>97.34</v>
      </c>
    </row>
    <row r="56" spans="1:8" x14ac:dyDescent="0.3">
      <c r="A56" s="1" t="s">
        <v>149</v>
      </c>
      <c r="B56" s="2">
        <v>45242</v>
      </c>
      <c r="C56" s="1" t="s">
        <v>150</v>
      </c>
      <c r="D56" s="1" t="s">
        <v>16</v>
      </c>
      <c r="E56">
        <v>3</v>
      </c>
      <c r="F56" s="4">
        <v>1363.33</v>
      </c>
      <c r="G56" s="3">
        <v>0</v>
      </c>
      <c r="H56" s="4">
        <v>341.65</v>
      </c>
    </row>
    <row r="57" spans="1:8" x14ac:dyDescent="0.3">
      <c r="A57" s="1" t="s">
        <v>151</v>
      </c>
      <c r="B57" s="2">
        <v>45414</v>
      </c>
      <c r="C57" s="1" t="s">
        <v>47</v>
      </c>
      <c r="D57" s="1" t="s">
        <v>111</v>
      </c>
      <c r="E57">
        <v>1</v>
      </c>
      <c r="F57" s="4">
        <v>1611.35</v>
      </c>
      <c r="G57" s="3">
        <v>0.1</v>
      </c>
      <c r="H57" s="4">
        <v>427.58</v>
      </c>
    </row>
    <row r="58" spans="1:8" x14ac:dyDescent="0.3">
      <c r="A58" s="1" t="s">
        <v>152</v>
      </c>
      <c r="B58" s="2">
        <v>45120</v>
      </c>
      <c r="C58" s="1" t="s">
        <v>74</v>
      </c>
      <c r="D58" s="1" t="s">
        <v>116</v>
      </c>
      <c r="E58">
        <v>4</v>
      </c>
      <c r="F58" s="4">
        <v>1861.64</v>
      </c>
      <c r="G58" s="3">
        <v>0.1</v>
      </c>
      <c r="H58" s="4">
        <v>156.97999999999999</v>
      </c>
    </row>
    <row r="59" spans="1:8" x14ac:dyDescent="0.3">
      <c r="A59" s="1" t="s">
        <v>153</v>
      </c>
      <c r="B59" s="2">
        <v>45177</v>
      </c>
      <c r="C59" s="1" t="s">
        <v>154</v>
      </c>
      <c r="D59" s="1" t="s">
        <v>97</v>
      </c>
      <c r="E59">
        <v>2</v>
      </c>
      <c r="F59" s="4">
        <v>545.82000000000005</v>
      </c>
      <c r="G59" s="3">
        <v>0.3</v>
      </c>
      <c r="H59" s="4">
        <v>157.25</v>
      </c>
    </row>
    <row r="60" spans="1:8" x14ac:dyDescent="0.3">
      <c r="A60" s="1" t="s">
        <v>155</v>
      </c>
      <c r="B60" s="2">
        <v>44645</v>
      </c>
      <c r="C60" s="1" t="s">
        <v>12</v>
      </c>
      <c r="D60" s="1" t="s">
        <v>156</v>
      </c>
      <c r="E60">
        <v>4</v>
      </c>
      <c r="F60" s="4">
        <v>858.7</v>
      </c>
      <c r="G60" s="3">
        <v>0.1</v>
      </c>
      <c r="H60" s="4">
        <v>113.52</v>
      </c>
    </row>
    <row r="61" spans="1:8" x14ac:dyDescent="0.3">
      <c r="A61" s="1" t="s">
        <v>157</v>
      </c>
      <c r="B61" s="2">
        <v>45375</v>
      </c>
      <c r="C61" s="1" t="s">
        <v>158</v>
      </c>
      <c r="D61" s="1" t="s">
        <v>64</v>
      </c>
      <c r="E61">
        <v>2</v>
      </c>
      <c r="F61" s="4">
        <v>389.59</v>
      </c>
      <c r="G61" s="3">
        <v>0.3</v>
      </c>
      <c r="H61" s="4">
        <v>83.99</v>
      </c>
    </row>
    <row r="62" spans="1:8" x14ac:dyDescent="0.3">
      <c r="A62" s="1" t="s">
        <v>159</v>
      </c>
      <c r="B62" s="2">
        <v>44577</v>
      </c>
      <c r="C62" s="1" t="s">
        <v>160</v>
      </c>
      <c r="D62" s="1" t="s">
        <v>161</v>
      </c>
      <c r="E62">
        <v>2</v>
      </c>
      <c r="F62" s="4">
        <v>1985.72</v>
      </c>
      <c r="G62" s="3">
        <v>0</v>
      </c>
      <c r="H62" s="4">
        <v>472.51</v>
      </c>
    </row>
    <row r="63" spans="1:8" x14ac:dyDescent="0.3">
      <c r="A63" s="1" t="s">
        <v>162</v>
      </c>
      <c r="B63" s="2">
        <v>44802</v>
      </c>
      <c r="C63" s="1" t="s">
        <v>39</v>
      </c>
      <c r="D63" s="1" t="s">
        <v>163</v>
      </c>
      <c r="E63">
        <v>4</v>
      </c>
      <c r="F63" s="4">
        <v>1861.3</v>
      </c>
      <c r="G63" s="3">
        <v>0.1</v>
      </c>
      <c r="H63" s="4">
        <v>470.88</v>
      </c>
    </row>
    <row r="64" spans="1:8" x14ac:dyDescent="0.3">
      <c r="A64" s="1" t="s">
        <v>164</v>
      </c>
      <c r="B64" s="2">
        <v>45021</v>
      </c>
      <c r="C64" s="1" t="s">
        <v>165</v>
      </c>
      <c r="D64" s="1" t="s">
        <v>31</v>
      </c>
      <c r="E64">
        <v>5</v>
      </c>
      <c r="F64" s="4">
        <v>1125.92</v>
      </c>
      <c r="G64" s="3">
        <v>0.3</v>
      </c>
      <c r="H64" s="4">
        <v>322.51</v>
      </c>
    </row>
    <row r="65" spans="1:8" x14ac:dyDescent="0.3">
      <c r="A65" s="1" t="s">
        <v>166</v>
      </c>
      <c r="B65" s="2">
        <v>44761</v>
      </c>
      <c r="C65" s="1" t="s">
        <v>167</v>
      </c>
      <c r="D65" s="1" t="s">
        <v>141</v>
      </c>
      <c r="E65">
        <v>2</v>
      </c>
      <c r="F65" s="4">
        <v>1699.86</v>
      </c>
      <c r="G65" s="3">
        <v>0.2</v>
      </c>
      <c r="H65" s="4">
        <v>217.97</v>
      </c>
    </row>
    <row r="66" spans="1:8" x14ac:dyDescent="0.3">
      <c r="A66" s="1" t="s">
        <v>168</v>
      </c>
      <c r="B66" s="2">
        <v>44587</v>
      </c>
      <c r="C66" s="1" t="s">
        <v>169</v>
      </c>
      <c r="D66" s="1" t="s">
        <v>170</v>
      </c>
      <c r="E66">
        <v>2</v>
      </c>
      <c r="F66" s="4">
        <v>1089.82</v>
      </c>
      <c r="G66" s="3">
        <v>0.3</v>
      </c>
      <c r="H66" s="4">
        <v>288.39999999999998</v>
      </c>
    </row>
    <row r="67" spans="1:8" x14ac:dyDescent="0.3">
      <c r="A67" s="1" t="s">
        <v>171</v>
      </c>
      <c r="B67" s="2">
        <v>44701</v>
      </c>
      <c r="C67" s="1" t="s">
        <v>172</v>
      </c>
      <c r="D67" s="1" t="s">
        <v>16</v>
      </c>
      <c r="E67">
        <v>4</v>
      </c>
      <c r="F67" s="4">
        <v>1284.81</v>
      </c>
      <c r="G67" s="3">
        <v>0.1</v>
      </c>
      <c r="H67" s="4">
        <v>106.54</v>
      </c>
    </row>
    <row r="68" spans="1:8" x14ac:dyDescent="0.3">
      <c r="A68" s="1" t="s">
        <v>173</v>
      </c>
      <c r="B68" s="2">
        <v>45229</v>
      </c>
      <c r="C68" s="1" t="s">
        <v>174</v>
      </c>
      <c r="D68" s="1" t="s">
        <v>25</v>
      </c>
      <c r="E68">
        <v>2</v>
      </c>
      <c r="F68" s="4">
        <v>269.33999999999997</v>
      </c>
      <c r="G68" s="3">
        <v>0</v>
      </c>
      <c r="H68" s="4">
        <v>60.94</v>
      </c>
    </row>
    <row r="69" spans="1:8" x14ac:dyDescent="0.3">
      <c r="A69" s="1" t="s">
        <v>175</v>
      </c>
      <c r="B69" s="2">
        <v>44673</v>
      </c>
      <c r="C69" s="1" t="s">
        <v>176</v>
      </c>
      <c r="D69" s="1" t="s">
        <v>177</v>
      </c>
      <c r="E69">
        <v>2</v>
      </c>
      <c r="F69" s="4">
        <v>1535.01</v>
      </c>
      <c r="G69" s="3">
        <v>0.1</v>
      </c>
      <c r="H69" s="4">
        <v>361.49</v>
      </c>
    </row>
    <row r="70" spans="1:8" x14ac:dyDescent="0.3">
      <c r="A70" s="1" t="s">
        <v>178</v>
      </c>
      <c r="B70" s="2">
        <v>44737</v>
      </c>
      <c r="C70" s="1" t="s">
        <v>179</v>
      </c>
      <c r="D70" s="1" t="s">
        <v>180</v>
      </c>
      <c r="E70">
        <v>4</v>
      </c>
      <c r="F70" s="4">
        <v>342.66</v>
      </c>
      <c r="G70" s="3">
        <v>0.1</v>
      </c>
      <c r="H70" s="4">
        <v>75.19</v>
      </c>
    </row>
    <row r="71" spans="1:8" x14ac:dyDescent="0.3">
      <c r="A71" s="1" t="s">
        <v>181</v>
      </c>
      <c r="B71" s="2">
        <v>45057</v>
      </c>
      <c r="C71" s="1" t="s">
        <v>182</v>
      </c>
      <c r="D71" s="1" t="s">
        <v>70</v>
      </c>
      <c r="E71">
        <v>4</v>
      </c>
      <c r="F71" s="4">
        <v>1669.53</v>
      </c>
      <c r="G71" s="3">
        <v>0.3</v>
      </c>
      <c r="H71" s="4">
        <v>188.79</v>
      </c>
    </row>
    <row r="72" spans="1:8" x14ac:dyDescent="0.3">
      <c r="A72" s="1" t="s">
        <v>183</v>
      </c>
      <c r="B72" s="2">
        <v>44787</v>
      </c>
      <c r="C72" s="1" t="s">
        <v>184</v>
      </c>
      <c r="D72" s="1" t="s">
        <v>16</v>
      </c>
      <c r="E72">
        <v>1</v>
      </c>
      <c r="F72" s="4">
        <v>1585.85</v>
      </c>
      <c r="G72" s="3">
        <v>0.2</v>
      </c>
      <c r="H72" s="4">
        <v>425.42</v>
      </c>
    </row>
    <row r="73" spans="1:8" x14ac:dyDescent="0.3">
      <c r="A73" s="1" t="s">
        <v>185</v>
      </c>
      <c r="B73" s="2">
        <v>44907</v>
      </c>
      <c r="C73" s="1" t="s">
        <v>82</v>
      </c>
      <c r="D73" s="1" t="s">
        <v>186</v>
      </c>
      <c r="E73">
        <v>5</v>
      </c>
      <c r="F73" s="4">
        <v>1446.61</v>
      </c>
      <c r="G73" s="3">
        <v>0.1</v>
      </c>
      <c r="H73" s="4">
        <v>133.4</v>
      </c>
    </row>
    <row r="74" spans="1:8" x14ac:dyDescent="0.3">
      <c r="A74" s="1" t="s">
        <v>187</v>
      </c>
      <c r="B74" s="2">
        <v>44698</v>
      </c>
      <c r="C74" s="1" t="s">
        <v>36</v>
      </c>
      <c r="D74" s="1" t="s">
        <v>188</v>
      </c>
      <c r="E74">
        <v>5</v>
      </c>
      <c r="F74" s="4">
        <v>168.7</v>
      </c>
      <c r="G74" s="3">
        <v>0.2</v>
      </c>
      <c r="H74" s="4">
        <v>10.7</v>
      </c>
    </row>
    <row r="75" spans="1:8" x14ac:dyDescent="0.3">
      <c r="A75" s="1" t="s">
        <v>189</v>
      </c>
      <c r="B75" s="2">
        <v>44738</v>
      </c>
      <c r="C75" s="1" t="s">
        <v>190</v>
      </c>
      <c r="D75" s="1" t="s">
        <v>188</v>
      </c>
      <c r="E75">
        <v>2</v>
      </c>
      <c r="F75" s="4">
        <v>675.94</v>
      </c>
      <c r="G75" s="3">
        <v>0.3</v>
      </c>
      <c r="H75" s="4">
        <v>155.04</v>
      </c>
    </row>
    <row r="76" spans="1:8" x14ac:dyDescent="0.3">
      <c r="A76" s="1" t="s">
        <v>191</v>
      </c>
      <c r="B76" s="2">
        <v>44881</v>
      </c>
      <c r="C76" s="1" t="s">
        <v>192</v>
      </c>
      <c r="D76" s="1" t="s">
        <v>70</v>
      </c>
      <c r="E76">
        <v>5</v>
      </c>
      <c r="F76" s="4">
        <v>599.91</v>
      </c>
      <c r="G76" s="3">
        <v>0.2</v>
      </c>
      <c r="H76" s="4">
        <v>101.31</v>
      </c>
    </row>
    <row r="77" spans="1:8" x14ac:dyDescent="0.3">
      <c r="A77" s="1" t="s">
        <v>193</v>
      </c>
      <c r="B77" s="2">
        <v>44990</v>
      </c>
      <c r="C77" s="1" t="s">
        <v>194</v>
      </c>
      <c r="D77" s="1" t="s">
        <v>195</v>
      </c>
      <c r="E77">
        <v>2</v>
      </c>
      <c r="F77" s="4">
        <v>784.26</v>
      </c>
      <c r="G77" s="3">
        <v>0.3</v>
      </c>
      <c r="H77" s="4">
        <v>205.69</v>
      </c>
    </row>
    <row r="78" spans="1:8" x14ac:dyDescent="0.3">
      <c r="A78" s="1" t="s">
        <v>196</v>
      </c>
      <c r="B78" s="2">
        <v>44636</v>
      </c>
      <c r="C78" s="1" t="s">
        <v>106</v>
      </c>
      <c r="D78" s="1" t="s">
        <v>86</v>
      </c>
      <c r="E78">
        <v>1</v>
      </c>
      <c r="F78" s="4">
        <v>266.52</v>
      </c>
      <c r="G78" s="3">
        <v>0</v>
      </c>
      <c r="H78" s="4">
        <v>38.869999999999997</v>
      </c>
    </row>
    <row r="79" spans="1:8" x14ac:dyDescent="0.3">
      <c r="A79" s="1" t="s">
        <v>197</v>
      </c>
      <c r="B79" s="2">
        <v>45213</v>
      </c>
      <c r="C79" s="1" t="s">
        <v>198</v>
      </c>
      <c r="D79" s="1" t="s">
        <v>186</v>
      </c>
      <c r="E79">
        <v>4</v>
      </c>
      <c r="F79" s="4">
        <v>1880.22</v>
      </c>
      <c r="G79" s="3">
        <v>0.2</v>
      </c>
      <c r="H79" s="4">
        <v>173.11</v>
      </c>
    </row>
    <row r="80" spans="1:8" x14ac:dyDescent="0.3">
      <c r="A80" s="1" t="s">
        <v>199</v>
      </c>
      <c r="B80" s="2">
        <v>44841</v>
      </c>
      <c r="C80" s="1" t="s">
        <v>200</v>
      </c>
      <c r="D80" s="1" t="s">
        <v>201</v>
      </c>
      <c r="E80">
        <v>4</v>
      </c>
      <c r="F80" s="4">
        <v>1152.22</v>
      </c>
      <c r="G80" s="3">
        <v>0.2</v>
      </c>
      <c r="H80" s="4">
        <v>298.55</v>
      </c>
    </row>
    <row r="81" spans="1:8" x14ac:dyDescent="0.3">
      <c r="A81" s="1" t="s">
        <v>202</v>
      </c>
      <c r="B81" s="2">
        <v>44796</v>
      </c>
      <c r="C81" s="1" t="s">
        <v>203</v>
      </c>
      <c r="D81" s="1" t="s">
        <v>100</v>
      </c>
      <c r="E81">
        <v>4</v>
      </c>
      <c r="F81" s="4">
        <v>680.5</v>
      </c>
      <c r="G81" s="3">
        <v>0</v>
      </c>
      <c r="H81" s="4">
        <v>127.41</v>
      </c>
    </row>
    <row r="82" spans="1:8" x14ac:dyDescent="0.3">
      <c r="A82" s="1" t="s">
        <v>204</v>
      </c>
      <c r="B82" s="2">
        <v>45177</v>
      </c>
      <c r="C82" s="1" t="s">
        <v>205</v>
      </c>
      <c r="D82" s="1" t="s">
        <v>37</v>
      </c>
      <c r="E82">
        <v>5</v>
      </c>
      <c r="F82" s="4">
        <v>854.26</v>
      </c>
      <c r="G82" s="3">
        <v>0.2</v>
      </c>
      <c r="H82" s="4">
        <v>83.12</v>
      </c>
    </row>
    <row r="83" spans="1:8" x14ac:dyDescent="0.3">
      <c r="A83" s="1" t="s">
        <v>206</v>
      </c>
      <c r="B83" s="2">
        <v>44717</v>
      </c>
      <c r="C83" s="1" t="s">
        <v>176</v>
      </c>
      <c r="D83" s="1" t="s">
        <v>177</v>
      </c>
      <c r="E83">
        <v>1</v>
      </c>
      <c r="F83" s="4">
        <v>949.68</v>
      </c>
      <c r="G83" s="3">
        <v>0</v>
      </c>
      <c r="H83" s="4">
        <v>218.52</v>
      </c>
    </row>
    <row r="84" spans="1:8" x14ac:dyDescent="0.3">
      <c r="A84" s="1" t="s">
        <v>207</v>
      </c>
      <c r="B84" s="2">
        <v>44883</v>
      </c>
      <c r="C84" s="1" t="s">
        <v>208</v>
      </c>
      <c r="D84" s="1" t="s">
        <v>209</v>
      </c>
      <c r="E84">
        <v>5</v>
      </c>
      <c r="F84" s="4">
        <v>1241.1300000000001</v>
      </c>
      <c r="G84" s="3">
        <v>0.1</v>
      </c>
      <c r="H84" s="4">
        <v>220.65</v>
      </c>
    </row>
    <row r="85" spans="1:8" x14ac:dyDescent="0.3">
      <c r="A85" s="1" t="s">
        <v>210</v>
      </c>
      <c r="B85" s="2">
        <v>44639</v>
      </c>
      <c r="C85" s="1" t="s">
        <v>192</v>
      </c>
      <c r="D85" s="1" t="s">
        <v>211</v>
      </c>
      <c r="E85">
        <v>5</v>
      </c>
      <c r="F85" s="4">
        <v>1079.79</v>
      </c>
      <c r="G85" s="3">
        <v>0.3</v>
      </c>
      <c r="H85" s="4">
        <v>217.12</v>
      </c>
    </row>
    <row r="86" spans="1:8" x14ac:dyDescent="0.3">
      <c r="A86" s="1" t="s">
        <v>212</v>
      </c>
      <c r="B86" s="2">
        <v>45273</v>
      </c>
      <c r="C86" s="1" t="s">
        <v>213</v>
      </c>
      <c r="D86" s="1" t="s">
        <v>177</v>
      </c>
      <c r="E86">
        <v>1</v>
      </c>
      <c r="F86" s="4">
        <v>1846.84</v>
      </c>
      <c r="G86" s="3">
        <v>0</v>
      </c>
      <c r="H86" s="4">
        <v>305.14</v>
      </c>
    </row>
    <row r="87" spans="1:8" x14ac:dyDescent="0.3">
      <c r="A87" s="1" t="s">
        <v>214</v>
      </c>
      <c r="B87" s="2">
        <v>45204</v>
      </c>
      <c r="C87" s="1" t="s">
        <v>138</v>
      </c>
      <c r="D87" s="1" t="s">
        <v>215</v>
      </c>
      <c r="E87">
        <v>1</v>
      </c>
      <c r="F87" s="4">
        <v>1044.23</v>
      </c>
      <c r="G87" s="3">
        <v>0.2</v>
      </c>
      <c r="H87" s="4">
        <v>268.55</v>
      </c>
    </row>
    <row r="88" spans="1:8" x14ac:dyDescent="0.3">
      <c r="A88" s="1" t="s">
        <v>216</v>
      </c>
      <c r="B88" s="2">
        <v>44953</v>
      </c>
      <c r="C88" s="1" t="s">
        <v>217</v>
      </c>
      <c r="D88" s="1" t="s">
        <v>218</v>
      </c>
      <c r="E88">
        <v>1</v>
      </c>
      <c r="F88" s="4">
        <v>1985.1</v>
      </c>
      <c r="G88" s="3">
        <v>0</v>
      </c>
      <c r="H88" s="4">
        <v>510.95</v>
      </c>
    </row>
    <row r="89" spans="1:8" x14ac:dyDescent="0.3">
      <c r="A89" s="1" t="s">
        <v>219</v>
      </c>
      <c r="B89" s="2">
        <v>44730</v>
      </c>
      <c r="C89" s="1" t="s">
        <v>220</v>
      </c>
      <c r="D89" s="1" t="s">
        <v>221</v>
      </c>
      <c r="E89">
        <v>1</v>
      </c>
      <c r="F89" s="4">
        <v>1717.71</v>
      </c>
      <c r="G89" s="3">
        <v>0.2</v>
      </c>
      <c r="H89" s="4">
        <v>390.52</v>
      </c>
    </row>
    <row r="90" spans="1:8" x14ac:dyDescent="0.3">
      <c r="A90" s="1" t="s">
        <v>222</v>
      </c>
      <c r="B90" s="2">
        <v>44637</v>
      </c>
      <c r="C90" s="1" t="s">
        <v>223</v>
      </c>
      <c r="D90" s="1" t="s">
        <v>19</v>
      </c>
      <c r="E90">
        <v>4</v>
      </c>
      <c r="F90" s="4">
        <v>496.17</v>
      </c>
      <c r="G90" s="3">
        <v>0.1</v>
      </c>
      <c r="H90" s="4">
        <v>37.880000000000003</v>
      </c>
    </row>
    <row r="91" spans="1:8" x14ac:dyDescent="0.3">
      <c r="A91" s="1" t="s">
        <v>224</v>
      </c>
      <c r="B91" s="2">
        <v>44997</v>
      </c>
      <c r="C91" s="1" t="s">
        <v>225</v>
      </c>
      <c r="D91" s="1" t="s">
        <v>226</v>
      </c>
      <c r="E91">
        <v>3</v>
      </c>
      <c r="F91" s="4">
        <v>1868.13</v>
      </c>
      <c r="G91" s="3">
        <v>0</v>
      </c>
      <c r="H91" s="4">
        <v>485.18</v>
      </c>
    </row>
    <row r="92" spans="1:8" x14ac:dyDescent="0.3">
      <c r="A92" s="1" t="s">
        <v>227</v>
      </c>
      <c r="B92" s="2">
        <v>45449</v>
      </c>
      <c r="C92" s="1" t="s">
        <v>228</v>
      </c>
      <c r="D92" s="1" t="s">
        <v>226</v>
      </c>
      <c r="E92">
        <v>3</v>
      </c>
      <c r="F92" s="4">
        <v>321.10000000000002</v>
      </c>
      <c r="G92" s="3">
        <v>0.1</v>
      </c>
      <c r="H92" s="4">
        <v>69.92</v>
      </c>
    </row>
    <row r="93" spans="1:8" x14ac:dyDescent="0.3">
      <c r="A93" s="1" t="s">
        <v>229</v>
      </c>
      <c r="B93" s="2">
        <v>44586</v>
      </c>
      <c r="C93" s="1" t="s">
        <v>129</v>
      </c>
      <c r="D93" s="1" t="s">
        <v>43</v>
      </c>
      <c r="E93">
        <v>1</v>
      </c>
      <c r="F93" s="4">
        <v>1653.15</v>
      </c>
      <c r="G93" s="3">
        <v>0.3</v>
      </c>
      <c r="H93" s="4">
        <v>370.73</v>
      </c>
    </row>
    <row r="94" spans="1:8" x14ac:dyDescent="0.3">
      <c r="A94" s="1" t="s">
        <v>230</v>
      </c>
      <c r="B94" s="2">
        <v>45050</v>
      </c>
      <c r="C94" s="1" t="s">
        <v>231</v>
      </c>
      <c r="D94" s="1" t="s">
        <v>122</v>
      </c>
      <c r="E94">
        <v>3</v>
      </c>
      <c r="F94" s="4">
        <v>823.18</v>
      </c>
      <c r="G94" s="3">
        <v>0.2</v>
      </c>
      <c r="H94" s="4">
        <v>115.86</v>
      </c>
    </row>
    <row r="95" spans="1:8" x14ac:dyDescent="0.3">
      <c r="A95" s="1" t="s">
        <v>232</v>
      </c>
      <c r="B95" s="2">
        <v>45145</v>
      </c>
      <c r="C95" s="1" t="s">
        <v>233</v>
      </c>
      <c r="D95" s="1" t="s">
        <v>234</v>
      </c>
      <c r="E95">
        <v>3</v>
      </c>
      <c r="F95" s="4">
        <v>1768.15</v>
      </c>
      <c r="G95" s="3">
        <v>0.2</v>
      </c>
      <c r="H95" s="4">
        <v>477.08</v>
      </c>
    </row>
    <row r="96" spans="1:8" x14ac:dyDescent="0.3">
      <c r="A96" s="1" t="s">
        <v>235</v>
      </c>
      <c r="B96" s="2">
        <v>44979</v>
      </c>
      <c r="C96" s="1" t="s">
        <v>74</v>
      </c>
      <c r="D96" s="1" t="s">
        <v>16</v>
      </c>
      <c r="E96">
        <v>1</v>
      </c>
      <c r="F96" s="4">
        <v>1749.31</v>
      </c>
      <c r="G96" s="3">
        <v>0.1</v>
      </c>
      <c r="H96" s="4">
        <v>404.69</v>
      </c>
    </row>
    <row r="97" spans="1:8" x14ac:dyDescent="0.3">
      <c r="A97" s="1" t="s">
        <v>236</v>
      </c>
      <c r="B97" s="2">
        <v>45411</v>
      </c>
      <c r="C97" s="1" t="s">
        <v>9</v>
      </c>
      <c r="D97" s="1" t="s">
        <v>218</v>
      </c>
      <c r="E97">
        <v>3</v>
      </c>
      <c r="F97" s="4">
        <v>1631.26</v>
      </c>
      <c r="G97" s="3">
        <v>0.3</v>
      </c>
      <c r="H97" s="4">
        <v>127.48</v>
      </c>
    </row>
    <row r="98" spans="1:8" x14ac:dyDescent="0.3">
      <c r="A98" s="1" t="s">
        <v>237</v>
      </c>
      <c r="B98" s="2">
        <v>45051</v>
      </c>
      <c r="C98" s="1" t="s">
        <v>238</v>
      </c>
      <c r="D98" s="1" t="s">
        <v>239</v>
      </c>
      <c r="E98">
        <v>5</v>
      </c>
      <c r="F98" s="4">
        <v>1601.06</v>
      </c>
      <c r="G98" s="3">
        <v>0</v>
      </c>
      <c r="H98" s="4">
        <v>243.27</v>
      </c>
    </row>
    <row r="99" spans="1:8" x14ac:dyDescent="0.3">
      <c r="A99" s="1" t="s">
        <v>240</v>
      </c>
      <c r="B99" s="2">
        <v>45103</v>
      </c>
      <c r="C99" s="1" t="s">
        <v>15</v>
      </c>
      <c r="D99" s="1" t="s">
        <v>218</v>
      </c>
      <c r="E99">
        <v>2</v>
      </c>
      <c r="F99" s="4">
        <v>678.89</v>
      </c>
      <c r="G99" s="3">
        <v>0</v>
      </c>
      <c r="H99" s="4">
        <v>184.38</v>
      </c>
    </row>
    <row r="100" spans="1:8" x14ac:dyDescent="0.3">
      <c r="A100" s="1" t="s">
        <v>241</v>
      </c>
      <c r="B100" s="2">
        <v>45371</v>
      </c>
      <c r="C100" s="1" t="s">
        <v>158</v>
      </c>
      <c r="D100" s="1" t="s">
        <v>242</v>
      </c>
      <c r="E100">
        <v>2</v>
      </c>
      <c r="F100" s="4">
        <v>253.75</v>
      </c>
      <c r="G100" s="3">
        <v>0.2</v>
      </c>
      <c r="H100" s="4">
        <v>15.68</v>
      </c>
    </row>
    <row r="101" spans="1:8" x14ac:dyDescent="0.3">
      <c r="A101" s="1" t="s">
        <v>243</v>
      </c>
      <c r="B101" s="2">
        <v>44617</v>
      </c>
      <c r="C101" s="1" t="s">
        <v>244</v>
      </c>
      <c r="D101" s="1" t="s">
        <v>100</v>
      </c>
      <c r="E101">
        <v>1</v>
      </c>
      <c r="F101" s="4">
        <v>865.66</v>
      </c>
      <c r="G101" s="3">
        <v>0.1</v>
      </c>
      <c r="H101" s="4">
        <v>251.35</v>
      </c>
    </row>
    <row r="102" spans="1:8" x14ac:dyDescent="0.3">
      <c r="A102" s="1" t="s">
        <v>245</v>
      </c>
      <c r="B102" s="2">
        <v>45453</v>
      </c>
      <c r="C102" s="1" t="s">
        <v>246</v>
      </c>
      <c r="D102" s="1" t="s">
        <v>161</v>
      </c>
      <c r="E102">
        <v>4</v>
      </c>
      <c r="F102" s="4">
        <v>429.7</v>
      </c>
      <c r="G102" s="3">
        <v>0.1</v>
      </c>
      <c r="H102" s="4">
        <v>94.44</v>
      </c>
    </row>
    <row r="103" spans="1:8" x14ac:dyDescent="0.3">
      <c r="A103" s="1" t="s">
        <v>247</v>
      </c>
      <c r="B103" s="2">
        <v>44624</v>
      </c>
      <c r="C103" s="1" t="s">
        <v>248</v>
      </c>
      <c r="D103" s="1" t="s">
        <v>249</v>
      </c>
      <c r="E103">
        <v>1</v>
      </c>
      <c r="F103" s="4">
        <v>1420.41</v>
      </c>
      <c r="G103" s="3">
        <v>0</v>
      </c>
      <c r="H103" s="4">
        <v>295.22000000000003</v>
      </c>
    </row>
    <row r="104" spans="1:8" x14ac:dyDescent="0.3">
      <c r="A104" s="1" t="s">
        <v>250</v>
      </c>
      <c r="B104" s="2">
        <v>45089</v>
      </c>
      <c r="C104" s="1" t="s">
        <v>134</v>
      </c>
      <c r="D104" s="1" t="s">
        <v>130</v>
      </c>
      <c r="E104">
        <v>4</v>
      </c>
      <c r="F104" s="4">
        <v>757.59</v>
      </c>
      <c r="G104" s="3">
        <v>0.3</v>
      </c>
      <c r="H104" s="4">
        <v>89.12</v>
      </c>
    </row>
    <row r="105" spans="1:8" x14ac:dyDescent="0.3">
      <c r="A105" s="1" t="s">
        <v>251</v>
      </c>
      <c r="B105" s="2">
        <v>44588</v>
      </c>
      <c r="C105" s="1" t="s">
        <v>252</v>
      </c>
      <c r="D105" s="1" t="s">
        <v>253</v>
      </c>
      <c r="E105">
        <v>2</v>
      </c>
      <c r="F105" s="4">
        <v>1953.66</v>
      </c>
      <c r="G105" s="3">
        <v>0.3</v>
      </c>
      <c r="H105" s="4">
        <v>219.2</v>
      </c>
    </row>
    <row r="106" spans="1:8" x14ac:dyDescent="0.3">
      <c r="A106" s="1" t="s">
        <v>254</v>
      </c>
      <c r="B106" s="2">
        <v>44630</v>
      </c>
      <c r="C106" s="1" t="s">
        <v>192</v>
      </c>
      <c r="D106" s="1" t="s">
        <v>67</v>
      </c>
      <c r="E106">
        <v>1</v>
      </c>
      <c r="F106" s="4">
        <v>1317.85</v>
      </c>
      <c r="G106" s="3">
        <v>0</v>
      </c>
      <c r="H106" s="4">
        <v>376.27</v>
      </c>
    </row>
    <row r="107" spans="1:8" x14ac:dyDescent="0.3">
      <c r="A107" s="1" t="s">
        <v>255</v>
      </c>
      <c r="B107" s="2">
        <v>45163</v>
      </c>
      <c r="C107" s="1" t="s">
        <v>124</v>
      </c>
      <c r="D107" s="1" t="s">
        <v>256</v>
      </c>
      <c r="E107">
        <v>5</v>
      </c>
      <c r="F107" s="4">
        <v>1662.71</v>
      </c>
      <c r="G107" s="3">
        <v>0</v>
      </c>
      <c r="H107" s="4">
        <v>207.12</v>
      </c>
    </row>
    <row r="108" spans="1:8" x14ac:dyDescent="0.3">
      <c r="A108" s="1" t="s">
        <v>257</v>
      </c>
      <c r="B108" s="2">
        <v>45011</v>
      </c>
      <c r="C108" s="1" t="s">
        <v>27</v>
      </c>
      <c r="D108" s="1" t="s">
        <v>258</v>
      </c>
      <c r="E108">
        <v>3</v>
      </c>
      <c r="F108" s="4">
        <v>351.8</v>
      </c>
      <c r="G108" s="3">
        <v>0.1</v>
      </c>
      <c r="H108" s="4">
        <v>85.8</v>
      </c>
    </row>
    <row r="109" spans="1:8" x14ac:dyDescent="0.3">
      <c r="A109" s="1" t="s">
        <v>259</v>
      </c>
      <c r="B109" s="2">
        <v>44635</v>
      </c>
      <c r="C109" s="1" t="s">
        <v>260</v>
      </c>
      <c r="D109" s="1" t="s">
        <v>161</v>
      </c>
      <c r="E109">
        <v>4</v>
      </c>
      <c r="F109" s="4">
        <v>1737.83</v>
      </c>
      <c r="G109" s="3">
        <v>0.3</v>
      </c>
      <c r="H109" s="4">
        <v>257.69</v>
      </c>
    </row>
    <row r="110" spans="1:8" x14ac:dyDescent="0.3">
      <c r="A110" s="1" t="s">
        <v>261</v>
      </c>
      <c r="B110" s="2">
        <v>45258</v>
      </c>
      <c r="C110" s="1" t="s">
        <v>262</v>
      </c>
      <c r="D110" s="1" t="s">
        <v>263</v>
      </c>
      <c r="E110">
        <v>3</v>
      </c>
      <c r="F110" s="4">
        <v>1853.24</v>
      </c>
      <c r="G110" s="3">
        <v>0</v>
      </c>
      <c r="H110" s="4">
        <v>157.18</v>
      </c>
    </row>
    <row r="111" spans="1:8" x14ac:dyDescent="0.3">
      <c r="A111" s="1" t="s">
        <v>264</v>
      </c>
      <c r="B111" s="2">
        <v>45153</v>
      </c>
      <c r="C111" s="1" t="s">
        <v>265</v>
      </c>
      <c r="D111" s="1" t="s">
        <v>16</v>
      </c>
      <c r="E111">
        <v>3</v>
      </c>
      <c r="F111" s="4">
        <v>1025.42</v>
      </c>
      <c r="G111" s="3">
        <v>0</v>
      </c>
      <c r="H111" s="4">
        <v>54.02</v>
      </c>
    </row>
    <row r="112" spans="1:8" x14ac:dyDescent="0.3">
      <c r="A112" s="1" t="s">
        <v>266</v>
      </c>
      <c r="B112" s="2">
        <v>44883</v>
      </c>
      <c r="C112" s="1" t="s">
        <v>36</v>
      </c>
      <c r="D112" s="1" t="s">
        <v>16</v>
      </c>
      <c r="E112">
        <v>1</v>
      </c>
      <c r="F112" s="4">
        <v>1251.8800000000001</v>
      </c>
      <c r="G112" s="3">
        <v>0.2</v>
      </c>
      <c r="H112" s="4">
        <v>232.93</v>
      </c>
    </row>
    <row r="113" spans="1:8" x14ac:dyDescent="0.3">
      <c r="A113" s="1" t="s">
        <v>267</v>
      </c>
      <c r="B113" s="2">
        <v>44946</v>
      </c>
      <c r="C113" s="1" t="s">
        <v>268</v>
      </c>
      <c r="D113" s="1" t="s">
        <v>269</v>
      </c>
      <c r="E113">
        <v>3</v>
      </c>
      <c r="F113" s="4">
        <v>1553.14</v>
      </c>
      <c r="G113" s="3">
        <v>0</v>
      </c>
      <c r="H113" s="4">
        <v>456.54</v>
      </c>
    </row>
    <row r="114" spans="1:8" x14ac:dyDescent="0.3">
      <c r="A114" s="1" t="s">
        <v>270</v>
      </c>
      <c r="B114" s="2">
        <v>45415</v>
      </c>
      <c r="C114" s="1" t="s">
        <v>271</v>
      </c>
      <c r="D114" s="1" t="s">
        <v>180</v>
      </c>
      <c r="E114">
        <v>5</v>
      </c>
      <c r="F114" s="4">
        <v>432.19</v>
      </c>
      <c r="G114" s="3">
        <v>0</v>
      </c>
      <c r="H114" s="4">
        <v>61.49</v>
      </c>
    </row>
    <row r="115" spans="1:8" x14ac:dyDescent="0.3">
      <c r="A115" s="1" t="s">
        <v>272</v>
      </c>
      <c r="B115" s="2">
        <v>44592</v>
      </c>
      <c r="C115" s="1" t="s">
        <v>273</v>
      </c>
      <c r="D115" s="1" t="s">
        <v>40</v>
      </c>
      <c r="E115">
        <v>3</v>
      </c>
      <c r="F115" s="4">
        <v>1054.8800000000001</v>
      </c>
      <c r="G115" s="3">
        <v>0.3</v>
      </c>
      <c r="H115" s="4">
        <v>146.94</v>
      </c>
    </row>
    <row r="116" spans="1:8" x14ac:dyDescent="0.3">
      <c r="A116" s="1" t="s">
        <v>274</v>
      </c>
      <c r="B116" s="2">
        <v>45039</v>
      </c>
      <c r="C116" s="1" t="s">
        <v>91</v>
      </c>
      <c r="D116" s="1" t="s">
        <v>275</v>
      </c>
      <c r="E116">
        <v>1</v>
      </c>
      <c r="F116" s="4">
        <v>857.46</v>
      </c>
      <c r="G116" s="3">
        <v>0.1</v>
      </c>
      <c r="H116" s="4">
        <v>116.63</v>
      </c>
    </row>
    <row r="117" spans="1:8" x14ac:dyDescent="0.3">
      <c r="A117" s="1" t="s">
        <v>276</v>
      </c>
      <c r="B117" s="2">
        <v>44769</v>
      </c>
      <c r="C117" s="1" t="s">
        <v>277</v>
      </c>
      <c r="D117" s="1" t="s">
        <v>278</v>
      </c>
      <c r="E117">
        <v>5</v>
      </c>
      <c r="F117" s="4">
        <v>378.11</v>
      </c>
      <c r="G117" s="3">
        <v>0.3</v>
      </c>
      <c r="H117" s="4">
        <v>68.11</v>
      </c>
    </row>
    <row r="118" spans="1:8" x14ac:dyDescent="0.3">
      <c r="A118" s="1" t="s">
        <v>279</v>
      </c>
      <c r="B118" s="2">
        <v>45350</v>
      </c>
      <c r="C118" s="1" t="s">
        <v>280</v>
      </c>
      <c r="D118" s="1" t="s">
        <v>156</v>
      </c>
      <c r="E118">
        <v>2</v>
      </c>
      <c r="F118" s="4">
        <v>798.32</v>
      </c>
      <c r="G118" s="3">
        <v>0.1</v>
      </c>
      <c r="H118" s="4">
        <v>127.86</v>
      </c>
    </row>
    <row r="119" spans="1:8" x14ac:dyDescent="0.3">
      <c r="A119" s="1" t="s">
        <v>281</v>
      </c>
      <c r="B119" s="2">
        <v>45082</v>
      </c>
      <c r="C119" s="1" t="s">
        <v>282</v>
      </c>
      <c r="D119" s="1" t="s">
        <v>283</v>
      </c>
      <c r="E119">
        <v>3</v>
      </c>
      <c r="F119" s="4">
        <v>229.53</v>
      </c>
      <c r="G119" s="3">
        <v>0.2</v>
      </c>
      <c r="H119" s="4">
        <v>61.97</v>
      </c>
    </row>
    <row r="120" spans="1:8" x14ac:dyDescent="0.3">
      <c r="A120" s="1" t="s">
        <v>284</v>
      </c>
      <c r="B120" s="2">
        <v>44740</v>
      </c>
      <c r="C120" s="1" t="s">
        <v>285</v>
      </c>
      <c r="D120" s="1" t="s">
        <v>283</v>
      </c>
      <c r="E120">
        <v>1</v>
      </c>
      <c r="F120" s="4">
        <v>149.04</v>
      </c>
      <c r="G120" s="3">
        <v>0</v>
      </c>
      <c r="H120" s="4">
        <v>26.29</v>
      </c>
    </row>
    <row r="121" spans="1:8" x14ac:dyDescent="0.3">
      <c r="A121" s="1" t="s">
        <v>286</v>
      </c>
      <c r="B121" s="2">
        <v>44678</v>
      </c>
      <c r="C121" s="1" t="s">
        <v>287</v>
      </c>
      <c r="D121" s="1" t="s">
        <v>288</v>
      </c>
      <c r="E121">
        <v>2</v>
      </c>
      <c r="F121" s="4">
        <v>356.82</v>
      </c>
      <c r="G121" s="3">
        <v>0.2</v>
      </c>
      <c r="H121" s="4">
        <v>63.14</v>
      </c>
    </row>
    <row r="122" spans="1:8" x14ac:dyDescent="0.3">
      <c r="A122" s="1" t="s">
        <v>289</v>
      </c>
      <c r="B122" s="2">
        <v>45206</v>
      </c>
      <c r="C122" s="1" t="s">
        <v>290</v>
      </c>
      <c r="D122" s="1" t="s">
        <v>147</v>
      </c>
      <c r="E122">
        <v>2</v>
      </c>
      <c r="F122" s="4">
        <v>1929.92</v>
      </c>
      <c r="G122" s="3">
        <v>0.1</v>
      </c>
      <c r="H122" s="4">
        <v>163.26</v>
      </c>
    </row>
    <row r="123" spans="1:8" x14ac:dyDescent="0.3">
      <c r="A123" s="1" t="s">
        <v>291</v>
      </c>
      <c r="B123" s="2">
        <v>45301</v>
      </c>
      <c r="C123" s="1" t="s">
        <v>292</v>
      </c>
      <c r="D123" s="1" t="s">
        <v>221</v>
      </c>
      <c r="E123">
        <v>4</v>
      </c>
      <c r="F123" s="4">
        <v>1144.1099999999999</v>
      </c>
      <c r="G123" s="3">
        <v>0.3</v>
      </c>
      <c r="H123" s="4">
        <v>338.3</v>
      </c>
    </row>
    <row r="124" spans="1:8" x14ac:dyDescent="0.3">
      <c r="A124" s="1" t="s">
        <v>293</v>
      </c>
      <c r="B124" s="2">
        <v>44911</v>
      </c>
      <c r="C124" s="1" t="s">
        <v>169</v>
      </c>
      <c r="D124" s="1" t="s">
        <v>294</v>
      </c>
      <c r="E124">
        <v>5</v>
      </c>
      <c r="F124" s="4">
        <v>1935.06</v>
      </c>
      <c r="G124" s="3">
        <v>0.3</v>
      </c>
      <c r="H124" s="4">
        <v>217.68</v>
      </c>
    </row>
    <row r="125" spans="1:8" x14ac:dyDescent="0.3">
      <c r="A125" s="1" t="s">
        <v>295</v>
      </c>
      <c r="B125" s="2">
        <v>45222</v>
      </c>
      <c r="C125" s="1" t="s">
        <v>172</v>
      </c>
      <c r="D125" s="1" t="s">
        <v>296</v>
      </c>
      <c r="E125">
        <v>3</v>
      </c>
      <c r="F125" s="4">
        <v>921.75</v>
      </c>
      <c r="G125" s="3">
        <v>0.2</v>
      </c>
      <c r="H125" s="4">
        <v>62.99</v>
      </c>
    </row>
    <row r="126" spans="1:8" x14ac:dyDescent="0.3">
      <c r="A126" s="1" t="s">
        <v>297</v>
      </c>
      <c r="B126" s="2">
        <v>45459</v>
      </c>
      <c r="C126" s="1" t="s">
        <v>118</v>
      </c>
      <c r="D126" s="1" t="s">
        <v>209</v>
      </c>
      <c r="E126">
        <v>1</v>
      </c>
      <c r="F126" s="4">
        <v>692.45</v>
      </c>
      <c r="G126" s="3">
        <v>0.1</v>
      </c>
      <c r="H126" s="4">
        <v>149.41999999999999</v>
      </c>
    </row>
    <row r="127" spans="1:8" x14ac:dyDescent="0.3">
      <c r="A127" s="1" t="s">
        <v>298</v>
      </c>
      <c r="B127" s="2">
        <v>45289</v>
      </c>
      <c r="C127" s="1" t="s">
        <v>220</v>
      </c>
      <c r="D127" s="1" t="s">
        <v>239</v>
      </c>
      <c r="E127">
        <v>4</v>
      </c>
      <c r="F127" s="4">
        <v>1061.67</v>
      </c>
      <c r="G127" s="3">
        <v>0.2</v>
      </c>
      <c r="H127" s="4">
        <v>211.1</v>
      </c>
    </row>
    <row r="128" spans="1:8" x14ac:dyDescent="0.3">
      <c r="A128" s="1" t="s">
        <v>299</v>
      </c>
      <c r="B128" s="2">
        <v>44690</v>
      </c>
      <c r="C128" s="1" t="s">
        <v>300</v>
      </c>
      <c r="D128" s="1" t="s">
        <v>301</v>
      </c>
      <c r="E128">
        <v>5</v>
      </c>
      <c r="F128" s="4">
        <v>935.07</v>
      </c>
      <c r="G128" s="3">
        <v>0.2</v>
      </c>
      <c r="H128" s="4">
        <v>143.80000000000001</v>
      </c>
    </row>
    <row r="129" spans="1:8" x14ac:dyDescent="0.3">
      <c r="A129" s="1" t="s">
        <v>302</v>
      </c>
      <c r="B129" s="2">
        <v>45426</v>
      </c>
      <c r="C129" s="1" t="s">
        <v>238</v>
      </c>
      <c r="D129" s="1" t="s">
        <v>209</v>
      </c>
      <c r="E129">
        <v>4</v>
      </c>
      <c r="F129" s="4">
        <v>300.76</v>
      </c>
      <c r="G129" s="3">
        <v>0</v>
      </c>
      <c r="H129" s="4">
        <v>46.78</v>
      </c>
    </row>
    <row r="130" spans="1:8" x14ac:dyDescent="0.3">
      <c r="A130" s="1" t="s">
        <v>303</v>
      </c>
      <c r="B130" s="2">
        <v>44982</v>
      </c>
      <c r="C130" s="1" t="s">
        <v>33</v>
      </c>
      <c r="D130" s="1" t="s">
        <v>304</v>
      </c>
      <c r="E130">
        <v>5</v>
      </c>
      <c r="F130" s="4">
        <v>1317.57</v>
      </c>
      <c r="G130" s="3">
        <v>0.2</v>
      </c>
      <c r="H130" s="4">
        <v>324.47000000000003</v>
      </c>
    </row>
    <row r="131" spans="1:8" x14ac:dyDescent="0.3">
      <c r="A131" s="1" t="s">
        <v>305</v>
      </c>
      <c r="B131" s="2">
        <v>45260</v>
      </c>
      <c r="C131" s="1" t="s">
        <v>306</v>
      </c>
      <c r="D131" s="1" t="s">
        <v>75</v>
      </c>
      <c r="E131">
        <v>5</v>
      </c>
      <c r="F131" s="4">
        <v>510.47</v>
      </c>
      <c r="G131" s="3">
        <v>0</v>
      </c>
      <c r="H131" s="4">
        <v>50.5</v>
      </c>
    </row>
    <row r="132" spans="1:8" x14ac:dyDescent="0.3">
      <c r="A132" s="1" t="s">
        <v>307</v>
      </c>
      <c r="B132" s="2">
        <v>44918</v>
      </c>
      <c r="C132" s="1" t="s">
        <v>308</v>
      </c>
      <c r="D132" s="1" t="s">
        <v>309</v>
      </c>
      <c r="E132">
        <v>3</v>
      </c>
      <c r="F132" s="4">
        <v>1277.22</v>
      </c>
      <c r="G132" s="3">
        <v>0</v>
      </c>
      <c r="H132" s="4">
        <v>325.77</v>
      </c>
    </row>
    <row r="133" spans="1:8" x14ac:dyDescent="0.3">
      <c r="A133" s="1" t="s">
        <v>310</v>
      </c>
      <c r="B133" s="2">
        <v>45389</v>
      </c>
      <c r="C133" s="1" t="s">
        <v>121</v>
      </c>
      <c r="D133" s="1" t="s">
        <v>119</v>
      </c>
      <c r="E133">
        <v>5</v>
      </c>
      <c r="F133" s="4">
        <v>1335.38</v>
      </c>
      <c r="G133" s="3">
        <v>0.3</v>
      </c>
      <c r="H133" s="4">
        <v>283.35000000000002</v>
      </c>
    </row>
    <row r="134" spans="1:8" x14ac:dyDescent="0.3">
      <c r="A134" s="1" t="s">
        <v>311</v>
      </c>
      <c r="B134" s="2">
        <v>45293</v>
      </c>
      <c r="C134" s="1" t="s">
        <v>277</v>
      </c>
      <c r="D134" s="1" t="s">
        <v>75</v>
      </c>
      <c r="E134">
        <v>4</v>
      </c>
      <c r="F134" s="4">
        <v>388.85</v>
      </c>
      <c r="G134" s="3">
        <v>0</v>
      </c>
      <c r="H134" s="4">
        <v>60.17</v>
      </c>
    </row>
    <row r="135" spans="1:8" x14ac:dyDescent="0.3">
      <c r="A135" s="1" t="s">
        <v>312</v>
      </c>
      <c r="B135" s="2">
        <v>44953</v>
      </c>
      <c r="C135" s="1" t="s">
        <v>313</v>
      </c>
      <c r="D135" s="1" t="s">
        <v>314</v>
      </c>
      <c r="E135">
        <v>5</v>
      </c>
      <c r="F135" s="4">
        <v>216.56</v>
      </c>
      <c r="G135" s="3">
        <v>0</v>
      </c>
      <c r="H135" s="4">
        <v>35.630000000000003</v>
      </c>
    </row>
    <row r="136" spans="1:8" x14ac:dyDescent="0.3">
      <c r="A136" s="1" t="s">
        <v>315</v>
      </c>
      <c r="B136" s="2">
        <v>44956</v>
      </c>
      <c r="C136" s="1" t="s">
        <v>316</v>
      </c>
      <c r="D136" s="1" t="s">
        <v>48</v>
      </c>
      <c r="E136">
        <v>3</v>
      </c>
      <c r="F136" s="4">
        <v>1583.45</v>
      </c>
      <c r="G136" s="3">
        <v>0.3</v>
      </c>
      <c r="H136" s="4">
        <v>180.77</v>
      </c>
    </row>
    <row r="137" spans="1:8" x14ac:dyDescent="0.3">
      <c r="A137" s="1" t="s">
        <v>317</v>
      </c>
      <c r="B137" s="2">
        <v>45397</v>
      </c>
      <c r="C137" s="1" t="s">
        <v>287</v>
      </c>
      <c r="D137" s="1" t="s">
        <v>116</v>
      </c>
      <c r="E137">
        <v>3</v>
      </c>
      <c r="F137" s="4">
        <v>973.62</v>
      </c>
      <c r="G137" s="3">
        <v>0.2</v>
      </c>
      <c r="H137" s="4">
        <v>231.75</v>
      </c>
    </row>
    <row r="138" spans="1:8" x14ac:dyDescent="0.3">
      <c r="A138" s="1" t="s">
        <v>318</v>
      </c>
      <c r="B138" s="2">
        <v>44724</v>
      </c>
      <c r="C138" s="1" t="s">
        <v>319</v>
      </c>
      <c r="D138" s="1" t="s">
        <v>67</v>
      </c>
      <c r="E138">
        <v>4</v>
      </c>
      <c r="F138" s="4">
        <v>210.51</v>
      </c>
      <c r="G138" s="3">
        <v>0.1</v>
      </c>
      <c r="H138" s="4">
        <v>37.520000000000003</v>
      </c>
    </row>
    <row r="139" spans="1:8" x14ac:dyDescent="0.3">
      <c r="A139" s="1" t="s">
        <v>320</v>
      </c>
      <c r="B139" s="2">
        <v>45051</v>
      </c>
      <c r="C139" s="1" t="s">
        <v>321</v>
      </c>
      <c r="D139" s="1" t="s">
        <v>141</v>
      </c>
      <c r="E139">
        <v>2</v>
      </c>
      <c r="F139" s="4">
        <v>1990.25</v>
      </c>
      <c r="G139" s="3">
        <v>0.1</v>
      </c>
      <c r="H139" s="4">
        <v>259.16000000000003</v>
      </c>
    </row>
    <row r="140" spans="1:8" x14ac:dyDescent="0.3">
      <c r="A140" s="1" t="s">
        <v>322</v>
      </c>
      <c r="B140" s="2">
        <v>45430</v>
      </c>
      <c r="C140" s="1" t="s">
        <v>47</v>
      </c>
      <c r="D140" s="1" t="s">
        <v>323</v>
      </c>
      <c r="E140">
        <v>2</v>
      </c>
      <c r="F140" s="4">
        <v>209.78</v>
      </c>
      <c r="G140" s="3">
        <v>0.1</v>
      </c>
      <c r="H140" s="4">
        <v>41.75</v>
      </c>
    </row>
    <row r="141" spans="1:8" x14ac:dyDescent="0.3">
      <c r="A141" s="1" t="s">
        <v>324</v>
      </c>
      <c r="B141" s="2">
        <v>45285</v>
      </c>
      <c r="C141" s="1" t="s">
        <v>325</v>
      </c>
      <c r="D141" s="1" t="s">
        <v>61</v>
      </c>
      <c r="E141">
        <v>5</v>
      </c>
      <c r="F141" s="4">
        <v>1420.57</v>
      </c>
      <c r="G141" s="3">
        <v>0.2</v>
      </c>
      <c r="H141" s="4">
        <v>424.66</v>
      </c>
    </row>
    <row r="142" spans="1:8" x14ac:dyDescent="0.3">
      <c r="A142" s="1" t="s">
        <v>326</v>
      </c>
      <c r="B142" s="2">
        <v>45357</v>
      </c>
      <c r="C142" s="1" t="s">
        <v>280</v>
      </c>
      <c r="D142" s="1" t="s">
        <v>209</v>
      </c>
      <c r="E142">
        <v>1</v>
      </c>
      <c r="F142" s="4">
        <v>1968.99</v>
      </c>
      <c r="G142" s="3">
        <v>0</v>
      </c>
      <c r="H142" s="4">
        <v>312.70999999999998</v>
      </c>
    </row>
    <row r="143" spans="1:8" x14ac:dyDescent="0.3">
      <c r="A143" s="1" t="s">
        <v>327</v>
      </c>
      <c r="B143" s="2">
        <v>45385</v>
      </c>
      <c r="C143" s="1" t="s">
        <v>328</v>
      </c>
      <c r="D143" s="1" t="s">
        <v>314</v>
      </c>
      <c r="E143">
        <v>5</v>
      </c>
      <c r="F143" s="4">
        <v>554.44000000000005</v>
      </c>
      <c r="G143" s="3">
        <v>0.1</v>
      </c>
      <c r="H143" s="4">
        <v>155.34</v>
      </c>
    </row>
    <row r="144" spans="1:8" x14ac:dyDescent="0.3">
      <c r="A144" s="1" t="s">
        <v>329</v>
      </c>
      <c r="B144" s="2">
        <v>44705</v>
      </c>
      <c r="C144" s="1" t="s">
        <v>330</v>
      </c>
      <c r="D144" s="1" t="s">
        <v>89</v>
      </c>
      <c r="E144">
        <v>4</v>
      </c>
      <c r="F144" s="4">
        <v>370.27</v>
      </c>
      <c r="G144" s="3">
        <v>0.2</v>
      </c>
      <c r="H144" s="4">
        <v>50.45</v>
      </c>
    </row>
    <row r="145" spans="1:8" x14ac:dyDescent="0.3">
      <c r="A145" s="1" t="s">
        <v>331</v>
      </c>
      <c r="B145" s="2">
        <v>44646</v>
      </c>
      <c r="C145" s="1" t="s">
        <v>332</v>
      </c>
      <c r="D145" s="1" t="s">
        <v>170</v>
      </c>
      <c r="E145">
        <v>4</v>
      </c>
      <c r="F145" s="4">
        <v>330.63</v>
      </c>
      <c r="G145" s="3">
        <v>0</v>
      </c>
      <c r="H145" s="4">
        <v>21.06</v>
      </c>
    </row>
    <row r="146" spans="1:8" x14ac:dyDescent="0.3">
      <c r="A146" s="1" t="s">
        <v>333</v>
      </c>
      <c r="B146" s="2">
        <v>44829</v>
      </c>
      <c r="C146" s="1" t="s">
        <v>334</v>
      </c>
      <c r="D146" s="1" t="s">
        <v>239</v>
      </c>
      <c r="E146">
        <v>4</v>
      </c>
      <c r="F146" s="4">
        <v>676.22</v>
      </c>
      <c r="G146" s="3">
        <v>0.3</v>
      </c>
      <c r="H146" s="4">
        <v>68.34</v>
      </c>
    </row>
    <row r="147" spans="1:8" x14ac:dyDescent="0.3">
      <c r="A147" s="1" t="s">
        <v>335</v>
      </c>
      <c r="B147" s="2">
        <v>45351</v>
      </c>
      <c r="C147" s="1" t="s">
        <v>336</v>
      </c>
      <c r="D147" s="1" t="s">
        <v>22</v>
      </c>
      <c r="E147">
        <v>4</v>
      </c>
      <c r="F147" s="4">
        <v>291.99</v>
      </c>
      <c r="G147" s="3">
        <v>0.1</v>
      </c>
      <c r="H147" s="4">
        <v>45.16</v>
      </c>
    </row>
    <row r="148" spans="1:8" x14ac:dyDescent="0.3">
      <c r="A148" s="1" t="s">
        <v>337</v>
      </c>
      <c r="B148" s="2">
        <v>44864</v>
      </c>
      <c r="C148" s="1" t="s">
        <v>338</v>
      </c>
      <c r="D148" s="1" t="s">
        <v>37</v>
      </c>
      <c r="E148">
        <v>4</v>
      </c>
      <c r="F148" s="4">
        <v>1415.11</v>
      </c>
      <c r="G148" s="3">
        <v>0</v>
      </c>
      <c r="H148" s="4">
        <v>148.46</v>
      </c>
    </row>
    <row r="149" spans="1:8" x14ac:dyDescent="0.3">
      <c r="A149" s="1" t="s">
        <v>339</v>
      </c>
      <c r="B149" s="2">
        <v>45310</v>
      </c>
      <c r="C149" s="1" t="s">
        <v>158</v>
      </c>
      <c r="D149" s="1" t="s">
        <v>72</v>
      </c>
      <c r="E149">
        <v>3</v>
      </c>
      <c r="F149" s="4">
        <v>218.35</v>
      </c>
      <c r="G149" s="3">
        <v>0.1</v>
      </c>
      <c r="H149" s="4">
        <v>10.93</v>
      </c>
    </row>
    <row r="150" spans="1:8" x14ac:dyDescent="0.3">
      <c r="A150" s="1" t="s">
        <v>340</v>
      </c>
      <c r="B150" s="2">
        <v>44711</v>
      </c>
      <c r="C150" s="1" t="s">
        <v>321</v>
      </c>
      <c r="D150" s="1" t="s">
        <v>341</v>
      </c>
      <c r="E150">
        <v>2</v>
      </c>
      <c r="F150" s="4">
        <v>1067.9000000000001</v>
      </c>
      <c r="G150" s="3">
        <v>0.1</v>
      </c>
      <c r="H150" s="4">
        <v>297.68</v>
      </c>
    </row>
    <row r="151" spans="1:8" x14ac:dyDescent="0.3">
      <c r="A151" s="1" t="s">
        <v>342</v>
      </c>
      <c r="B151" s="2">
        <v>45160</v>
      </c>
      <c r="C151" s="1" t="s">
        <v>24</v>
      </c>
      <c r="D151" s="1" t="s">
        <v>242</v>
      </c>
      <c r="E151">
        <v>4</v>
      </c>
      <c r="F151" s="4">
        <v>1993.72</v>
      </c>
      <c r="G151" s="3">
        <v>0.1</v>
      </c>
      <c r="H151" s="4">
        <v>520.29999999999995</v>
      </c>
    </row>
    <row r="152" spans="1:8" x14ac:dyDescent="0.3">
      <c r="A152" s="1" t="s">
        <v>343</v>
      </c>
      <c r="B152" s="2">
        <v>45380</v>
      </c>
      <c r="C152" s="1" t="s">
        <v>344</v>
      </c>
      <c r="D152" s="1" t="s">
        <v>301</v>
      </c>
      <c r="E152">
        <v>1</v>
      </c>
      <c r="F152" s="4">
        <v>1646.54</v>
      </c>
      <c r="G152" s="3">
        <v>0</v>
      </c>
      <c r="H152" s="4">
        <v>387.88</v>
      </c>
    </row>
    <row r="153" spans="1:8" x14ac:dyDescent="0.3">
      <c r="A153" s="1" t="s">
        <v>345</v>
      </c>
      <c r="B153" s="2">
        <v>45325</v>
      </c>
      <c r="C153" s="1" t="s">
        <v>94</v>
      </c>
      <c r="D153" s="1" t="s">
        <v>31</v>
      </c>
      <c r="E153">
        <v>1</v>
      </c>
      <c r="F153" s="4">
        <v>1268.92</v>
      </c>
      <c r="G153" s="3">
        <v>0.2</v>
      </c>
      <c r="H153" s="4">
        <v>116.68</v>
      </c>
    </row>
    <row r="154" spans="1:8" x14ac:dyDescent="0.3">
      <c r="A154" s="1" t="s">
        <v>346</v>
      </c>
      <c r="B154" s="2">
        <v>44602</v>
      </c>
      <c r="C154" s="1" t="s">
        <v>347</v>
      </c>
      <c r="D154" s="1" t="s">
        <v>341</v>
      </c>
      <c r="E154">
        <v>1</v>
      </c>
      <c r="F154" s="4">
        <v>681.88</v>
      </c>
      <c r="G154" s="3">
        <v>0</v>
      </c>
      <c r="H154" s="4">
        <v>54.61</v>
      </c>
    </row>
    <row r="155" spans="1:8" x14ac:dyDescent="0.3">
      <c r="A155" s="1" t="s">
        <v>348</v>
      </c>
      <c r="B155" s="2">
        <v>44688</v>
      </c>
      <c r="C155" s="1" t="s">
        <v>262</v>
      </c>
      <c r="D155" s="1" t="s">
        <v>64</v>
      </c>
      <c r="E155">
        <v>1</v>
      </c>
      <c r="F155" s="4">
        <v>1285.4000000000001</v>
      </c>
      <c r="G155" s="3">
        <v>0.1</v>
      </c>
      <c r="H155" s="4">
        <v>85.99</v>
      </c>
    </row>
    <row r="156" spans="1:8" x14ac:dyDescent="0.3">
      <c r="A156" s="1" t="s">
        <v>349</v>
      </c>
      <c r="B156" s="2">
        <v>45232</v>
      </c>
      <c r="C156" s="1" t="s">
        <v>350</v>
      </c>
      <c r="D156" s="1" t="s">
        <v>288</v>
      </c>
      <c r="E156">
        <v>3</v>
      </c>
      <c r="F156" s="4">
        <v>1101.3800000000001</v>
      </c>
      <c r="G156" s="3">
        <v>0</v>
      </c>
      <c r="H156" s="4">
        <v>254.43</v>
      </c>
    </row>
    <row r="157" spans="1:8" x14ac:dyDescent="0.3">
      <c r="A157" s="1" t="s">
        <v>351</v>
      </c>
      <c r="B157" s="2">
        <v>45123</v>
      </c>
      <c r="C157" s="1" t="s">
        <v>347</v>
      </c>
      <c r="D157" s="1" t="s">
        <v>161</v>
      </c>
      <c r="E157">
        <v>1</v>
      </c>
      <c r="F157" s="4">
        <v>909.56</v>
      </c>
      <c r="G157" s="3">
        <v>0.3</v>
      </c>
      <c r="H157" s="4">
        <v>256.68</v>
      </c>
    </row>
    <row r="158" spans="1:8" x14ac:dyDescent="0.3">
      <c r="A158" s="1" t="s">
        <v>352</v>
      </c>
      <c r="B158" s="2">
        <v>44926</v>
      </c>
      <c r="C158" s="1" t="s">
        <v>353</v>
      </c>
      <c r="D158" s="1" t="s">
        <v>92</v>
      </c>
      <c r="E158">
        <v>4</v>
      </c>
      <c r="F158" s="4">
        <v>348.35</v>
      </c>
      <c r="G158" s="3">
        <v>0.2</v>
      </c>
      <c r="H158" s="4">
        <v>54.91</v>
      </c>
    </row>
    <row r="159" spans="1:8" x14ac:dyDescent="0.3">
      <c r="A159" s="1" t="s">
        <v>354</v>
      </c>
      <c r="B159" s="2">
        <v>44750</v>
      </c>
      <c r="C159" s="1" t="s">
        <v>355</v>
      </c>
      <c r="D159" s="1" t="s">
        <v>253</v>
      </c>
      <c r="E159">
        <v>5</v>
      </c>
      <c r="F159" s="4">
        <v>1784.55</v>
      </c>
      <c r="G159" s="3">
        <v>0</v>
      </c>
      <c r="H159" s="4">
        <v>142.38</v>
      </c>
    </row>
    <row r="160" spans="1:8" x14ac:dyDescent="0.3">
      <c r="A160" s="1" t="s">
        <v>356</v>
      </c>
      <c r="B160" s="2">
        <v>45278</v>
      </c>
      <c r="C160" s="1" t="s">
        <v>69</v>
      </c>
      <c r="D160" s="1" t="s">
        <v>22</v>
      </c>
      <c r="E160">
        <v>1</v>
      </c>
      <c r="F160" s="4">
        <v>954.59</v>
      </c>
      <c r="G160" s="3">
        <v>0.3</v>
      </c>
      <c r="H160" s="4">
        <v>170.01</v>
      </c>
    </row>
    <row r="161" spans="1:8" x14ac:dyDescent="0.3">
      <c r="A161" s="1" t="s">
        <v>357</v>
      </c>
      <c r="B161" s="2">
        <v>44708</v>
      </c>
      <c r="C161" s="1" t="s">
        <v>192</v>
      </c>
      <c r="D161" s="1" t="s">
        <v>296</v>
      </c>
      <c r="E161">
        <v>3</v>
      </c>
      <c r="F161" s="4">
        <v>469.78</v>
      </c>
      <c r="G161" s="3">
        <v>0.2</v>
      </c>
      <c r="H161" s="4">
        <v>64.459999999999994</v>
      </c>
    </row>
    <row r="162" spans="1:8" x14ac:dyDescent="0.3">
      <c r="A162" s="1" t="s">
        <v>358</v>
      </c>
      <c r="B162" s="2">
        <v>45125</v>
      </c>
      <c r="C162" s="1" t="s">
        <v>50</v>
      </c>
      <c r="D162" s="1" t="s">
        <v>296</v>
      </c>
      <c r="E162">
        <v>3</v>
      </c>
      <c r="F162" s="4">
        <v>798.74</v>
      </c>
      <c r="G162" s="3">
        <v>0.3</v>
      </c>
      <c r="H162" s="4">
        <v>114.78</v>
      </c>
    </row>
    <row r="163" spans="1:8" x14ac:dyDescent="0.3">
      <c r="A163" s="1" t="s">
        <v>359</v>
      </c>
      <c r="B163" s="2">
        <v>45156</v>
      </c>
      <c r="C163" s="1" t="s">
        <v>360</v>
      </c>
      <c r="D163" s="1" t="s">
        <v>361</v>
      </c>
      <c r="E163">
        <v>1</v>
      </c>
      <c r="F163" s="4">
        <v>886.85</v>
      </c>
      <c r="G163" s="3">
        <v>0.2</v>
      </c>
      <c r="H163" s="4">
        <v>182.1</v>
      </c>
    </row>
    <row r="164" spans="1:8" x14ac:dyDescent="0.3">
      <c r="A164" s="1" t="s">
        <v>362</v>
      </c>
      <c r="B164" s="2">
        <v>45247</v>
      </c>
      <c r="C164" s="1" t="s">
        <v>115</v>
      </c>
      <c r="D164" s="1" t="s">
        <v>242</v>
      </c>
      <c r="E164">
        <v>5</v>
      </c>
      <c r="F164" s="4">
        <v>1672.32</v>
      </c>
      <c r="G164" s="3">
        <v>0</v>
      </c>
      <c r="H164" s="4">
        <v>384.1</v>
      </c>
    </row>
    <row r="165" spans="1:8" x14ac:dyDescent="0.3">
      <c r="A165" s="1" t="s">
        <v>363</v>
      </c>
      <c r="B165" s="2">
        <v>45355</v>
      </c>
      <c r="C165" s="1" t="s">
        <v>332</v>
      </c>
      <c r="D165" s="1" t="s">
        <v>364</v>
      </c>
      <c r="E165">
        <v>1</v>
      </c>
      <c r="F165" s="4">
        <v>1493.87</v>
      </c>
      <c r="G165" s="3">
        <v>0.3</v>
      </c>
      <c r="H165" s="4">
        <v>116</v>
      </c>
    </row>
    <row r="166" spans="1:8" x14ac:dyDescent="0.3">
      <c r="A166" s="1" t="s">
        <v>365</v>
      </c>
      <c r="B166" s="2">
        <v>45450</v>
      </c>
      <c r="C166" s="1" t="s">
        <v>99</v>
      </c>
      <c r="D166" s="1" t="s">
        <v>163</v>
      </c>
      <c r="E166">
        <v>3</v>
      </c>
      <c r="F166" s="4">
        <v>1561.68</v>
      </c>
      <c r="G166" s="3">
        <v>0.1</v>
      </c>
      <c r="H166" s="4">
        <v>91.98</v>
      </c>
    </row>
    <row r="167" spans="1:8" x14ac:dyDescent="0.3">
      <c r="A167" s="1" t="s">
        <v>366</v>
      </c>
      <c r="B167" s="2">
        <v>44732</v>
      </c>
      <c r="C167" s="1" t="s">
        <v>367</v>
      </c>
      <c r="D167" s="1" t="s">
        <v>186</v>
      </c>
      <c r="E167">
        <v>2</v>
      </c>
      <c r="F167" s="4">
        <v>120.96</v>
      </c>
      <c r="G167" s="3">
        <v>0.3</v>
      </c>
      <c r="H167" s="4">
        <v>36.119999999999997</v>
      </c>
    </row>
    <row r="168" spans="1:8" x14ac:dyDescent="0.3">
      <c r="A168" s="1" t="s">
        <v>368</v>
      </c>
      <c r="B168" s="2">
        <v>45461</v>
      </c>
      <c r="C168" s="1" t="s">
        <v>233</v>
      </c>
      <c r="D168" s="1" t="s">
        <v>369</v>
      </c>
      <c r="E168">
        <v>4</v>
      </c>
      <c r="F168" s="4">
        <v>890.69</v>
      </c>
      <c r="G168" s="3">
        <v>0.2</v>
      </c>
      <c r="H168" s="4">
        <v>96.36</v>
      </c>
    </row>
    <row r="169" spans="1:8" x14ac:dyDescent="0.3">
      <c r="A169" s="1" t="s">
        <v>370</v>
      </c>
      <c r="B169" s="2">
        <v>44704</v>
      </c>
      <c r="C169" s="1" t="s">
        <v>371</v>
      </c>
      <c r="D169" s="1" t="s">
        <v>372</v>
      </c>
      <c r="E169">
        <v>3</v>
      </c>
      <c r="F169" s="4">
        <v>1014.55</v>
      </c>
      <c r="G169" s="3">
        <v>0</v>
      </c>
      <c r="H169" s="4">
        <v>64.38</v>
      </c>
    </row>
    <row r="170" spans="1:8" x14ac:dyDescent="0.3">
      <c r="A170" s="1" t="s">
        <v>373</v>
      </c>
      <c r="B170" s="2">
        <v>45095</v>
      </c>
      <c r="C170" s="1" t="s">
        <v>225</v>
      </c>
      <c r="D170" s="1" t="s">
        <v>209</v>
      </c>
      <c r="E170">
        <v>1</v>
      </c>
      <c r="F170" s="4">
        <v>136.47</v>
      </c>
      <c r="G170" s="3">
        <v>0.2</v>
      </c>
      <c r="H170" s="4">
        <v>13.3</v>
      </c>
    </row>
    <row r="171" spans="1:8" x14ac:dyDescent="0.3">
      <c r="A171" s="1" t="s">
        <v>374</v>
      </c>
      <c r="B171" s="2">
        <v>45330</v>
      </c>
      <c r="C171" s="1" t="s">
        <v>102</v>
      </c>
      <c r="D171" s="1" t="s">
        <v>116</v>
      </c>
      <c r="E171">
        <v>4</v>
      </c>
      <c r="F171" s="4">
        <v>593.65</v>
      </c>
      <c r="G171" s="3">
        <v>0.3</v>
      </c>
      <c r="H171" s="4">
        <v>35.46</v>
      </c>
    </row>
    <row r="172" spans="1:8" x14ac:dyDescent="0.3">
      <c r="A172" s="1" t="s">
        <v>375</v>
      </c>
      <c r="B172" s="2">
        <v>45105</v>
      </c>
      <c r="C172" s="1" t="s">
        <v>39</v>
      </c>
      <c r="D172" s="1" t="s">
        <v>25</v>
      </c>
      <c r="E172">
        <v>1</v>
      </c>
      <c r="F172" s="4">
        <v>1544.55</v>
      </c>
      <c r="G172" s="3">
        <v>0.3</v>
      </c>
      <c r="H172" s="4">
        <v>228.52</v>
      </c>
    </row>
    <row r="173" spans="1:8" x14ac:dyDescent="0.3">
      <c r="A173" s="1" t="s">
        <v>376</v>
      </c>
      <c r="B173" s="2">
        <v>45343</v>
      </c>
      <c r="C173" s="1" t="s">
        <v>126</v>
      </c>
      <c r="D173" s="1" t="s">
        <v>22</v>
      </c>
      <c r="E173">
        <v>1</v>
      </c>
      <c r="F173" s="4">
        <v>360.51</v>
      </c>
      <c r="G173" s="3">
        <v>0.1</v>
      </c>
      <c r="H173" s="4">
        <v>90.34</v>
      </c>
    </row>
    <row r="174" spans="1:8" x14ac:dyDescent="0.3">
      <c r="A174" s="1" t="s">
        <v>377</v>
      </c>
      <c r="B174" s="2">
        <v>44608</v>
      </c>
      <c r="C174" s="1" t="s">
        <v>277</v>
      </c>
      <c r="D174" s="1" t="s">
        <v>378</v>
      </c>
      <c r="E174">
        <v>2</v>
      </c>
      <c r="F174" s="4">
        <v>1117.0899999999999</v>
      </c>
      <c r="G174" s="3">
        <v>0</v>
      </c>
      <c r="H174" s="4">
        <v>151.15</v>
      </c>
    </row>
    <row r="175" spans="1:8" x14ac:dyDescent="0.3">
      <c r="A175" s="1" t="s">
        <v>379</v>
      </c>
      <c r="B175" s="2">
        <v>45027</v>
      </c>
      <c r="C175" s="1" t="s">
        <v>380</v>
      </c>
      <c r="D175" s="1" t="s">
        <v>263</v>
      </c>
      <c r="E175">
        <v>4</v>
      </c>
      <c r="F175" s="4">
        <v>508.88</v>
      </c>
      <c r="G175" s="3">
        <v>0</v>
      </c>
      <c r="H175" s="4">
        <v>81.95</v>
      </c>
    </row>
    <row r="176" spans="1:8" x14ac:dyDescent="0.3">
      <c r="A176" s="1" t="s">
        <v>381</v>
      </c>
      <c r="B176" s="2">
        <v>45237</v>
      </c>
      <c r="C176" s="1" t="s">
        <v>179</v>
      </c>
      <c r="D176" s="1" t="s">
        <v>48</v>
      </c>
      <c r="E176">
        <v>4</v>
      </c>
      <c r="F176" s="4">
        <v>123.03</v>
      </c>
      <c r="G176" s="3">
        <v>0.3</v>
      </c>
      <c r="H176" s="4">
        <v>26.93</v>
      </c>
    </row>
    <row r="177" spans="1:8" x14ac:dyDescent="0.3">
      <c r="A177" s="1" t="s">
        <v>382</v>
      </c>
      <c r="B177" s="2">
        <v>44715</v>
      </c>
      <c r="C177" s="1" t="s">
        <v>344</v>
      </c>
      <c r="D177" s="1" t="s">
        <v>130</v>
      </c>
      <c r="E177">
        <v>2</v>
      </c>
      <c r="F177" s="4">
        <v>558.28</v>
      </c>
      <c r="G177" s="3">
        <v>0</v>
      </c>
      <c r="H177" s="4">
        <v>98.94</v>
      </c>
    </row>
    <row r="178" spans="1:8" x14ac:dyDescent="0.3">
      <c r="A178" s="1" t="s">
        <v>383</v>
      </c>
      <c r="B178" s="2">
        <v>44887</v>
      </c>
      <c r="C178" s="1" t="s">
        <v>384</v>
      </c>
      <c r="D178" s="1" t="s">
        <v>341</v>
      </c>
      <c r="E178">
        <v>3</v>
      </c>
      <c r="F178" s="4">
        <v>1954.16</v>
      </c>
      <c r="G178" s="3">
        <v>0.1</v>
      </c>
      <c r="H178" s="4">
        <v>518.55999999999995</v>
      </c>
    </row>
    <row r="179" spans="1:8" x14ac:dyDescent="0.3">
      <c r="A179" s="1" t="s">
        <v>385</v>
      </c>
      <c r="B179" s="2">
        <v>44799</v>
      </c>
      <c r="C179" s="1" t="s">
        <v>165</v>
      </c>
      <c r="D179" s="1" t="s">
        <v>61</v>
      </c>
      <c r="E179">
        <v>1</v>
      </c>
      <c r="F179" s="4">
        <v>1622.92</v>
      </c>
      <c r="G179" s="3">
        <v>0.2</v>
      </c>
      <c r="H179" s="4">
        <v>432.52</v>
      </c>
    </row>
    <row r="180" spans="1:8" x14ac:dyDescent="0.3">
      <c r="A180" s="1" t="s">
        <v>386</v>
      </c>
      <c r="B180" s="2">
        <v>44590</v>
      </c>
      <c r="C180" s="1" t="s">
        <v>355</v>
      </c>
      <c r="D180" s="1" t="s">
        <v>195</v>
      </c>
      <c r="E180">
        <v>5</v>
      </c>
      <c r="F180" s="4">
        <v>1923.2</v>
      </c>
      <c r="G180" s="3">
        <v>0</v>
      </c>
      <c r="H180" s="4">
        <v>100.93</v>
      </c>
    </row>
    <row r="181" spans="1:8" x14ac:dyDescent="0.3">
      <c r="A181" s="1" t="s">
        <v>387</v>
      </c>
      <c r="B181" s="2">
        <v>45024</v>
      </c>
      <c r="C181" s="1" t="s">
        <v>388</v>
      </c>
      <c r="D181" s="1" t="s">
        <v>304</v>
      </c>
      <c r="E181">
        <v>1</v>
      </c>
      <c r="F181" s="4">
        <v>1026.92</v>
      </c>
      <c r="G181" s="3">
        <v>0.3</v>
      </c>
      <c r="H181" s="4">
        <v>251.09</v>
      </c>
    </row>
    <row r="182" spans="1:8" x14ac:dyDescent="0.3">
      <c r="A182" s="1" t="s">
        <v>389</v>
      </c>
      <c r="B182" s="2">
        <v>44866</v>
      </c>
      <c r="C182" s="1" t="s">
        <v>56</v>
      </c>
      <c r="D182" s="1" t="s">
        <v>89</v>
      </c>
      <c r="E182">
        <v>1</v>
      </c>
      <c r="F182" s="4">
        <v>308.5</v>
      </c>
      <c r="G182" s="3">
        <v>0.2</v>
      </c>
      <c r="H182" s="4">
        <v>50.96</v>
      </c>
    </row>
    <row r="183" spans="1:8" x14ac:dyDescent="0.3">
      <c r="A183" s="1" t="s">
        <v>390</v>
      </c>
      <c r="B183" s="2">
        <v>45266</v>
      </c>
      <c r="C183" s="1" t="s">
        <v>391</v>
      </c>
      <c r="D183" s="1" t="s">
        <v>392</v>
      </c>
      <c r="E183">
        <v>3</v>
      </c>
      <c r="F183" s="4">
        <v>1141.1199999999999</v>
      </c>
      <c r="G183" s="3">
        <v>0.2</v>
      </c>
      <c r="H183" s="4">
        <v>339.15</v>
      </c>
    </row>
    <row r="184" spans="1:8" x14ac:dyDescent="0.3">
      <c r="A184" s="1" t="s">
        <v>393</v>
      </c>
      <c r="B184" s="2">
        <v>45116</v>
      </c>
      <c r="C184" s="1" t="s">
        <v>394</v>
      </c>
      <c r="D184" s="1" t="s">
        <v>226</v>
      </c>
      <c r="E184">
        <v>1</v>
      </c>
      <c r="F184" s="4">
        <v>963.32</v>
      </c>
      <c r="G184" s="3">
        <v>0.1</v>
      </c>
      <c r="H184" s="4">
        <v>164.54</v>
      </c>
    </row>
    <row r="185" spans="1:8" x14ac:dyDescent="0.3">
      <c r="A185" s="1" t="s">
        <v>395</v>
      </c>
      <c r="B185" s="2">
        <v>44592</v>
      </c>
      <c r="C185" s="1" t="s">
        <v>396</v>
      </c>
      <c r="D185" s="1" t="s">
        <v>397</v>
      </c>
      <c r="E185">
        <v>2</v>
      </c>
      <c r="F185" s="4">
        <v>1704.28</v>
      </c>
      <c r="G185" s="3">
        <v>0.3</v>
      </c>
      <c r="H185" s="4">
        <v>505.7</v>
      </c>
    </row>
    <row r="186" spans="1:8" x14ac:dyDescent="0.3">
      <c r="A186" s="1" t="s">
        <v>398</v>
      </c>
      <c r="B186" s="2">
        <v>44608</v>
      </c>
      <c r="C186" s="1" t="s">
        <v>96</v>
      </c>
      <c r="D186" s="1" t="s">
        <v>147</v>
      </c>
      <c r="E186">
        <v>2</v>
      </c>
      <c r="F186" s="4">
        <v>286.36</v>
      </c>
      <c r="G186" s="3">
        <v>0</v>
      </c>
      <c r="H186" s="4">
        <v>68.34</v>
      </c>
    </row>
    <row r="187" spans="1:8" x14ac:dyDescent="0.3">
      <c r="A187" s="1" t="s">
        <v>399</v>
      </c>
      <c r="B187" s="2">
        <v>44802</v>
      </c>
      <c r="C187" s="1" t="s">
        <v>104</v>
      </c>
      <c r="D187" s="1" t="s">
        <v>400</v>
      </c>
      <c r="E187">
        <v>4</v>
      </c>
      <c r="F187" s="4">
        <v>1027.6600000000001</v>
      </c>
      <c r="G187" s="3">
        <v>0.3</v>
      </c>
      <c r="H187" s="4">
        <v>115.25</v>
      </c>
    </row>
    <row r="188" spans="1:8" x14ac:dyDescent="0.3">
      <c r="A188" s="1" t="s">
        <v>401</v>
      </c>
      <c r="B188" s="2">
        <v>45051</v>
      </c>
      <c r="C188" s="1" t="s">
        <v>402</v>
      </c>
      <c r="D188" s="1" t="s">
        <v>122</v>
      </c>
      <c r="E188">
        <v>5</v>
      </c>
      <c r="F188" s="4">
        <v>385.09</v>
      </c>
      <c r="G188" s="3">
        <v>0.2</v>
      </c>
      <c r="H188" s="4">
        <v>71.09</v>
      </c>
    </row>
    <row r="189" spans="1:8" x14ac:dyDescent="0.3">
      <c r="A189" s="1" t="s">
        <v>403</v>
      </c>
      <c r="B189" s="2">
        <v>44625</v>
      </c>
      <c r="C189" s="1" t="s">
        <v>404</v>
      </c>
      <c r="D189" s="1" t="s">
        <v>211</v>
      </c>
      <c r="E189">
        <v>1</v>
      </c>
      <c r="F189" s="4">
        <v>716.88</v>
      </c>
      <c r="G189" s="3">
        <v>0.3</v>
      </c>
      <c r="H189" s="4">
        <v>213.65</v>
      </c>
    </row>
    <row r="190" spans="1:8" x14ac:dyDescent="0.3">
      <c r="A190" s="1" t="s">
        <v>405</v>
      </c>
      <c r="B190" s="2">
        <v>45062</v>
      </c>
      <c r="C190" s="1" t="s">
        <v>406</v>
      </c>
      <c r="D190" s="1" t="s">
        <v>72</v>
      </c>
      <c r="E190">
        <v>1</v>
      </c>
      <c r="F190" s="4">
        <v>1500.98</v>
      </c>
      <c r="G190" s="3">
        <v>0</v>
      </c>
      <c r="H190" s="4">
        <v>396.83</v>
      </c>
    </row>
    <row r="191" spans="1:8" x14ac:dyDescent="0.3">
      <c r="A191" s="1" t="s">
        <v>407</v>
      </c>
      <c r="B191" s="2">
        <v>45318</v>
      </c>
      <c r="C191" s="1" t="s">
        <v>36</v>
      </c>
      <c r="D191" s="1" t="s">
        <v>211</v>
      </c>
      <c r="E191">
        <v>3</v>
      </c>
      <c r="F191" s="4">
        <v>1004.43</v>
      </c>
      <c r="G191" s="3">
        <v>0</v>
      </c>
      <c r="H191" s="4">
        <v>74.67</v>
      </c>
    </row>
    <row r="192" spans="1:8" x14ac:dyDescent="0.3">
      <c r="A192" s="1" t="s">
        <v>408</v>
      </c>
      <c r="B192" s="2">
        <v>44933</v>
      </c>
      <c r="C192" s="1" t="s">
        <v>277</v>
      </c>
      <c r="D192" s="1" t="s">
        <v>188</v>
      </c>
      <c r="E192">
        <v>2</v>
      </c>
      <c r="F192" s="4">
        <v>814.19</v>
      </c>
      <c r="G192" s="3">
        <v>0.1</v>
      </c>
      <c r="H192" s="4">
        <v>184.49</v>
      </c>
    </row>
    <row r="193" spans="1:8" x14ac:dyDescent="0.3">
      <c r="A193" s="1" t="s">
        <v>409</v>
      </c>
      <c r="B193" s="2">
        <v>45276</v>
      </c>
      <c r="C193" s="1" t="s">
        <v>198</v>
      </c>
      <c r="D193" s="1" t="s">
        <v>201</v>
      </c>
      <c r="E193">
        <v>5</v>
      </c>
      <c r="F193" s="4">
        <v>849.5</v>
      </c>
      <c r="G193" s="3">
        <v>0</v>
      </c>
      <c r="H193" s="4">
        <v>115.87</v>
      </c>
    </row>
    <row r="194" spans="1:8" x14ac:dyDescent="0.3">
      <c r="A194" s="1" t="s">
        <v>410</v>
      </c>
      <c r="B194" s="2">
        <v>44803</v>
      </c>
      <c r="C194" s="1" t="s">
        <v>165</v>
      </c>
      <c r="D194" s="1" t="s">
        <v>294</v>
      </c>
      <c r="E194">
        <v>4</v>
      </c>
      <c r="F194" s="4">
        <v>972.95</v>
      </c>
      <c r="G194" s="3">
        <v>0</v>
      </c>
      <c r="H194" s="4">
        <v>50.35</v>
      </c>
    </row>
    <row r="195" spans="1:8" x14ac:dyDescent="0.3">
      <c r="A195" s="1" t="s">
        <v>411</v>
      </c>
      <c r="B195" s="2">
        <v>45344</v>
      </c>
      <c r="C195" s="1" t="s">
        <v>412</v>
      </c>
      <c r="D195" s="1" t="s">
        <v>288</v>
      </c>
      <c r="E195">
        <v>2</v>
      </c>
      <c r="F195" s="4">
        <v>1591.53</v>
      </c>
      <c r="G195" s="3">
        <v>0.3</v>
      </c>
      <c r="H195" s="4">
        <v>240.11</v>
      </c>
    </row>
    <row r="196" spans="1:8" x14ac:dyDescent="0.3">
      <c r="A196" s="1" t="s">
        <v>413</v>
      </c>
      <c r="B196" s="2">
        <v>44566</v>
      </c>
      <c r="C196" s="1" t="s">
        <v>332</v>
      </c>
      <c r="D196" s="1" t="s">
        <v>249</v>
      </c>
      <c r="E196">
        <v>4</v>
      </c>
      <c r="F196" s="4">
        <v>1794.96</v>
      </c>
      <c r="G196" s="3">
        <v>0.3</v>
      </c>
      <c r="H196" s="4">
        <v>195.09</v>
      </c>
    </row>
    <row r="197" spans="1:8" x14ac:dyDescent="0.3">
      <c r="A197" s="1" t="s">
        <v>414</v>
      </c>
      <c r="B197" s="2">
        <v>44628</v>
      </c>
      <c r="C197" s="1" t="s">
        <v>380</v>
      </c>
      <c r="D197" s="1" t="s">
        <v>369</v>
      </c>
      <c r="E197">
        <v>3</v>
      </c>
      <c r="F197" s="4">
        <v>1915.14</v>
      </c>
      <c r="G197" s="3">
        <v>0.2</v>
      </c>
      <c r="H197" s="4">
        <v>487.82</v>
      </c>
    </row>
    <row r="198" spans="1:8" x14ac:dyDescent="0.3">
      <c r="A198" s="1" t="s">
        <v>415</v>
      </c>
      <c r="B198" s="2">
        <v>45354</v>
      </c>
      <c r="C198" s="1" t="s">
        <v>338</v>
      </c>
      <c r="D198" s="1" t="s">
        <v>141</v>
      </c>
      <c r="E198">
        <v>3</v>
      </c>
      <c r="F198" s="4">
        <v>1595.12</v>
      </c>
      <c r="G198" s="3">
        <v>0.1</v>
      </c>
      <c r="H198" s="4">
        <v>214.28</v>
      </c>
    </row>
    <row r="199" spans="1:8" x14ac:dyDescent="0.3">
      <c r="A199" s="1" t="s">
        <v>416</v>
      </c>
      <c r="B199" s="2">
        <v>45071</v>
      </c>
      <c r="C199" s="1" t="s">
        <v>417</v>
      </c>
      <c r="D199" s="1" t="s">
        <v>45</v>
      </c>
      <c r="E199">
        <v>1</v>
      </c>
      <c r="F199" s="4">
        <v>699.27</v>
      </c>
      <c r="G199" s="3">
        <v>0.3</v>
      </c>
      <c r="H199" s="4">
        <v>179.63</v>
      </c>
    </row>
    <row r="200" spans="1:8" x14ac:dyDescent="0.3">
      <c r="A200" s="1" t="s">
        <v>418</v>
      </c>
      <c r="B200" s="2">
        <v>44863</v>
      </c>
      <c r="C200" s="1" t="s">
        <v>287</v>
      </c>
      <c r="D200" s="1" t="s">
        <v>10</v>
      </c>
      <c r="E200">
        <v>5</v>
      </c>
      <c r="F200" s="4">
        <v>1407.46</v>
      </c>
      <c r="G200" s="3">
        <v>0</v>
      </c>
      <c r="H200" s="4">
        <v>70.58</v>
      </c>
    </row>
    <row r="201" spans="1:8" x14ac:dyDescent="0.3">
      <c r="A201" s="1" t="s">
        <v>419</v>
      </c>
      <c r="B201" s="2">
        <v>44815</v>
      </c>
      <c r="C201" s="1" t="s">
        <v>420</v>
      </c>
      <c r="D201" s="1" t="s">
        <v>34</v>
      </c>
      <c r="E201">
        <v>4</v>
      </c>
      <c r="F201" s="4">
        <v>931.45</v>
      </c>
      <c r="G201" s="3">
        <v>0.2</v>
      </c>
      <c r="H201" s="4">
        <v>118.25</v>
      </c>
    </row>
    <row r="202" spans="1:8" x14ac:dyDescent="0.3">
      <c r="A202" s="1" t="s">
        <v>421</v>
      </c>
      <c r="B202" s="2">
        <v>44584</v>
      </c>
      <c r="C202" s="1" t="s">
        <v>422</v>
      </c>
      <c r="D202" s="1" t="s">
        <v>177</v>
      </c>
      <c r="E202">
        <v>2</v>
      </c>
      <c r="F202" s="4">
        <v>583.87</v>
      </c>
      <c r="G202" s="3">
        <v>0.3</v>
      </c>
      <c r="H202" s="4">
        <v>64.400000000000006</v>
      </c>
    </row>
    <row r="203" spans="1:8" x14ac:dyDescent="0.3">
      <c r="A203" s="1" t="s">
        <v>423</v>
      </c>
      <c r="B203" s="2">
        <v>44899</v>
      </c>
      <c r="C203" s="1" t="s">
        <v>9</v>
      </c>
      <c r="D203" s="1" t="s">
        <v>45</v>
      </c>
      <c r="E203">
        <v>3</v>
      </c>
      <c r="F203" s="4">
        <v>1697.66</v>
      </c>
      <c r="G203" s="3">
        <v>0.1</v>
      </c>
      <c r="H203" s="4">
        <v>184.01</v>
      </c>
    </row>
    <row r="204" spans="1:8" x14ac:dyDescent="0.3">
      <c r="A204" s="1" t="s">
        <v>424</v>
      </c>
      <c r="B204" s="2">
        <v>44902</v>
      </c>
      <c r="C204" s="1" t="s">
        <v>425</v>
      </c>
      <c r="D204" s="1" t="s">
        <v>70</v>
      </c>
      <c r="E204">
        <v>1</v>
      </c>
      <c r="F204" s="4">
        <v>173.01</v>
      </c>
      <c r="G204" s="3">
        <v>0.1</v>
      </c>
      <c r="H204" s="4">
        <v>11.6</v>
      </c>
    </row>
    <row r="205" spans="1:8" x14ac:dyDescent="0.3">
      <c r="A205" s="1" t="s">
        <v>426</v>
      </c>
      <c r="B205" s="2">
        <v>45225</v>
      </c>
      <c r="C205" s="1" t="s">
        <v>300</v>
      </c>
      <c r="D205" s="1" t="s">
        <v>75</v>
      </c>
      <c r="E205">
        <v>1</v>
      </c>
      <c r="F205" s="4">
        <v>1813.35</v>
      </c>
      <c r="G205" s="3">
        <v>0.2</v>
      </c>
      <c r="H205" s="4">
        <v>175.5</v>
      </c>
    </row>
    <row r="206" spans="1:8" x14ac:dyDescent="0.3">
      <c r="A206" s="1" t="s">
        <v>427</v>
      </c>
      <c r="B206" s="2">
        <v>45118</v>
      </c>
      <c r="C206" s="1" t="s">
        <v>223</v>
      </c>
      <c r="D206" s="1" t="s">
        <v>378</v>
      </c>
      <c r="E206">
        <v>4</v>
      </c>
      <c r="F206" s="4">
        <v>976.81</v>
      </c>
      <c r="G206" s="3">
        <v>0.2</v>
      </c>
      <c r="H206" s="4">
        <v>184.51</v>
      </c>
    </row>
    <row r="207" spans="1:8" x14ac:dyDescent="0.3">
      <c r="A207" s="1" t="s">
        <v>428</v>
      </c>
      <c r="B207" s="2">
        <v>45170</v>
      </c>
      <c r="C207" s="1" t="s">
        <v>126</v>
      </c>
      <c r="D207" s="1" t="s">
        <v>70</v>
      </c>
      <c r="E207">
        <v>3</v>
      </c>
      <c r="F207" s="4">
        <v>1310.68</v>
      </c>
      <c r="G207" s="3">
        <v>0.2</v>
      </c>
      <c r="H207" s="4">
        <v>161</v>
      </c>
    </row>
    <row r="208" spans="1:8" x14ac:dyDescent="0.3">
      <c r="A208" s="1" t="s">
        <v>429</v>
      </c>
      <c r="B208" s="2">
        <v>44576</v>
      </c>
      <c r="C208" s="1" t="s">
        <v>85</v>
      </c>
      <c r="D208" s="1" t="s">
        <v>111</v>
      </c>
      <c r="E208">
        <v>5</v>
      </c>
      <c r="F208" s="4">
        <v>1352.77</v>
      </c>
      <c r="G208" s="3">
        <v>0.2</v>
      </c>
      <c r="H208" s="4">
        <v>208.8</v>
      </c>
    </row>
    <row r="209" spans="1:8" x14ac:dyDescent="0.3">
      <c r="A209" s="1" t="s">
        <v>430</v>
      </c>
      <c r="B209" s="2">
        <v>45449</v>
      </c>
      <c r="C209" s="1" t="s">
        <v>53</v>
      </c>
      <c r="D209" s="1" t="s">
        <v>378</v>
      </c>
      <c r="E209">
        <v>3</v>
      </c>
      <c r="F209" s="4">
        <v>1800.72</v>
      </c>
      <c r="G209" s="3">
        <v>0.2</v>
      </c>
      <c r="H209" s="4">
        <v>259.69</v>
      </c>
    </row>
    <row r="210" spans="1:8" x14ac:dyDescent="0.3">
      <c r="A210" s="1" t="s">
        <v>431</v>
      </c>
      <c r="B210" s="2">
        <v>44597</v>
      </c>
      <c r="C210" s="1" t="s">
        <v>121</v>
      </c>
      <c r="D210" s="1" t="s">
        <v>278</v>
      </c>
      <c r="E210">
        <v>4</v>
      </c>
      <c r="F210" s="4">
        <v>1309.67</v>
      </c>
      <c r="G210" s="3">
        <v>0</v>
      </c>
      <c r="H210" s="4">
        <v>352.27</v>
      </c>
    </row>
    <row r="211" spans="1:8" x14ac:dyDescent="0.3">
      <c r="A211" s="1" t="s">
        <v>432</v>
      </c>
      <c r="B211" s="2">
        <v>45436</v>
      </c>
      <c r="C211" s="1" t="s">
        <v>244</v>
      </c>
      <c r="D211" s="1" t="s">
        <v>130</v>
      </c>
      <c r="E211">
        <v>4</v>
      </c>
      <c r="F211" s="4">
        <v>1266.47</v>
      </c>
      <c r="G211" s="3">
        <v>0</v>
      </c>
      <c r="H211" s="4">
        <v>349.96</v>
      </c>
    </row>
    <row r="212" spans="1:8" x14ac:dyDescent="0.3">
      <c r="A212" s="1" t="s">
        <v>433</v>
      </c>
      <c r="B212" s="2">
        <v>44994</v>
      </c>
      <c r="C212" s="1" t="s">
        <v>434</v>
      </c>
      <c r="D212" s="1" t="s">
        <v>378</v>
      </c>
      <c r="E212">
        <v>3</v>
      </c>
      <c r="F212" s="4">
        <v>226.64</v>
      </c>
      <c r="G212" s="3">
        <v>0.3</v>
      </c>
      <c r="H212" s="4">
        <v>39.26</v>
      </c>
    </row>
    <row r="213" spans="1:8" x14ac:dyDescent="0.3">
      <c r="A213" s="1" t="s">
        <v>435</v>
      </c>
      <c r="B213" s="2">
        <v>44963</v>
      </c>
      <c r="C213" s="1" t="s">
        <v>436</v>
      </c>
      <c r="D213" s="1" t="s">
        <v>275</v>
      </c>
      <c r="E213">
        <v>4</v>
      </c>
      <c r="F213" s="4">
        <v>1084.98</v>
      </c>
      <c r="G213" s="3">
        <v>0.1</v>
      </c>
      <c r="H213" s="4">
        <v>143.80000000000001</v>
      </c>
    </row>
    <row r="214" spans="1:8" x14ac:dyDescent="0.3">
      <c r="A214" s="1" t="s">
        <v>437</v>
      </c>
      <c r="B214" s="2">
        <v>45341</v>
      </c>
      <c r="C214" s="1" t="s">
        <v>402</v>
      </c>
      <c r="D214" s="1" t="s">
        <v>263</v>
      </c>
      <c r="E214">
        <v>3</v>
      </c>
      <c r="F214" s="4">
        <v>385.32</v>
      </c>
      <c r="G214" s="3">
        <v>0</v>
      </c>
      <c r="H214" s="4">
        <v>29.55</v>
      </c>
    </row>
    <row r="215" spans="1:8" x14ac:dyDescent="0.3">
      <c r="A215" s="1" t="s">
        <v>438</v>
      </c>
      <c r="B215" s="2">
        <v>44853</v>
      </c>
      <c r="C215" s="1" t="s">
        <v>439</v>
      </c>
      <c r="D215" s="1" t="s">
        <v>61</v>
      </c>
      <c r="E215">
        <v>2</v>
      </c>
      <c r="F215" s="4">
        <v>1501.12</v>
      </c>
      <c r="G215" s="3">
        <v>0</v>
      </c>
      <c r="H215" s="4">
        <v>432.85</v>
      </c>
    </row>
    <row r="216" spans="1:8" x14ac:dyDescent="0.3">
      <c r="A216" s="1" t="s">
        <v>440</v>
      </c>
      <c r="B216" s="2">
        <v>44596</v>
      </c>
      <c r="C216" s="1" t="s">
        <v>145</v>
      </c>
      <c r="D216" s="1" t="s">
        <v>186</v>
      </c>
      <c r="E216">
        <v>3</v>
      </c>
      <c r="F216" s="4">
        <v>1073.22</v>
      </c>
      <c r="G216" s="3">
        <v>0</v>
      </c>
      <c r="H216" s="4">
        <v>69.819999999999993</v>
      </c>
    </row>
    <row r="217" spans="1:8" x14ac:dyDescent="0.3">
      <c r="A217" s="1" t="s">
        <v>441</v>
      </c>
      <c r="B217" s="2">
        <v>44731</v>
      </c>
      <c r="C217" s="1" t="s">
        <v>442</v>
      </c>
      <c r="D217" s="1" t="s">
        <v>107</v>
      </c>
      <c r="E217">
        <v>3</v>
      </c>
      <c r="F217" s="4">
        <v>1392.43</v>
      </c>
      <c r="G217" s="3">
        <v>0.3</v>
      </c>
      <c r="H217" s="4">
        <v>173.24</v>
      </c>
    </row>
    <row r="218" spans="1:8" x14ac:dyDescent="0.3">
      <c r="A218" s="1" t="s">
        <v>443</v>
      </c>
      <c r="B218" s="2">
        <v>45158</v>
      </c>
      <c r="C218" s="1" t="s">
        <v>444</v>
      </c>
      <c r="D218" s="1" t="s">
        <v>83</v>
      </c>
      <c r="E218">
        <v>4</v>
      </c>
      <c r="F218" s="4">
        <v>179.18</v>
      </c>
      <c r="G218" s="3">
        <v>0.2</v>
      </c>
      <c r="H218" s="4">
        <v>22.31</v>
      </c>
    </row>
    <row r="219" spans="1:8" x14ac:dyDescent="0.3">
      <c r="A219" s="1" t="s">
        <v>445</v>
      </c>
      <c r="B219" s="2">
        <v>45341</v>
      </c>
      <c r="C219" s="1" t="s">
        <v>380</v>
      </c>
      <c r="D219" s="1" t="s">
        <v>89</v>
      </c>
      <c r="E219">
        <v>4</v>
      </c>
      <c r="F219" s="4">
        <v>261.10000000000002</v>
      </c>
      <c r="G219" s="3">
        <v>0.3</v>
      </c>
      <c r="H219" s="4">
        <v>33.97</v>
      </c>
    </row>
    <row r="220" spans="1:8" x14ac:dyDescent="0.3">
      <c r="A220" s="1" t="s">
        <v>446</v>
      </c>
      <c r="B220" s="2">
        <v>44575</v>
      </c>
      <c r="C220" s="1" t="s">
        <v>447</v>
      </c>
      <c r="D220" s="1" t="s">
        <v>54</v>
      </c>
      <c r="E220">
        <v>1</v>
      </c>
      <c r="F220" s="4">
        <v>1461.01</v>
      </c>
      <c r="G220" s="3">
        <v>0.1</v>
      </c>
      <c r="H220" s="4">
        <v>133.06</v>
      </c>
    </row>
    <row r="221" spans="1:8" x14ac:dyDescent="0.3">
      <c r="A221" s="1" t="s">
        <v>448</v>
      </c>
      <c r="B221" s="2">
        <v>44904</v>
      </c>
      <c r="C221" s="1" t="s">
        <v>449</v>
      </c>
      <c r="D221" s="1" t="s">
        <v>34</v>
      </c>
      <c r="E221">
        <v>1</v>
      </c>
      <c r="F221" s="4">
        <v>236.96</v>
      </c>
      <c r="G221" s="3">
        <v>0.1</v>
      </c>
      <c r="H221" s="4">
        <v>58.24</v>
      </c>
    </row>
    <row r="222" spans="1:8" x14ac:dyDescent="0.3">
      <c r="A222" s="1" t="s">
        <v>450</v>
      </c>
      <c r="B222" s="2">
        <v>45154</v>
      </c>
      <c r="C222" s="1" t="s">
        <v>439</v>
      </c>
      <c r="D222" s="1" t="s">
        <v>451</v>
      </c>
      <c r="E222">
        <v>2</v>
      </c>
      <c r="F222" s="4">
        <v>235.39</v>
      </c>
      <c r="G222" s="3">
        <v>0.1</v>
      </c>
      <c r="H222" s="4">
        <v>18.98</v>
      </c>
    </row>
    <row r="223" spans="1:8" x14ac:dyDescent="0.3">
      <c r="A223" s="1" t="s">
        <v>452</v>
      </c>
      <c r="B223" s="2">
        <v>44788</v>
      </c>
      <c r="C223" s="1" t="s">
        <v>190</v>
      </c>
      <c r="D223" s="1" t="s">
        <v>218</v>
      </c>
      <c r="E223">
        <v>1</v>
      </c>
      <c r="F223" s="4">
        <v>123.01</v>
      </c>
      <c r="G223" s="3">
        <v>0.1</v>
      </c>
      <c r="H223" s="4">
        <v>25.68</v>
      </c>
    </row>
    <row r="224" spans="1:8" x14ac:dyDescent="0.3">
      <c r="A224" s="1" t="s">
        <v>453</v>
      </c>
      <c r="B224" s="2">
        <v>45029</v>
      </c>
      <c r="C224" s="1" t="s">
        <v>273</v>
      </c>
      <c r="D224" s="1" t="s">
        <v>239</v>
      </c>
      <c r="E224">
        <v>3</v>
      </c>
      <c r="F224" s="4">
        <v>1917.35</v>
      </c>
      <c r="G224" s="3">
        <v>0</v>
      </c>
      <c r="H224" s="4">
        <v>155.22999999999999</v>
      </c>
    </row>
    <row r="225" spans="1:8" x14ac:dyDescent="0.3">
      <c r="A225" s="1" t="s">
        <v>454</v>
      </c>
      <c r="B225" s="2">
        <v>44574</v>
      </c>
      <c r="C225" s="1" t="s">
        <v>205</v>
      </c>
      <c r="D225" s="1" t="s">
        <v>455</v>
      </c>
      <c r="E225">
        <v>4</v>
      </c>
      <c r="F225" s="4">
        <v>1501.27</v>
      </c>
      <c r="G225" s="3">
        <v>0</v>
      </c>
      <c r="H225" s="4">
        <v>101.54</v>
      </c>
    </row>
    <row r="226" spans="1:8" x14ac:dyDescent="0.3">
      <c r="A226" s="1" t="s">
        <v>456</v>
      </c>
      <c r="B226" s="2">
        <v>45200</v>
      </c>
      <c r="C226" s="1" t="s">
        <v>325</v>
      </c>
      <c r="D226" s="1" t="s">
        <v>256</v>
      </c>
      <c r="E226">
        <v>1</v>
      </c>
      <c r="F226" s="4">
        <v>771.18</v>
      </c>
      <c r="G226" s="3">
        <v>0.3</v>
      </c>
      <c r="H226" s="4">
        <v>213.89</v>
      </c>
    </row>
    <row r="227" spans="1:8" x14ac:dyDescent="0.3">
      <c r="A227" s="1" t="s">
        <v>457</v>
      </c>
      <c r="B227" s="2">
        <v>44762</v>
      </c>
      <c r="C227" s="1" t="s">
        <v>124</v>
      </c>
      <c r="D227" s="1" t="s">
        <v>458</v>
      </c>
      <c r="E227">
        <v>1</v>
      </c>
      <c r="F227" s="4">
        <v>663.42</v>
      </c>
      <c r="G227" s="3">
        <v>0.2</v>
      </c>
      <c r="H227" s="4">
        <v>64.7</v>
      </c>
    </row>
    <row r="228" spans="1:8" x14ac:dyDescent="0.3">
      <c r="A228" s="1" t="s">
        <v>459</v>
      </c>
      <c r="B228" s="2">
        <v>44969</v>
      </c>
      <c r="C228" s="1" t="s">
        <v>104</v>
      </c>
      <c r="D228" s="1" t="s">
        <v>78</v>
      </c>
      <c r="E228">
        <v>2</v>
      </c>
      <c r="F228" s="4">
        <v>764.44</v>
      </c>
      <c r="G228" s="3">
        <v>0.1</v>
      </c>
      <c r="H228" s="4">
        <v>195.17</v>
      </c>
    </row>
    <row r="229" spans="1:8" x14ac:dyDescent="0.3">
      <c r="A229" s="1" t="s">
        <v>460</v>
      </c>
      <c r="B229" s="2">
        <v>44774</v>
      </c>
      <c r="C229" s="1" t="s">
        <v>118</v>
      </c>
      <c r="D229" s="1" t="s">
        <v>163</v>
      </c>
      <c r="E229">
        <v>2</v>
      </c>
      <c r="F229" s="4">
        <v>1571.84</v>
      </c>
      <c r="G229" s="3">
        <v>0.3</v>
      </c>
      <c r="H229" s="4">
        <v>292.61</v>
      </c>
    </row>
    <row r="230" spans="1:8" x14ac:dyDescent="0.3">
      <c r="A230" s="1" t="s">
        <v>461</v>
      </c>
      <c r="B230" s="2">
        <v>44888</v>
      </c>
      <c r="C230" s="1" t="s">
        <v>277</v>
      </c>
      <c r="D230" s="1" t="s">
        <v>283</v>
      </c>
      <c r="E230">
        <v>3</v>
      </c>
      <c r="F230" s="4">
        <v>1356.6</v>
      </c>
      <c r="G230" s="3">
        <v>0</v>
      </c>
      <c r="H230" s="4">
        <v>94.24</v>
      </c>
    </row>
    <row r="231" spans="1:8" x14ac:dyDescent="0.3">
      <c r="A231" s="1" t="s">
        <v>462</v>
      </c>
      <c r="B231" s="2">
        <v>44799</v>
      </c>
      <c r="C231" s="1" t="s">
        <v>208</v>
      </c>
      <c r="D231" s="1" t="s">
        <v>143</v>
      </c>
      <c r="E231">
        <v>4</v>
      </c>
      <c r="F231" s="4">
        <v>451.87</v>
      </c>
      <c r="G231" s="3">
        <v>0</v>
      </c>
      <c r="H231" s="4">
        <v>130.53</v>
      </c>
    </row>
    <row r="232" spans="1:8" x14ac:dyDescent="0.3">
      <c r="A232" s="1" t="s">
        <v>463</v>
      </c>
      <c r="B232" s="2">
        <v>45113</v>
      </c>
      <c r="C232" s="1" t="s">
        <v>464</v>
      </c>
      <c r="D232" s="1" t="s">
        <v>323</v>
      </c>
      <c r="E232">
        <v>2</v>
      </c>
      <c r="F232" s="4">
        <v>430.81</v>
      </c>
      <c r="G232" s="3">
        <v>0.2</v>
      </c>
      <c r="H232" s="4">
        <v>48.14</v>
      </c>
    </row>
    <row r="233" spans="1:8" x14ac:dyDescent="0.3">
      <c r="A233" s="1" t="s">
        <v>465</v>
      </c>
      <c r="B233" s="2">
        <v>44602</v>
      </c>
      <c r="C233" s="1" t="s">
        <v>466</v>
      </c>
      <c r="D233" s="1" t="s">
        <v>97</v>
      </c>
      <c r="E233">
        <v>1</v>
      </c>
      <c r="F233" s="4">
        <v>286.95</v>
      </c>
      <c r="G233" s="3">
        <v>0.2</v>
      </c>
      <c r="H233" s="4">
        <v>76.02</v>
      </c>
    </row>
    <row r="234" spans="1:8" x14ac:dyDescent="0.3">
      <c r="A234" s="1" t="s">
        <v>467</v>
      </c>
      <c r="B234" s="2">
        <v>45395</v>
      </c>
      <c r="C234" s="1" t="s">
        <v>468</v>
      </c>
      <c r="D234" s="1" t="s">
        <v>127</v>
      </c>
      <c r="E234">
        <v>4</v>
      </c>
      <c r="F234" s="4">
        <v>1354.58</v>
      </c>
      <c r="G234" s="3">
        <v>0.2</v>
      </c>
      <c r="H234" s="4">
        <v>124.9</v>
      </c>
    </row>
    <row r="235" spans="1:8" x14ac:dyDescent="0.3">
      <c r="A235" s="1" t="s">
        <v>469</v>
      </c>
      <c r="B235" s="2">
        <v>44604</v>
      </c>
      <c r="C235" s="1" t="s">
        <v>412</v>
      </c>
      <c r="D235" s="1" t="s">
        <v>314</v>
      </c>
      <c r="E235">
        <v>4</v>
      </c>
      <c r="F235" s="4">
        <v>1552.31</v>
      </c>
      <c r="G235" s="3">
        <v>0.3</v>
      </c>
      <c r="H235" s="4">
        <v>409.01</v>
      </c>
    </row>
    <row r="236" spans="1:8" x14ac:dyDescent="0.3">
      <c r="A236" s="1" t="s">
        <v>470</v>
      </c>
      <c r="B236" s="2">
        <v>45374</v>
      </c>
      <c r="C236" s="1" t="s">
        <v>56</v>
      </c>
      <c r="D236" s="1" t="s">
        <v>86</v>
      </c>
      <c r="E236">
        <v>1</v>
      </c>
      <c r="F236" s="4">
        <v>603.59</v>
      </c>
      <c r="G236" s="3">
        <v>0</v>
      </c>
      <c r="H236" s="4">
        <v>32.18</v>
      </c>
    </row>
    <row r="237" spans="1:8" x14ac:dyDescent="0.3">
      <c r="A237" s="1" t="s">
        <v>471</v>
      </c>
      <c r="B237" s="2">
        <v>44932</v>
      </c>
      <c r="C237" s="1" t="s">
        <v>194</v>
      </c>
      <c r="D237" s="1" t="s">
        <v>132</v>
      </c>
      <c r="E237">
        <v>2</v>
      </c>
      <c r="F237" s="4">
        <v>139.80000000000001</v>
      </c>
      <c r="G237" s="3">
        <v>0</v>
      </c>
      <c r="H237" s="4">
        <v>24.88</v>
      </c>
    </row>
    <row r="238" spans="1:8" x14ac:dyDescent="0.3">
      <c r="A238" s="1" t="s">
        <v>472</v>
      </c>
      <c r="B238" s="2">
        <v>45252</v>
      </c>
      <c r="C238" s="1" t="s">
        <v>473</v>
      </c>
      <c r="D238" s="1" t="s">
        <v>147</v>
      </c>
      <c r="E238">
        <v>1</v>
      </c>
      <c r="F238" s="4">
        <v>256.13</v>
      </c>
      <c r="G238" s="3">
        <v>0.2</v>
      </c>
      <c r="H238" s="4">
        <v>62.08</v>
      </c>
    </row>
    <row r="239" spans="1:8" x14ac:dyDescent="0.3">
      <c r="A239" s="1" t="s">
        <v>474</v>
      </c>
      <c r="B239" s="2">
        <v>45040</v>
      </c>
      <c r="C239" s="1" t="s">
        <v>475</v>
      </c>
      <c r="D239" s="1" t="s">
        <v>341</v>
      </c>
      <c r="E239">
        <v>4</v>
      </c>
      <c r="F239" s="4">
        <v>1938.93</v>
      </c>
      <c r="G239" s="3">
        <v>0.1</v>
      </c>
      <c r="H239" s="4">
        <v>550.07000000000005</v>
      </c>
    </row>
    <row r="240" spans="1:8" x14ac:dyDescent="0.3">
      <c r="A240" s="1" t="s">
        <v>476</v>
      </c>
      <c r="B240" s="2">
        <v>45243</v>
      </c>
      <c r="C240" s="1" t="s">
        <v>124</v>
      </c>
      <c r="D240" s="1" t="s">
        <v>253</v>
      </c>
      <c r="E240">
        <v>5</v>
      </c>
      <c r="F240" s="4">
        <v>661.35</v>
      </c>
      <c r="G240" s="3">
        <v>0.2</v>
      </c>
      <c r="H240" s="4">
        <v>183.39</v>
      </c>
    </row>
    <row r="241" spans="1:8" x14ac:dyDescent="0.3">
      <c r="A241" s="1" t="s">
        <v>477</v>
      </c>
      <c r="B241" s="2">
        <v>45292</v>
      </c>
      <c r="C241" s="1" t="s">
        <v>21</v>
      </c>
      <c r="D241" s="1" t="s">
        <v>54</v>
      </c>
      <c r="E241">
        <v>5</v>
      </c>
      <c r="F241" s="4">
        <v>1561.52</v>
      </c>
      <c r="G241" s="3">
        <v>0.3</v>
      </c>
      <c r="H241" s="4">
        <v>398.04</v>
      </c>
    </row>
    <row r="242" spans="1:8" x14ac:dyDescent="0.3">
      <c r="A242" s="1" t="s">
        <v>478</v>
      </c>
      <c r="B242" s="2">
        <v>45078</v>
      </c>
      <c r="C242" s="1" t="s">
        <v>113</v>
      </c>
      <c r="D242" s="1" t="s">
        <v>341</v>
      </c>
      <c r="E242">
        <v>3</v>
      </c>
      <c r="F242" s="4">
        <v>1286.8599999999999</v>
      </c>
      <c r="G242" s="3">
        <v>0.2</v>
      </c>
      <c r="H242" s="4">
        <v>350.09</v>
      </c>
    </row>
    <row r="243" spans="1:8" x14ac:dyDescent="0.3">
      <c r="A243" s="1" t="s">
        <v>479</v>
      </c>
      <c r="B243" s="2">
        <v>44807</v>
      </c>
      <c r="C243" s="1" t="s">
        <v>50</v>
      </c>
      <c r="D243" s="1" t="s">
        <v>141</v>
      </c>
      <c r="E243">
        <v>1</v>
      </c>
      <c r="F243" s="4">
        <v>825.69</v>
      </c>
      <c r="G243" s="3">
        <v>0.2</v>
      </c>
      <c r="H243" s="4">
        <v>82.41</v>
      </c>
    </row>
    <row r="244" spans="1:8" x14ac:dyDescent="0.3">
      <c r="A244" s="1" t="s">
        <v>480</v>
      </c>
      <c r="B244" s="2">
        <v>44750</v>
      </c>
      <c r="C244" s="1" t="s">
        <v>290</v>
      </c>
      <c r="D244" s="1" t="s">
        <v>86</v>
      </c>
      <c r="E244">
        <v>1</v>
      </c>
      <c r="F244" s="4">
        <v>490.81</v>
      </c>
      <c r="G244" s="3">
        <v>0.3</v>
      </c>
      <c r="H244" s="4">
        <v>59.41</v>
      </c>
    </row>
    <row r="245" spans="1:8" x14ac:dyDescent="0.3">
      <c r="A245" s="1" t="s">
        <v>481</v>
      </c>
      <c r="B245" s="2">
        <v>44831</v>
      </c>
      <c r="C245" s="1" t="s">
        <v>482</v>
      </c>
      <c r="D245" s="1" t="s">
        <v>221</v>
      </c>
      <c r="E245">
        <v>3</v>
      </c>
      <c r="F245" s="4">
        <v>330.63</v>
      </c>
      <c r="G245" s="3">
        <v>0.2</v>
      </c>
      <c r="H245" s="4">
        <v>40.42</v>
      </c>
    </row>
    <row r="246" spans="1:8" x14ac:dyDescent="0.3">
      <c r="A246" s="1" t="s">
        <v>483</v>
      </c>
      <c r="B246" s="2">
        <v>45150</v>
      </c>
      <c r="C246" s="1" t="s">
        <v>213</v>
      </c>
      <c r="D246" s="1" t="s">
        <v>127</v>
      </c>
      <c r="E246">
        <v>3</v>
      </c>
      <c r="F246" s="4">
        <v>1268.52</v>
      </c>
      <c r="G246" s="3">
        <v>0</v>
      </c>
      <c r="H246" s="4">
        <v>183</v>
      </c>
    </row>
    <row r="247" spans="1:8" x14ac:dyDescent="0.3">
      <c r="A247" s="1" t="s">
        <v>484</v>
      </c>
      <c r="B247" s="2">
        <v>45248</v>
      </c>
      <c r="C247" s="1" t="s">
        <v>344</v>
      </c>
      <c r="D247" s="1" t="s">
        <v>239</v>
      </c>
      <c r="E247">
        <v>3</v>
      </c>
      <c r="F247" s="4">
        <v>1571.8</v>
      </c>
      <c r="G247" s="3">
        <v>0.1</v>
      </c>
      <c r="H247" s="4">
        <v>233.15</v>
      </c>
    </row>
    <row r="248" spans="1:8" x14ac:dyDescent="0.3">
      <c r="A248" s="1" t="s">
        <v>485</v>
      </c>
      <c r="B248" s="2">
        <v>45159</v>
      </c>
      <c r="C248" s="1" t="s">
        <v>121</v>
      </c>
      <c r="D248" s="1" t="s">
        <v>48</v>
      </c>
      <c r="E248">
        <v>4</v>
      </c>
      <c r="F248" s="4">
        <v>1323.42</v>
      </c>
      <c r="G248" s="3">
        <v>0.2</v>
      </c>
      <c r="H248" s="4">
        <v>246.34</v>
      </c>
    </row>
    <row r="249" spans="1:8" x14ac:dyDescent="0.3">
      <c r="A249" s="1" t="s">
        <v>486</v>
      </c>
      <c r="B249" s="2">
        <v>45181</v>
      </c>
      <c r="C249" s="1" t="s">
        <v>487</v>
      </c>
      <c r="D249" s="1" t="s">
        <v>141</v>
      </c>
      <c r="E249">
        <v>1</v>
      </c>
      <c r="F249" s="4">
        <v>1107.57</v>
      </c>
      <c r="G249" s="3">
        <v>0.3</v>
      </c>
      <c r="H249" s="4">
        <v>99.65</v>
      </c>
    </row>
    <row r="250" spans="1:8" x14ac:dyDescent="0.3">
      <c r="A250" s="1" t="s">
        <v>488</v>
      </c>
      <c r="B250" s="2">
        <v>45428</v>
      </c>
      <c r="C250" s="1" t="s">
        <v>489</v>
      </c>
      <c r="D250" s="1" t="s">
        <v>132</v>
      </c>
      <c r="E250">
        <v>4</v>
      </c>
      <c r="F250" s="4">
        <v>179.71</v>
      </c>
      <c r="G250" s="3">
        <v>0.1</v>
      </c>
      <c r="H250" s="4">
        <v>40.04</v>
      </c>
    </row>
    <row r="251" spans="1:8" x14ac:dyDescent="0.3">
      <c r="A251" s="1" t="s">
        <v>490</v>
      </c>
      <c r="B251" s="2">
        <v>44575</v>
      </c>
      <c r="C251" s="1" t="s">
        <v>491</v>
      </c>
      <c r="D251" s="1" t="s">
        <v>226</v>
      </c>
      <c r="E251">
        <v>3</v>
      </c>
      <c r="F251" s="4">
        <v>1940.13</v>
      </c>
      <c r="G251" s="3">
        <v>0.3</v>
      </c>
      <c r="H251" s="4">
        <v>178.28</v>
      </c>
    </row>
    <row r="252" spans="1:8" x14ac:dyDescent="0.3">
      <c r="A252" s="1" t="s">
        <v>492</v>
      </c>
      <c r="B252" s="2">
        <v>45408</v>
      </c>
      <c r="C252" s="1" t="s">
        <v>308</v>
      </c>
      <c r="D252" s="1" t="s">
        <v>100</v>
      </c>
      <c r="E252">
        <v>1</v>
      </c>
      <c r="F252" s="4">
        <v>1617.56</v>
      </c>
      <c r="G252" s="3">
        <v>0.1</v>
      </c>
      <c r="H252" s="4">
        <v>206.36</v>
      </c>
    </row>
    <row r="253" spans="1:8" x14ac:dyDescent="0.3">
      <c r="A253" s="1" t="s">
        <v>493</v>
      </c>
      <c r="B253" s="2">
        <v>44892</v>
      </c>
      <c r="C253" s="1" t="s">
        <v>494</v>
      </c>
      <c r="D253" s="1" t="s">
        <v>258</v>
      </c>
      <c r="E253">
        <v>4</v>
      </c>
      <c r="F253" s="4">
        <v>656.36</v>
      </c>
      <c r="G253" s="3">
        <v>0.1</v>
      </c>
      <c r="H253" s="4">
        <v>115.41</v>
      </c>
    </row>
    <row r="254" spans="1:8" x14ac:dyDescent="0.3">
      <c r="A254" s="1" t="s">
        <v>495</v>
      </c>
      <c r="B254" s="2">
        <v>45071</v>
      </c>
      <c r="C254" s="1" t="s">
        <v>353</v>
      </c>
      <c r="D254" s="1" t="s">
        <v>249</v>
      </c>
      <c r="E254">
        <v>4</v>
      </c>
      <c r="F254" s="4">
        <v>1961.94</v>
      </c>
      <c r="G254" s="3">
        <v>0.2</v>
      </c>
      <c r="H254" s="4">
        <v>488.74</v>
      </c>
    </row>
    <row r="255" spans="1:8" x14ac:dyDescent="0.3">
      <c r="A255" s="1" t="s">
        <v>496</v>
      </c>
      <c r="B255" s="2">
        <v>44767</v>
      </c>
      <c r="C255" s="1" t="s">
        <v>136</v>
      </c>
      <c r="D255" s="1" t="s">
        <v>25</v>
      </c>
      <c r="E255">
        <v>3</v>
      </c>
      <c r="F255" s="4">
        <v>1243.58</v>
      </c>
      <c r="G255" s="3">
        <v>0</v>
      </c>
      <c r="H255" s="4">
        <v>292.08</v>
      </c>
    </row>
    <row r="256" spans="1:8" x14ac:dyDescent="0.3">
      <c r="A256" s="1" t="s">
        <v>497</v>
      </c>
      <c r="B256" s="2">
        <v>45446</v>
      </c>
      <c r="C256" s="1" t="s">
        <v>244</v>
      </c>
      <c r="D256" s="1" t="s">
        <v>127</v>
      </c>
      <c r="E256">
        <v>1</v>
      </c>
      <c r="F256" s="4">
        <v>1206.5999999999999</v>
      </c>
      <c r="G256" s="3">
        <v>0.2</v>
      </c>
      <c r="H256" s="4">
        <v>255.06</v>
      </c>
    </row>
    <row r="257" spans="1:8" x14ac:dyDescent="0.3">
      <c r="A257" s="1" t="s">
        <v>498</v>
      </c>
      <c r="B257" s="2">
        <v>44654</v>
      </c>
      <c r="C257" s="1" t="s">
        <v>319</v>
      </c>
      <c r="D257" s="1" t="s">
        <v>67</v>
      </c>
      <c r="E257">
        <v>3</v>
      </c>
      <c r="F257" s="4">
        <v>1521.34</v>
      </c>
      <c r="G257" s="3">
        <v>0.3</v>
      </c>
      <c r="H257" s="4">
        <v>135.31</v>
      </c>
    </row>
    <row r="258" spans="1:8" x14ac:dyDescent="0.3">
      <c r="A258" s="1" t="s">
        <v>499</v>
      </c>
      <c r="B258" s="2">
        <v>44811</v>
      </c>
      <c r="C258" s="1" t="s">
        <v>412</v>
      </c>
      <c r="D258" s="1" t="s">
        <v>163</v>
      </c>
      <c r="E258">
        <v>1</v>
      </c>
      <c r="F258" s="4">
        <v>1642.36</v>
      </c>
      <c r="G258" s="3">
        <v>0.3</v>
      </c>
      <c r="H258" s="4">
        <v>306.73</v>
      </c>
    </row>
    <row r="259" spans="1:8" x14ac:dyDescent="0.3">
      <c r="A259" s="1" t="s">
        <v>500</v>
      </c>
      <c r="B259" s="2">
        <v>44974</v>
      </c>
      <c r="C259" s="1" t="s">
        <v>167</v>
      </c>
      <c r="D259" s="1" t="s">
        <v>130</v>
      </c>
      <c r="E259">
        <v>5</v>
      </c>
      <c r="F259" s="4">
        <v>1347.31</v>
      </c>
      <c r="G259" s="3">
        <v>0.1</v>
      </c>
      <c r="H259" s="4">
        <v>96.82</v>
      </c>
    </row>
    <row r="260" spans="1:8" x14ac:dyDescent="0.3">
      <c r="A260" s="1" t="s">
        <v>501</v>
      </c>
      <c r="B260" s="2">
        <v>44710</v>
      </c>
      <c r="C260" s="1" t="s">
        <v>174</v>
      </c>
      <c r="D260" s="1" t="s">
        <v>502</v>
      </c>
      <c r="E260">
        <v>2</v>
      </c>
      <c r="F260" s="4">
        <v>343.38</v>
      </c>
      <c r="G260" s="3">
        <v>0.1</v>
      </c>
      <c r="H260" s="4">
        <v>49.56</v>
      </c>
    </row>
    <row r="261" spans="1:8" x14ac:dyDescent="0.3">
      <c r="A261" s="1" t="s">
        <v>503</v>
      </c>
      <c r="B261" s="2">
        <v>44982</v>
      </c>
      <c r="C261" s="1" t="s">
        <v>179</v>
      </c>
      <c r="D261" s="1" t="s">
        <v>89</v>
      </c>
      <c r="E261">
        <v>2</v>
      </c>
      <c r="F261" s="4">
        <v>742.71</v>
      </c>
      <c r="G261" s="3">
        <v>0</v>
      </c>
      <c r="H261" s="4">
        <v>113.92</v>
      </c>
    </row>
    <row r="262" spans="1:8" x14ac:dyDescent="0.3">
      <c r="A262" s="1" t="s">
        <v>504</v>
      </c>
      <c r="B262" s="2">
        <v>45111</v>
      </c>
      <c r="C262" s="1" t="s">
        <v>505</v>
      </c>
      <c r="D262" s="1" t="s">
        <v>378</v>
      </c>
      <c r="E262">
        <v>2</v>
      </c>
      <c r="F262" s="4">
        <v>1863.36</v>
      </c>
      <c r="G262" s="3">
        <v>0.2</v>
      </c>
      <c r="H262" s="4">
        <v>111.71</v>
      </c>
    </row>
    <row r="263" spans="1:8" x14ac:dyDescent="0.3">
      <c r="A263" s="1" t="s">
        <v>506</v>
      </c>
      <c r="B263" s="2">
        <v>45422</v>
      </c>
      <c r="C263" s="1" t="s">
        <v>252</v>
      </c>
      <c r="D263" s="1" t="s">
        <v>361</v>
      </c>
      <c r="E263">
        <v>3</v>
      </c>
      <c r="F263" s="4">
        <v>526.77</v>
      </c>
      <c r="G263" s="3">
        <v>0.3</v>
      </c>
      <c r="H263" s="4">
        <v>62.42</v>
      </c>
    </row>
    <row r="264" spans="1:8" x14ac:dyDescent="0.3">
      <c r="A264" s="1" t="s">
        <v>507</v>
      </c>
      <c r="B264" s="2">
        <v>44987</v>
      </c>
      <c r="C264" s="1" t="s">
        <v>268</v>
      </c>
      <c r="D264" s="1" t="s">
        <v>221</v>
      </c>
      <c r="E264">
        <v>5</v>
      </c>
      <c r="F264" s="4">
        <v>807.12</v>
      </c>
      <c r="G264" s="3">
        <v>0.1</v>
      </c>
      <c r="H264" s="4">
        <v>233.19</v>
      </c>
    </row>
    <row r="265" spans="1:8" x14ac:dyDescent="0.3">
      <c r="A265" s="1" t="s">
        <v>508</v>
      </c>
      <c r="B265" s="2">
        <v>45262</v>
      </c>
      <c r="C265" s="1" t="s">
        <v>21</v>
      </c>
      <c r="D265" s="1" t="s">
        <v>116</v>
      </c>
      <c r="E265">
        <v>1</v>
      </c>
      <c r="F265" s="4">
        <v>920.95</v>
      </c>
      <c r="G265" s="3">
        <v>0</v>
      </c>
      <c r="H265" s="4">
        <v>265.61</v>
      </c>
    </row>
    <row r="266" spans="1:8" x14ac:dyDescent="0.3">
      <c r="A266" s="1" t="s">
        <v>509</v>
      </c>
      <c r="B266" s="2">
        <v>45438</v>
      </c>
      <c r="C266" s="1" t="s">
        <v>510</v>
      </c>
      <c r="D266" s="1" t="s">
        <v>139</v>
      </c>
      <c r="E266">
        <v>4</v>
      </c>
      <c r="F266" s="4">
        <v>934.87</v>
      </c>
      <c r="G266" s="3">
        <v>0.3</v>
      </c>
      <c r="H266" s="4">
        <v>129.09</v>
      </c>
    </row>
    <row r="267" spans="1:8" x14ac:dyDescent="0.3">
      <c r="A267" s="1" t="s">
        <v>511</v>
      </c>
      <c r="B267" s="2">
        <v>45125</v>
      </c>
      <c r="C267" s="1" t="s">
        <v>412</v>
      </c>
      <c r="D267" s="1" t="s">
        <v>314</v>
      </c>
      <c r="E267">
        <v>1</v>
      </c>
      <c r="F267" s="4">
        <v>1264.5899999999999</v>
      </c>
      <c r="G267" s="3">
        <v>0.1</v>
      </c>
      <c r="H267" s="4">
        <v>76.86</v>
      </c>
    </row>
    <row r="268" spans="1:8" x14ac:dyDescent="0.3">
      <c r="A268" s="1" t="s">
        <v>512</v>
      </c>
      <c r="B268" s="2">
        <v>44917</v>
      </c>
      <c r="C268" s="1" t="s">
        <v>228</v>
      </c>
      <c r="D268" s="1" t="s">
        <v>239</v>
      </c>
      <c r="E268">
        <v>4</v>
      </c>
      <c r="F268" s="4">
        <v>1891.84</v>
      </c>
      <c r="G268" s="3">
        <v>0.3</v>
      </c>
      <c r="H268" s="4">
        <v>179.3</v>
      </c>
    </row>
    <row r="269" spans="1:8" x14ac:dyDescent="0.3">
      <c r="A269" s="1" t="s">
        <v>513</v>
      </c>
      <c r="B269" s="2">
        <v>45285</v>
      </c>
      <c r="C269" s="1" t="s">
        <v>233</v>
      </c>
      <c r="D269" s="1" t="s">
        <v>92</v>
      </c>
      <c r="E269">
        <v>1</v>
      </c>
      <c r="F269" s="4">
        <v>557.32000000000005</v>
      </c>
      <c r="G269" s="3">
        <v>0</v>
      </c>
      <c r="H269" s="4">
        <v>82.51</v>
      </c>
    </row>
    <row r="270" spans="1:8" x14ac:dyDescent="0.3">
      <c r="A270" s="1" t="s">
        <v>514</v>
      </c>
      <c r="B270" s="2">
        <v>45108</v>
      </c>
      <c r="C270" s="1" t="s">
        <v>121</v>
      </c>
      <c r="D270" s="1" t="s">
        <v>288</v>
      </c>
      <c r="E270">
        <v>5</v>
      </c>
      <c r="F270" s="4">
        <v>330.85</v>
      </c>
      <c r="G270" s="3">
        <v>0</v>
      </c>
      <c r="H270" s="4">
        <v>94.94</v>
      </c>
    </row>
    <row r="271" spans="1:8" x14ac:dyDescent="0.3">
      <c r="A271" s="1" t="s">
        <v>515</v>
      </c>
      <c r="B271" s="2">
        <v>45365</v>
      </c>
      <c r="C271" s="1" t="s">
        <v>42</v>
      </c>
      <c r="D271" s="1" t="s">
        <v>314</v>
      </c>
      <c r="E271">
        <v>4</v>
      </c>
      <c r="F271" s="4">
        <v>475.19</v>
      </c>
      <c r="G271" s="3">
        <v>0.3</v>
      </c>
      <c r="H271" s="4">
        <v>40.53</v>
      </c>
    </row>
    <row r="272" spans="1:8" x14ac:dyDescent="0.3">
      <c r="A272" s="1" t="s">
        <v>516</v>
      </c>
      <c r="B272" s="2">
        <v>45044</v>
      </c>
      <c r="C272" s="1" t="s">
        <v>265</v>
      </c>
      <c r="D272" s="1" t="s">
        <v>226</v>
      </c>
      <c r="E272">
        <v>3</v>
      </c>
      <c r="F272" s="4">
        <v>1785.16</v>
      </c>
      <c r="G272" s="3">
        <v>0.2</v>
      </c>
      <c r="H272" s="4">
        <v>430.01</v>
      </c>
    </row>
    <row r="273" spans="1:8" x14ac:dyDescent="0.3">
      <c r="A273" s="1" t="s">
        <v>517</v>
      </c>
      <c r="B273" s="2">
        <v>44872</v>
      </c>
      <c r="C273" s="1" t="s">
        <v>203</v>
      </c>
      <c r="D273" s="1" t="s">
        <v>249</v>
      </c>
      <c r="E273">
        <v>1</v>
      </c>
      <c r="F273" s="4">
        <v>1327.04</v>
      </c>
      <c r="G273" s="3">
        <v>0.3</v>
      </c>
      <c r="H273" s="4">
        <v>102.41</v>
      </c>
    </row>
    <row r="274" spans="1:8" x14ac:dyDescent="0.3">
      <c r="A274" s="1" t="s">
        <v>518</v>
      </c>
      <c r="B274" s="2">
        <v>44713</v>
      </c>
      <c r="C274" s="1" t="s">
        <v>150</v>
      </c>
      <c r="D274" s="1" t="s">
        <v>25</v>
      </c>
      <c r="E274">
        <v>1</v>
      </c>
      <c r="F274" s="4">
        <v>643.22</v>
      </c>
      <c r="G274" s="3">
        <v>0.1</v>
      </c>
      <c r="H274" s="4">
        <v>189.95</v>
      </c>
    </row>
    <row r="275" spans="1:8" x14ac:dyDescent="0.3">
      <c r="A275" s="1" t="s">
        <v>519</v>
      </c>
      <c r="B275" s="2">
        <v>45363</v>
      </c>
      <c r="C275" s="1" t="s">
        <v>520</v>
      </c>
      <c r="D275" s="1" t="s">
        <v>215</v>
      </c>
      <c r="E275">
        <v>4</v>
      </c>
      <c r="F275" s="4">
        <v>1650.3</v>
      </c>
      <c r="G275" s="3">
        <v>0.2</v>
      </c>
      <c r="H275" s="4">
        <v>239.96</v>
      </c>
    </row>
    <row r="276" spans="1:8" x14ac:dyDescent="0.3">
      <c r="A276" s="1" t="s">
        <v>521</v>
      </c>
      <c r="B276" s="2">
        <v>45191</v>
      </c>
      <c r="C276" s="1" t="s">
        <v>350</v>
      </c>
      <c r="D276" s="1" t="s">
        <v>61</v>
      </c>
      <c r="E276">
        <v>3</v>
      </c>
      <c r="F276" s="4">
        <v>1736.6</v>
      </c>
      <c r="G276" s="3">
        <v>0.1</v>
      </c>
      <c r="H276" s="4">
        <v>423.4</v>
      </c>
    </row>
    <row r="277" spans="1:8" x14ac:dyDescent="0.3">
      <c r="A277" s="1" t="s">
        <v>522</v>
      </c>
      <c r="B277" s="2">
        <v>44699</v>
      </c>
      <c r="C277" s="1" t="s">
        <v>58</v>
      </c>
      <c r="D277" s="1" t="s">
        <v>141</v>
      </c>
      <c r="E277">
        <v>3</v>
      </c>
      <c r="F277" s="4">
        <v>1708.38</v>
      </c>
      <c r="G277" s="3">
        <v>0.3</v>
      </c>
      <c r="H277" s="4">
        <v>231.74</v>
      </c>
    </row>
    <row r="278" spans="1:8" x14ac:dyDescent="0.3">
      <c r="A278" s="1" t="s">
        <v>523</v>
      </c>
      <c r="B278" s="2">
        <v>44642</v>
      </c>
      <c r="C278" s="1" t="s">
        <v>524</v>
      </c>
      <c r="D278" s="1" t="s">
        <v>269</v>
      </c>
      <c r="E278">
        <v>5</v>
      </c>
      <c r="F278" s="4">
        <v>1845.96</v>
      </c>
      <c r="G278" s="3">
        <v>0.2</v>
      </c>
      <c r="H278" s="4">
        <v>381.96</v>
      </c>
    </row>
    <row r="279" spans="1:8" x14ac:dyDescent="0.3">
      <c r="A279" s="1" t="s">
        <v>525</v>
      </c>
      <c r="B279" s="2">
        <v>44991</v>
      </c>
      <c r="C279" s="1" t="s">
        <v>526</v>
      </c>
      <c r="D279" s="1" t="s">
        <v>400</v>
      </c>
      <c r="E279">
        <v>3</v>
      </c>
      <c r="F279" s="4">
        <v>579.26</v>
      </c>
      <c r="G279" s="3">
        <v>0.1</v>
      </c>
      <c r="H279" s="4">
        <v>56.77</v>
      </c>
    </row>
    <row r="280" spans="1:8" x14ac:dyDescent="0.3">
      <c r="A280" s="1" t="s">
        <v>527</v>
      </c>
      <c r="B280" s="2">
        <v>44737</v>
      </c>
      <c r="C280" s="1" t="s">
        <v>194</v>
      </c>
      <c r="D280" s="1" t="s">
        <v>163</v>
      </c>
      <c r="E280">
        <v>3</v>
      </c>
      <c r="F280" s="4">
        <v>1534.58</v>
      </c>
      <c r="G280" s="3">
        <v>0.3</v>
      </c>
      <c r="H280" s="4">
        <v>132.75</v>
      </c>
    </row>
    <row r="281" spans="1:8" x14ac:dyDescent="0.3">
      <c r="A281" s="1" t="s">
        <v>528</v>
      </c>
      <c r="B281" s="2">
        <v>45252</v>
      </c>
      <c r="C281" s="1" t="s">
        <v>529</v>
      </c>
      <c r="D281" s="1" t="s">
        <v>283</v>
      </c>
      <c r="E281">
        <v>3</v>
      </c>
      <c r="F281" s="4">
        <v>975.03</v>
      </c>
      <c r="G281" s="3">
        <v>0.3</v>
      </c>
      <c r="H281" s="4">
        <v>277.41000000000003</v>
      </c>
    </row>
    <row r="282" spans="1:8" x14ac:dyDescent="0.3">
      <c r="A282" s="1" t="s">
        <v>530</v>
      </c>
      <c r="B282" s="2">
        <v>45227</v>
      </c>
      <c r="C282" s="1" t="s">
        <v>447</v>
      </c>
      <c r="D282" s="1" t="s">
        <v>61</v>
      </c>
      <c r="E282">
        <v>2</v>
      </c>
      <c r="F282" s="4">
        <v>1699.8</v>
      </c>
      <c r="G282" s="3">
        <v>0.2</v>
      </c>
      <c r="H282" s="4">
        <v>474.94</v>
      </c>
    </row>
    <row r="283" spans="1:8" x14ac:dyDescent="0.3">
      <c r="A283" s="1" t="s">
        <v>531</v>
      </c>
      <c r="B283" s="2">
        <v>45370</v>
      </c>
      <c r="C283" s="1" t="s">
        <v>325</v>
      </c>
      <c r="D283" s="1" t="s">
        <v>51</v>
      </c>
      <c r="E283">
        <v>5</v>
      </c>
      <c r="F283" s="4">
        <v>1484.13</v>
      </c>
      <c r="G283" s="3">
        <v>0.3</v>
      </c>
      <c r="H283" s="4">
        <v>403.49</v>
      </c>
    </row>
    <row r="284" spans="1:8" x14ac:dyDescent="0.3">
      <c r="A284" s="1" t="s">
        <v>532</v>
      </c>
      <c r="B284" s="2">
        <v>45134</v>
      </c>
      <c r="C284" s="1" t="s">
        <v>533</v>
      </c>
      <c r="D284" s="1" t="s">
        <v>54</v>
      </c>
      <c r="E284">
        <v>1</v>
      </c>
      <c r="F284" s="4">
        <v>1575.25</v>
      </c>
      <c r="G284" s="3">
        <v>0</v>
      </c>
      <c r="H284" s="4">
        <v>325.07</v>
      </c>
    </row>
    <row r="285" spans="1:8" x14ac:dyDescent="0.3">
      <c r="A285" s="1" t="s">
        <v>534</v>
      </c>
      <c r="B285" s="2">
        <v>44856</v>
      </c>
      <c r="C285" s="1" t="s">
        <v>533</v>
      </c>
      <c r="D285" s="1" t="s">
        <v>127</v>
      </c>
      <c r="E285">
        <v>4</v>
      </c>
      <c r="F285" s="4">
        <v>1346.71</v>
      </c>
      <c r="G285" s="3">
        <v>0.1</v>
      </c>
      <c r="H285" s="4">
        <v>339.46</v>
      </c>
    </row>
    <row r="286" spans="1:8" x14ac:dyDescent="0.3">
      <c r="A286" s="1" t="s">
        <v>535</v>
      </c>
      <c r="B286" s="2">
        <v>44764</v>
      </c>
      <c r="C286" s="1" t="s">
        <v>347</v>
      </c>
      <c r="D286" s="1" t="s">
        <v>278</v>
      </c>
      <c r="E286">
        <v>1</v>
      </c>
      <c r="F286" s="4">
        <v>437.11</v>
      </c>
      <c r="G286" s="3">
        <v>0.1</v>
      </c>
      <c r="H286" s="4">
        <v>29.4</v>
      </c>
    </row>
    <row r="287" spans="1:8" x14ac:dyDescent="0.3">
      <c r="A287" s="1" t="s">
        <v>536</v>
      </c>
      <c r="B287" s="2">
        <v>45186</v>
      </c>
      <c r="C287" s="1" t="s">
        <v>537</v>
      </c>
      <c r="D287" s="1" t="s">
        <v>72</v>
      </c>
      <c r="E287">
        <v>5</v>
      </c>
      <c r="F287" s="4">
        <v>1135.55</v>
      </c>
      <c r="G287" s="3">
        <v>0.3</v>
      </c>
      <c r="H287" s="4">
        <v>151.82</v>
      </c>
    </row>
    <row r="288" spans="1:8" x14ac:dyDescent="0.3">
      <c r="A288" s="1" t="s">
        <v>538</v>
      </c>
      <c r="B288" s="2">
        <v>44632</v>
      </c>
      <c r="C288" s="1" t="s">
        <v>277</v>
      </c>
      <c r="D288" s="1" t="s">
        <v>201</v>
      </c>
      <c r="E288">
        <v>4</v>
      </c>
      <c r="F288" s="4">
        <v>1970.87</v>
      </c>
      <c r="G288" s="3">
        <v>0.3</v>
      </c>
      <c r="H288" s="4">
        <v>253.11</v>
      </c>
    </row>
    <row r="289" spans="1:8" x14ac:dyDescent="0.3">
      <c r="A289" s="1" t="s">
        <v>539</v>
      </c>
      <c r="B289" s="2">
        <v>45325</v>
      </c>
      <c r="C289" s="1" t="s">
        <v>63</v>
      </c>
      <c r="D289" s="1" t="s">
        <v>70</v>
      </c>
      <c r="E289">
        <v>5</v>
      </c>
      <c r="F289" s="4">
        <v>1881.04</v>
      </c>
      <c r="G289" s="3">
        <v>0</v>
      </c>
      <c r="H289" s="4">
        <v>392.97</v>
      </c>
    </row>
    <row r="290" spans="1:8" x14ac:dyDescent="0.3">
      <c r="A290" s="1" t="s">
        <v>540</v>
      </c>
      <c r="B290" s="2">
        <v>45185</v>
      </c>
      <c r="C290" s="1" t="s">
        <v>334</v>
      </c>
      <c r="D290" s="1" t="s">
        <v>275</v>
      </c>
      <c r="E290">
        <v>3</v>
      </c>
      <c r="F290" s="4">
        <v>182.03</v>
      </c>
      <c r="G290" s="3">
        <v>0.2</v>
      </c>
      <c r="H290" s="4">
        <v>25.3</v>
      </c>
    </row>
    <row r="291" spans="1:8" x14ac:dyDescent="0.3">
      <c r="A291" s="1" t="s">
        <v>541</v>
      </c>
      <c r="B291" s="2">
        <v>45402</v>
      </c>
      <c r="C291" s="1" t="s">
        <v>542</v>
      </c>
      <c r="D291" s="1" t="s">
        <v>249</v>
      </c>
      <c r="E291">
        <v>4</v>
      </c>
      <c r="F291" s="4">
        <v>413.15</v>
      </c>
      <c r="G291" s="3">
        <v>0.3</v>
      </c>
      <c r="H291" s="4">
        <v>36</v>
      </c>
    </row>
    <row r="292" spans="1:8" x14ac:dyDescent="0.3">
      <c r="A292" s="1" t="s">
        <v>543</v>
      </c>
      <c r="B292" s="2">
        <v>44743</v>
      </c>
      <c r="C292" s="1" t="s">
        <v>330</v>
      </c>
      <c r="D292" s="1" t="s">
        <v>111</v>
      </c>
      <c r="E292">
        <v>3</v>
      </c>
      <c r="F292" s="4">
        <v>350.28</v>
      </c>
      <c r="G292" s="3">
        <v>0.3</v>
      </c>
      <c r="H292" s="4">
        <v>69.75</v>
      </c>
    </row>
    <row r="293" spans="1:8" x14ac:dyDescent="0.3">
      <c r="A293" s="1" t="s">
        <v>544</v>
      </c>
      <c r="B293" s="2">
        <v>45462</v>
      </c>
      <c r="C293" s="1" t="s">
        <v>121</v>
      </c>
      <c r="D293" s="1" t="s">
        <v>13</v>
      </c>
      <c r="E293">
        <v>1</v>
      </c>
      <c r="F293" s="4">
        <v>1479.36</v>
      </c>
      <c r="G293" s="3">
        <v>0.3</v>
      </c>
      <c r="H293" s="4">
        <v>375.16</v>
      </c>
    </row>
    <row r="294" spans="1:8" x14ac:dyDescent="0.3">
      <c r="A294" s="1" t="s">
        <v>545</v>
      </c>
      <c r="B294" s="2">
        <v>44696</v>
      </c>
      <c r="C294" s="1" t="s">
        <v>367</v>
      </c>
      <c r="D294" s="1" t="s">
        <v>141</v>
      </c>
      <c r="E294">
        <v>1</v>
      </c>
      <c r="F294" s="4">
        <v>1653.79</v>
      </c>
      <c r="G294" s="3">
        <v>0.3</v>
      </c>
      <c r="H294" s="4">
        <v>240.68</v>
      </c>
    </row>
    <row r="295" spans="1:8" x14ac:dyDescent="0.3">
      <c r="A295" s="1" t="s">
        <v>546</v>
      </c>
      <c r="B295" s="2">
        <v>44592</v>
      </c>
      <c r="C295" s="1" t="s">
        <v>547</v>
      </c>
      <c r="D295" s="1" t="s">
        <v>97</v>
      </c>
      <c r="E295">
        <v>4</v>
      </c>
      <c r="F295" s="4">
        <v>505.67</v>
      </c>
      <c r="G295" s="3">
        <v>0.1</v>
      </c>
      <c r="H295" s="4">
        <v>42</v>
      </c>
    </row>
    <row r="296" spans="1:8" x14ac:dyDescent="0.3">
      <c r="A296" s="1" t="s">
        <v>548</v>
      </c>
      <c r="B296" s="2">
        <v>45118</v>
      </c>
      <c r="C296" s="1" t="s">
        <v>252</v>
      </c>
      <c r="D296" s="1" t="s">
        <v>143</v>
      </c>
      <c r="E296">
        <v>4</v>
      </c>
      <c r="F296" s="4">
        <v>1061.1199999999999</v>
      </c>
      <c r="G296" s="3">
        <v>0.3</v>
      </c>
      <c r="H296" s="4">
        <v>105.23</v>
      </c>
    </row>
    <row r="297" spans="1:8" x14ac:dyDescent="0.3">
      <c r="A297" s="1" t="s">
        <v>549</v>
      </c>
      <c r="B297" s="2">
        <v>45187</v>
      </c>
      <c r="C297" s="1" t="s">
        <v>69</v>
      </c>
      <c r="D297" s="1" t="s">
        <v>177</v>
      </c>
      <c r="E297">
        <v>5</v>
      </c>
      <c r="F297" s="4">
        <v>1697.34</v>
      </c>
      <c r="G297" s="3">
        <v>0.1</v>
      </c>
      <c r="H297" s="4">
        <v>185.64</v>
      </c>
    </row>
    <row r="298" spans="1:8" x14ac:dyDescent="0.3">
      <c r="A298" s="1" t="s">
        <v>550</v>
      </c>
      <c r="B298" s="2">
        <v>44565</v>
      </c>
      <c r="C298" s="1" t="s">
        <v>233</v>
      </c>
      <c r="D298" s="1" t="s">
        <v>45</v>
      </c>
      <c r="E298">
        <v>5</v>
      </c>
      <c r="F298" s="4">
        <v>1492.32</v>
      </c>
      <c r="G298" s="3">
        <v>0.3</v>
      </c>
      <c r="H298" s="4">
        <v>186.5</v>
      </c>
    </row>
    <row r="299" spans="1:8" x14ac:dyDescent="0.3">
      <c r="A299" s="1" t="s">
        <v>551</v>
      </c>
      <c r="B299" s="2">
        <v>45063</v>
      </c>
      <c r="C299" s="1" t="s">
        <v>330</v>
      </c>
      <c r="D299" s="1" t="s">
        <v>253</v>
      </c>
      <c r="E299">
        <v>3</v>
      </c>
      <c r="F299" s="4">
        <v>1130.25</v>
      </c>
      <c r="G299" s="3">
        <v>0.2</v>
      </c>
      <c r="H299" s="4">
        <v>238.14</v>
      </c>
    </row>
    <row r="300" spans="1:8" x14ac:dyDescent="0.3">
      <c r="A300" s="1" t="s">
        <v>552</v>
      </c>
      <c r="B300" s="2">
        <v>45420</v>
      </c>
      <c r="C300" s="1" t="s">
        <v>332</v>
      </c>
      <c r="D300" s="1" t="s">
        <v>215</v>
      </c>
      <c r="E300">
        <v>4</v>
      </c>
      <c r="F300" s="4">
        <v>1221.6600000000001</v>
      </c>
      <c r="G300" s="3">
        <v>0</v>
      </c>
      <c r="H300" s="4">
        <v>244.62</v>
      </c>
    </row>
    <row r="301" spans="1:8" x14ac:dyDescent="0.3">
      <c r="A301" s="1" t="s">
        <v>553</v>
      </c>
      <c r="B301" s="2">
        <v>44861</v>
      </c>
      <c r="C301" s="1" t="s">
        <v>554</v>
      </c>
      <c r="D301" s="1" t="s">
        <v>34</v>
      </c>
      <c r="E301">
        <v>1</v>
      </c>
      <c r="F301" s="4">
        <v>1065.8900000000001</v>
      </c>
      <c r="G301" s="3">
        <v>0.2</v>
      </c>
      <c r="H301" s="4">
        <v>238.78</v>
      </c>
    </row>
    <row r="302" spans="1:8" x14ac:dyDescent="0.3">
      <c r="A302" s="1" t="s">
        <v>555</v>
      </c>
      <c r="B302" s="2">
        <v>44796</v>
      </c>
      <c r="C302" s="1" t="s">
        <v>24</v>
      </c>
      <c r="D302" s="1" t="s">
        <v>25</v>
      </c>
      <c r="E302">
        <v>5</v>
      </c>
      <c r="F302" s="4">
        <v>665.34</v>
      </c>
      <c r="G302" s="3">
        <v>0.3</v>
      </c>
      <c r="H302" s="4">
        <v>93.56</v>
      </c>
    </row>
    <row r="303" spans="1:8" x14ac:dyDescent="0.3">
      <c r="A303" s="1" t="s">
        <v>556</v>
      </c>
      <c r="B303" s="2">
        <v>45245</v>
      </c>
      <c r="C303" s="1" t="s">
        <v>412</v>
      </c>
      <c r="D303" s="1" t="s">
        <v>97</v>
      </c>
      <c r="E303">
        <v>5</v>
      </c>
      <c r="F303" s="4">
        <v>1173.54</v>
      </c>
      <c r="G303" s="3">
        <v>0.3</v>
      </c>
      <c r="H303" s="4">
        <v>300.43</v>
      </c>
    </row>
    <row r="304" spans="1:8" x14ac:dyDescent="0.3">
      <c r="A304" s="1" t="s">
        <v>557</v>
      </c>
      <c r="B304" s="2">
        <v>45102</v>
      </c>
      <c r="C304" s="1" t="s">
        <v>238</v>
      </c>
      <c r="D304" s="1" t="s">
        <v>221</v>
      </c>
      <c r="E304">
        <v>1</v>
      </c>
      <c r="F304" s="4">
        <v>1408.88</v>
      </c>
      <c r="G304" s="3">
        <v>0.3</v>
      </c>
      <c r="H304" s="4">
        <v>142.33000000000001</v>
      </c>
    </row>
    <row r="305" spans="1:8" x14ac:dyDescent="0.3">
      <c r="A305" s="1" t="s">
        <v>558</v>
      </c>
      <c r="B305" s="2">
        <v>45006</v>
      </c>
      <c r="C305" s="1" t="s">
        <v>559</v>
      </c>
      <c r="D305" s="1" t="s">
        <v>239</v>
      </c>
      <c r="E305">
        <v>5</v>
      </c>
      <c r="F305" s="4">
        <v>1759.31</v>
      </c>
      <c r="G305" s="3">
        <v>0.2</v>
      </c>
      <c r="H305" s="4">
        <v>294.26</v>
      </c>
    </row>
    <row r="306" spans="1:8" x14ac:dyDescent="0.3">
      <c r="A306" s="1" t="s">
        <v>560</v>
      </c>
      <c r="B306" s="2">
        <v>45250</v>
      </c>
      <c r="C306" s="1" t="s">
        <v>468</v>
      </c>
      <c r="D306" s="1" t="s">
        <v>455</v>
      </c>
      <c r="E306">
        <v>3</v>
      </c>
      <c r="F306" s="4">
        <v>1308.95</v>
      </c>
      <c r="G306" s="3">
        <v>0.3</v>
      </c>
      <c r="H306" s="4">
        <v>327.54000000000002</v>
      </c>
    </row>
    <row r="307" spans="1:8" x14ac:dyDescent="0.3">
      <c r="A307" s="1" t="s">
        <v>561</v>
      </c>
      <c r="B307" s="2">
        <v>45141</v>
      </c>
      <c r="C307" s="1" t="s">
        <v>394</v>
      </c>
      <c r="D307" s="1" t="s">
        <v>451</v>
      </c>
      <c r="E307">
        <v>4</v>
      </c>
      <c r="F307" s="4">
        <v>1546.13</v>
      </c>
      <c r="G307" s="3">
        <v>0.2</v>
      </c>
      <c r="H307" s="4">
        <v>146.94</v>
      </c>
    </row>
    <row r="308" spans="1:8" x14ac:dyDescent="0.3">
      <c r="A308" s="1" t="s">
        <v>562</v>
      </c>
      <c r="B308" s="2">
        <v>45367</v>
      </c>
      <c r="C308" s="1" t="s">
        <v>417</v>
      </c>
      <c r="D308" s="1" t="s">
        <v>283</v>
      </c>
      <c r="E308">
        <v>1</v>
      </c>
      <c r="F308" s="4">
        <v>404.14</v>
      </c>
      <c r="G308" s="3">
        <v>0.1</v>
      </c>
      <c r="H308" s="4">
        <v>31.31</v>
      </c>
    </row>
    <row r="309" spans="1:8" x14ac:dyDescent="0.3">
      <c r="A309" s="1" t="s">
        <v>563</v>
      </c>
      <c r="B309" s="2">
        <v>44745</v>
      </c>
      <c r="C309" s="1" t="s">
        <v>537</v>
      </c>
      <c r="D309" s="1" t="s">
        <v>48</v>
      </c>
      <c r="E309">
        <v>4</v>
      </c>
      <c r="F309" s="4">
        <v>976.96</v>
      </c>
      <c r="G309" s="3">
        <v>0</v>
      </c>
      <c r="H309" s="4">
        <v>264.68</v>
      </c>
    </row>
    <row r="310" spans="1:8" x14ac:dyDescent="0.3">
      <c r="A310" s="1" t="s">
        <v>564</v>
      </c>
      <c r="B310" s="2">
        <v>44749</v>
      </c>
      <c r="C310" s="1" t="s">
        <v>542</v>
      </c>
      <c r="D310" s="1" t="s">
        <v>215</v>
      </c>
      <c r="E310">
        <v>5</v>
      </c>
      <c r="F310" s="4">
        <v>117.73</v>
      </c>
      <c r="G310" s="3">
        <v>0</v>
      </c>
      <c r="H310" s="4">
        <v>15.98</v>
      </c>
    </row>
    <row r="311" spans="1:8" x14ac:dyDescent="0.3">
      <c r="A311" s="1" t="s">
        <v>565</v>
      </c>
      <c r="B311" s="2">
        <v>45454</v>
      </c>
      <c r="C311" s="1" t="s">
        <v>248</v>
      </c>
      <c r="D311" s="1" t="s">
        <v>116</v>
      </c>
      <c r="E311">
        <v>5</v>
      </c>
      <c r="F311" s="4">
        <v>568.69000000000005</v>
      </c>
      <c r="G311" s="3">
        <v>0.2</v>
      </c>
      <c r="H311" s="4">
        <v>125.66</v>
      </c>
    </row>
    <row r="312" spans="1:8" x14ac:dyDescent="0.3">
      <c r="A312" s="1" t="s">
        <v>566</v>
      </c>
      <c r="B312" s="2">
        <v>45414</v>
      </c>
      <c r="C312" s="1" t="s">
        <v>473</v>
      </c>
      <c r="D312" s="1" t="s">
        <v>301</v>
      </c>
      <c r="E312">
        <v>1</v>
      </c>
      <c r="F312" s="4">
        <v>1480.28</v>
      </c>
      <c r="G312" s="3">
        <v>0.1</v>
      </c>
      <c r="H312" s="4">
        <v>83.39</v>
      </c>
    </row>
    <row r="313" spans="1:8" x14ac:dyDescent="0.3">
      <c r="A313" s="1" t="s">
        <v>567</v>
      </c>
      <c r="B313" s="2">
        <v>45242</v>
      </c>
      <c r="C313" s="1" t="s">
        <v>510</v>
      </c>
      <c r="D313" s="1" t="s">
        <v>119</v>
      </c>
      <c r="E313">
        <v>3</v>
      </c>
      <c r="F313" s="4">
        <v>1984.44</v>
      </c>
      <c r="G313" s="3">
        <v>0.2</v>
      </c>
      <c r="H313" s="4">
        <v>441.56</v>
      </c>
    </row>
    <row r="314" spans="1:8" x14ac:dyDescent="0.3">
      <c r="A314" s="1" t="s">
        <v>568</v>
      </c>
      <c r="B314" s="2">
        <v>44800</v>
      </c>
      <c r="C314" s="1" t="s">
        <v>569</v>
      </c>
      <c r="D314" s="1" t="s">
        <v>75</v>
      </c>
      <c r="E314">
        <v>2</v>
      </c>
      <c r="F314" s="4">
        <v>288.44</v>
      </c>
      <c r="G314" s="3">
        <v>0.1</v>
      </c>
      <c r="H314" s="4">
        <v>37.22</v>
      </c>
    </row>
    <row r="315" spans="1:8" x14ac:dyDescent="0.3">
      <c r="A315" s="1" t="s">
        <v>570</v>
      </c>
      <c r="B315" s="2">
        <v>44983</v>
      </c>
      <c r="C315" s="1" t="s">
        <v>355</v>
      </c>
      <c r="D315" s="1" t="s">
        <v>34</v>
      </c>
      <c r="E315">
        <v>1</v>
      </c>
      <c r="F315" s="4">
        <v>862.84</v>
      </c>
      <c r="G315" s="3">
        <v>0.3</v>
      </c>
      <c r="H315" s="4">
        <v>55.17</v>
      </c>
    </row>
    <row r="316" spans="1:8" x14ac:dyDescent="0.3">
      <c r="A316" s="1" t="s">
        <v>571</v>
      </c>
      <c r="B316" s="2">
        <v>45021</v>
      </c>
      <c r="C316" s="1" t="s">
        <v>292</v>
      </c>
      <c r="D316" s="1" t="s">
        <v>100</v>
      </c>
      <c r="E316">
        <v>2</v>
      </c>
      <c r="F316" s="4">
        <v>1620.13</v>
      </c>
      <c r="G316" s="3">
        <v>0.1</v>
      </c>
      <c r="H316" s="4">
        <v>328</v>
      </c>
    </row>
    <row r="317" spans="1:8" x14ac:dyDescent="0.3">
      <c r="A317" s="1" t="s">
        <v>572</v>
      </c>
      <c r="B317" s="2">
        <v>45055</v>
      </c>
      <c r="C317" s="1" t="s">
        <v>292</v>
      </c>
      <c r="D317" s="1" t="s">
        <v>263</v>
      </c>
      <c r="E317">
        <v>2</v>
      </c>
      <c r="F317" s="4">
        <v>487.67</v>
      </c>
      <c r="G317" s="3">
        <v>0.1</v>
      </c>
      <c r="H317" s="4">
        <v>53.74</v>
      </c>
    </row>
    <row r="318" spans="1:8" x14ac:dyDescent="0.3">
      <c r="A318" s="1" t="s">
        <v>573</v>
      </c>
      <c r="B318" s="2">
        <v>44962</v>
      </c>
      <c r="C318" s="1" t="s">
        <v>334</v>
      </c>
      <c r="D318" s="1" t="s">
        <v>40</v>
      </c>
      <c r="E318">
        <v>3</v>
      </c>
      <c r="F318" s="4">
        <v>1154.6600000000001</v>
      </c>
      <c r="G318" s="3">
        <v>0.1</v>
      </c>
      <c r="H318" s="4">
        <v>169.39</v>
      </c>
    </row>
    <row r="319" spans="1:8" x14ac:dyDescent="0.3">
      <c r="A319" s="1" t="s">
        <v>574</v>
      </c>
      <c r="B319" s="2">
        <v>45365</v>
      </c>
      <c r="C319" s="1" t="s">
        <v>233</v>
      </c>
      <c r="D319" s="1" t="s">
        <v>119</v>
      </c>
      <c r="E319">
        <v>2</v>
      </c>
      <c r="F319" s="4">
        <v>1492.84</v>
      </c>
      <c r="G319" s="3">
        <v>0</v>
      </c>
      <c r="H319" s="4">
        <v>104.72</v>
      </c>
    </row>
    <row r="320" spans="1:8" x14ac:dyDescent="0.3">
      <c r="A320" s="1" t="s">
        <v>575</v>
      </c>
      <c r="B320" s="2">
        <v>45160</v>
      </c>
      <c r="C320" s="1" t="s">
        <v>576</v>
      </c>
      <c r="D320" s="1" t="s">
        <v>269</v>
      </c>
      <c r="E320">
        <v>2</v>
      </c>
      <c r="F320" s="4">
        <v>1270.3699999999999</v>
      </c>
      <c r="G320" s="3">
        <v>0.1</v>
      </c>
      <c r="H320" s="4">
        <v>110.26</v>
      </c>
    </row>
    <row r="321" spans="1:8" x14ac:dyDescent="0.3">
      <c r="A321" s="1" t="s">
        <v>577</v>
      </c>
      <c r="B321" s="2">
        <v>44638</v>
      </c>
      <c r="C321" s="1" t="s">
        <v>388</v>
      </c>
      <c r="D321" s="1" t="s">
        <v>209</v>
      </c>
      <c r="E321">
        <v>3</v>
      </c>
      <c r="F321" s="4">
        <v>457.25</v>
      </c>
      <c r="G321" s="3">
        <v>0.3</v>
      </c>
      <c r="H321" s="4">
        <v>56.93</v>
      </c>
    </row>
    <row r="322" spans="1:8" x14ac:dyDescent="0.3">
      <c r="A322" s="1" t="s">
        <v>578</v>
      </c>
      <c r="B322" s="2">
        <v>45161</v>
      </c>
      <c r="C322" s="1" t="s">
        <v>579</v>
      </c>
      <c r="D322" s="1" t="s">
        <v>163</v>
      </c>
      <c r="E322">
        <v>2</v>
      </c>
      <c r="F322" s="4">
        <v>775.23</v>
      </c>
      <c r="G322" s="3">
        <v>0.3</v>
      </c>
      <c r="H322" s="4">
        <v>56.16</v>
      </c>
    </row>
    <row r="323" spans="1:8" x14ac:dyDescent="0.3">
      <c r="A323" s="1" t="s">
        <v>580</v>
      </c>
      <c r="B323" s="2">
        <v>44885</v>
      </c>
      <c r="C323" s="1" t="s">
        <v>99</v>
      </c>
      <c r="D323" s="1" t="s">
        <v>45</v>
      </c>
      <c r="E323">
        <v>2</v>
      </c>
      <c r="F323" s="4">
        <v>1589.2</v>
      </c>
      <c r="G323" s="3">
        <v>0.3</v>
      </c>
      <c r="H323" s="4">
        <v>441.33</v>
      </c>
    </row>
    <row r="324" spans="1:8" x14ac:dyDescent="0.3">
      <c r="A324" s="1" t="s">
        <v>581</v>
      </c>
      <c r="B324" s="2">
        <v>45444</v>
      </c>
      <c r="C324" s="1" t="s">
        <v>184</v>
      </c>
      <c r="D324" s="1" t="s">
        <v>392</v>
      </c>
      <c r="E324">
        <v>2</v>
      </c>
      <c r="F324" s="4">
        <v>1153.03</v>
      </c>
      <c r="G324" s="3">
        <v>0.1</v>
      </c>
      <c r="H324" s="4">
        <v>59.39</v>
      </c>
    </row>
    <row r="325" spans="1:8" x14ac:dyDescent="0.3">
      <c r="A325" s="1" t="s">
        <v>582</v>
      </c>
      <c r="B325" s="2">
        <v>45181</v>
      </c>
      <c r="C325" s="1" t="s">
        <v>160</v>
      </c>
      <c r="D325" s="1" t="s">
        <v>253</v>
      </c>
      <c r="E325">
        <v>1</v>
      </c>
      <c r="F325" s="4">
        <v>109.94</v>
      </c>
      <c r="G325" s="3">
        <v>0.2</v>
      </c>
      <c r="H325" s="4">
        <v>18.8</v>
      </c>
    </row>
    <row r="326" spans="1:8" x14ac:dyDescent="0.3">
      <c r="A326" s="1" t="s">
        <v>583</v>
      </c>
      <c r="B326" s="2">
        <v>45406</v>
      </c>
      <c r="C326" s="1" t="s">
        <v>347</v>
      </c>
      <c r="D326" s="1" t="s">
        <v>323</v>
      </c>
      <c r="E326">
        <v>1</v>
      </c>
      <c r="F326" s="4">
        <v>1545.88</v>
      </c>
      <c r="G326" s="3">
        <v>0.2</v>
      </c>
      <c r="H326" s="4">
        <v>124.93</v>
      </c>
    </row>
    <row r="327" spans="1:8" x14ac:dyDescent="0.3">
      <c r="A327" s="1" t="s">
        <v>584</v>
      </c>
      <c r="B327" s="2">
        <v>44667</v>
      </c>
      <c r="C327" s="1" t="s">
        <v>160</v>
      </c>
      <c r="D327" s="1" t="s">
        <v>585</v>
      </c>
      <c r="E327">
        <v>1</v>
      </c>
      <c r="F327" s="4">
        <v>167.09</v>
      </c>
      <c r="G327" s="3">
        <v>0.3</v>
      </c>
      <c r="H327" s="4">
        <v>21.21</v>
      </c>
    </row>
    <row r="328" spans="1:8" x14ac:dyDescent="0.3">
      <c r="A328" s="1" t="s">
        <v>586</v>
      </c>
      <c r="B328" s="2">
        <v>45450</v>
      </c>
      <c r="C328" s="1" t="s">
        <v>220</v>
      </c>
      <c r="D328" s="1" t="s">
        <v>451</v>
      </c>
      <c r="E328">
        <v>3</v>
      </c>
      <c r="F328" s="4">
        <v>1516.89</v>
      </c>
      <c r="G328" s="3">
        <v>0</v>
      </c>
      <c r="H328" s="4">
        <v>427.03</v>
      </c>
    </row>
    <row r="329" spans="1:8" x14ac:dyDescent="0.3">
      <c r="A329" s="1" t="s">
        <v>587</v>
      </c>
      <c r="B329" s="2">
        <v>44970</v>
      </c>
      <c r="C329" s="1" t="s">
        <v>588</v>
      </c>
      <c r="D329" s="1" t="s">
        <v>275</v>
      </c>
      <c r="E329">
        <v>5</v>
      </c>
      <c r="F329" s="4">
        <v>484.71</v>
      </c>
      <c r="G329" s="3">
        <v>0.2</v>
      </c>
      <c r="H329" s="4">
        <v>43.83</v>
      </c>
    </row>
    <row r="330" spans="1:8" x14ac:dyDescent="0.3">
      <c r="A330" s="1" t="s">
        <v>589</v>
      </c>
      <c r="B330" s="2">
        <v>44703</v>
      </c>
      <c r="C330" s="1" t="s">
        <v>136</v>
      </c>
      <c r="D330" s="1" t="s">
        <v>143</v>
      </c>
      <c r="E330">
        <v>2</v>
      </c>
      <c r="F330" s="4">
        <v>1920.34</v>
      </c>
      <c r="G330" s="3">
        <v>0.1</v>
      </c>
      <c r="H330" s="4">
        <v>559.70000000000005</v>
      </c>
    </row>
    <row r="331" spans="1:8" x14ac:dyDescent="0.3">
      <c r="A331" s="1" t="s">
        <v>590</v>
      </c>
      <c r="B331" s="2">
        <v>44873</v>
      </c>
      <c r="C331" s="1" t="s">
        <v>300</v>
      </c>
      <c r="D331" s="1" t="s">
        <v>156</v>
      </c>
      <c r="E331">
        <v>2</v>
      </c>
      <c r="F331" s="4">
        <v>799.09</v>
      </c>
      <c r="G331" s="3">
        <v>0.2</v>
      </c>
      <c r="H331" s="4">
        <v>81.069999999999993</v>
      </c>
    </row>
    <row r="332" spans="1:8" x14ac:dyDescent="0.3">
      <c r="A332" s="1" t="s">
        <v>591</v>
      </c>
      <c r="B332" s="2">
        <v>44772</v>
      </c>
      <c r="C332" s="1" t="s">
        <v>165</v>
      </c>
      <c r="D332" s="1" t="s">
        <v>132</v>
      </c>
      <c r="E332">
        <v>3</v>
      </c>
      <c r="F332" s="4">
        <v>721.17</v>
      </c>
      <c r="G332" s="3">
        <v>0.3</v>
      </c>
      <c r="H332" s="4">
        <v>169.76</v>
      </c>
    </row>
    <row r="333" spans="1:8" x14ac:dyDescent="0.3">
      <c r="A333" s="1" t="s">
        <v>592</v>
      </c>
      <c r="B333" s="2">
        <v>45236</v>
      </c>
      <c r="C333" s="1" t="s">
        <v>287</v>
      </c>
      <c r="D333" s="1" t="s">
        <v>242</v>
      </c>
      <c r="E333">
        <v>2</v>
      </c>
      <c r="F333" s="4">
        <v>382.89</v>
      </c>
      <c r="G333" s="3">
        <v>0</v>
      </c>
      <c r="H333" s="4">
        <v>71.47</v>
      </c>
    </row>
    <row r="334" spans="1:8" x14ac:dyDescent="0.3">
      <c r="A334" s="1" t="s">
        <v>593</v>
      </c>
      <c r="B334" s="2">
        <v>45461</v>
      </c>
      <c r="C334" s="1" t="s">
        <v>208</v>
      </c>
      <c r="D334" s="1" t="s">
        <v>585</v>
      </c>
      <c r="E334">
        <v>1</v>
      </c>
      <c r="F334" s="4">
        <v>680.65</v>
      </c>
      <c r="G334" s="3">
        <v>0.2</v>
      </c>
      <c r="H334" s="4">
        <v>184.54</v>
      </c>
    </row>
    <row r="335" spans="1:8" x14ac:dyDescent="0.3">
      <c r="A335" s="1" t="s">
        <v>594</v>
      </c>
      <c r="B335" s="2">
        <v>45059</v>
      </c>
      <c r="C335" s="1" t="s">
        <v>491</v>
      </c>
      <c r="D335" s="1" t="s">
        <v>455</v>
      </c>
      <c r="E335">
        <v>5</v>
      </c>
      <c r="F335" s="4">
        <v>1765.64</v>
      </c>
      <c r="G335" s="3">
        <v>0.2</v>
      </c>
      <c r="H335" s="4">
        <v>332.82</v>
      </c>
    </row>
    <row r="336" spans="1:8" x14ac:dyDescent="0.3">
      <c r="A336" s="1" t="s">
        <v>595</v>
      </c>
      <c r="B336" s="2">
        <v>45022</v>
      </c>
      <c r="C336" s="1" t="s">
        <v>526</v>
      </c>
      <c r="D336" s="1" t="s">
        <v>309</v>
      </c>
      <c r="E336">
        <v>4</v>
      </c>
      <c r="F336" s="4">
        <v>1993.04</v>
      </c>
      <c r="G336" s="3">
        <v>0.3</v>
      </c>
      <c r="H336" s="4">
        <v>366</v>
      </c>
    </row>
    <row r="337" spans="1:8" x14ac:dyDescent="0.3">
      <c r="A337" s="1" t="s">
        <v>596</v>
      </c>
      <c r="B337" s="2">
        <v>45393</v>
      </c>
      <c r="C337" s="1" t="s">
        <v>12</v>
      </c>
      <c r="D337" s="1" t="s">
        <v>239</v>
      </c>
      <c r="E337">
        <v>2</v>
      </c>
      <c r="F337" s="4">
        <v>799.79</v>
      </c>
      <c r="G337" s="3">
        <v>0</v>
      </c>
      <c r="H337" s="4">
        <v>79.069999999999993</v>
      </c>
    </row>
    <row r="338" spans="1:8" x14ac:dyDescent="0.3">
      <c r="A338" s="1" t="s">
        <v>597</v>
      </c>
      <c r="B338" s="2">
        <v>45025</v>
      </c>
      <c r="C338" s="1" t="s">
        <v>598</v>
      </c>
      <c r="D338" s="1" t="s">
        <v>585</v>
      </c>
      <c r="E338">
        <v>1</v>
      </c>
      <c r="F338" s="4">
        <v>952.36</v>
      </c>
      <c r="G338" s="3">
        <v>0</v>
      </c>
      <c r="H338" s="4">
        <v>87.2</v>
      </c>
    </row>
    <row r="339" spans="1:8" x14ac:dyDescent="0.3">
      <c r="A339" s="1" t="s">
        <v>599</v>
      </c>
      <c r="B339" s="2">
        <v>45397</v>
      </c>
      <c r="C339" s="1" t="s">
        <v>194</v>
      </c>
      <c r="D339" s="1" t="s">
        <v>341</v>
      </c>
      <c r="E339">
        <v>4</v>
      </c>
      <c r="F339" s="4">
        <v>1471.93</v>
      </c>
      <c r="G339" s="3">
        <v>0.3</v>
      </c>
      <c r="H339" s="4">
        <v>410.85</v>
      </c>
    </row>
    <row r="340" spans="1:8" x14ac:dyDescent="0.3">
      <c r="A340" s="1" t="s">
        <v>600</v>
      </c>
      <c r="B340" s="2">
        <v>44628</v>
      </c>
      <c r="C340" s="1" t="s">
        <v>260</v>
      </c>
      <c r="D340" s="1" t="s">
        <v>143</v>
      </c>
      <c r="E340">
        <v>5</v>
      </c>
      <c r="F340" s="4">
        <v>1783.77</v>
      </c>
      <c r="G340" s="3">
        <v>0.1</v>
      </c>
      <c r="H340" s="4">
        <v>235.39</v>
      </c>
    </row>
    <row r="341" spans="1:8" x14ac:dyDescent="0.3">
      <c r="A341" s="1" t="s">
        <v>601</v>
      </c>
      <c r="B341" s="2">
        <v>45015</v>
      </c>
      <c r="C341" s="1" t="s">
        <v>271</v>
      </c>
      <c r="D341" s="1" t="s">
        <v>34</v>
      </c>
      <c r="E341">
        <v>4</v>
      </c>
      <c r="F341" s="4">
        <v>1226.78</v>
      </c>
      <c r="G341" s="3">
        <v>0.2</v>
      </c>
      <c r="H341" s="4">
        <v>175.45</v>
      </c>
    </row>
    <row r="342" spans="1:8" x14ac:dyDescent="0.3">
      <c r="A342" s="1" t="s">
        <v>602</v>
      </c>
      <c r="B342" s="2">
        <v>45162</v>
      </c>
      <c r="C342" s="1" t="s">
        <v>160</v>
      </c>
      <c r="D342" s="1" t="s">
        <v>603</v>
      </c>
      <c r="E342">
        <v>1</v>
      </c>
      <c r="F342" s="4">
        <v>843.9</v>
      </c>
      <c r="G342" s="3">
        <v>0.1</v>
      </c>
      <c r="H342" s="4">
        <v>202.5</v>
      </c>
    </row>
    <row r="343" spans="1:8" x14ac:dyDescent="0.3">
      <c r="A343" s="1" t="s">
        <v>604</v>
      </c>
      <c r="B343" s="2">
        <v>44609</v>
      </c>
      <c r="C343" s="1" t="s">
        <v>605</v>
      </c>
      <c r="D343" s="1" t="s">
        <v>249</v>
      </c>
      <c r="E343">
        <v>4</v>
      </c>
      <c r="F343" s="4">
        <v>883.98</v>
      </c>
      <c r="G343" s="3">
        <v>0.2</v>
      </c>
      <c r="H343" s="4">
        <v>119.08</v>
      </c>
    </row>
    <row r="344" spans="1:8" x14ac:dyDescent="0.3">
      <c r="A344" s="1" t="s">
        <v>606</v>
      </c>
      <c r="B344" s="2">
        <v>45092</v>
      </c>
      <c r="C344" s="1" t="s">
        <v>607</v>
      </c>
      <c r="D344" s="1" t="s">
        <v>218</v>
      </c>
      <c r="E344">
        <v>3</v>
      </c>
      <c r="F344" s="4">
        <v>1421.67</v>
      </c>
      <c r="G344" s="3">
        <v>0.2</v>
      </c>
      <c r="H344" s="4">
        <v>409.46</v>
      </c>
    </row>
    <row r="345" spans="1:8" x14ac:dyDescent="0.3">
      <c r="A345" s="1" t="s">
        <v>608</v>
      </c>
      <c r="B345" s="2">
        <v>45436</v>
      </c>
      <c r="C345" s="1" t="s">
        <v>12</v>
      </c>
      <c r="D345" s="1" t="s">
        <v>72</v>
      </c>
      <c r="E345">
        <v>4</v>
      </c>
      <c r="F345" s="4">
        <v>106.11</v>
      </c>
      <c r="G345" s="3">
        <v>0.1</v>
      </c>
      <c r="H345" s="4">
        <v>24.88</v>
      </c>
    </row>
    <row r="346" spans="1:8" x14ac:dyDescent="0.3">
      <c r="A346" s="1" t="s">
        <v>609</v>
      </c>
      <c r="B346" s="2">
        <v>44562</v>
      </c>
      <c r="C346" s="1" t="s">
        <v>610</v>
      </c>
      <c r="D346" s="1" t="s">
        <v>122</v>
      </c>
      <c r="E346">
        <v>2</v>
      </c>
      <c r="F346" s="4">
        <v>1277.22</v>
      </c>
      <c r="G346" s="3">
        <v>0.3</v>
      </c>
      <c r="H346" s="4">
        <v>254.62</v>
      </c>
    </row>
    <row r="347" spans="1:8" x14ac:dyDescent="0.3">
      <c r="A347" s="1" t="s">
        <v>611</v>
      </c>
      <c r="B347" s="2">
        <v>45122</v>
      </c>
      <c r="C347" s="1" t="s">
        <v>50</v>
      </c>
      <c r="D347" s="1" t="s">
        <v>226</v>
      </c>
      <c r="E347">
        <v>2</v>
      </c>
      <c r="F347" s="4">
        <v>775.44</v>
      </c>
      <c r="G347" s="3">
        <v>0.3</v>
      </c>
      <c r="H347" s="4">
        <v>209.54</v>
      </c>
    </row>
    <row r="348" spans="1:8" x14ac:dyDescent="0.3">
      <c r="A348" s="1" t="s">
        <v>612</v>
      </c>
      <c r="B348" s="2">
        <v>44910</v>
      </c>
      <c r="C348" s="1" t="s">
        <v>325</v>
      </c>
      <c r="D348" s="1" t="s">
        <v>180</v>
      </c>
      <c r="E348">
        <v>3</v>
      </c>
      <c r="F348" s="4">
        <v>1608.97</v>
      </c>
      <c r="G348" s="3">
        <v>0.2</v>
      </c>
      <c r="H348" s="4">
        <v>100.4</v>
      </c>
    </row>
    <row r="349" spans="1:8" x14ac:dyDescent="0.3">
      <c r="A349" s="1" t="s">
        <v>613</v>
      </c>
      <c r="B349" s="2">
        <v>45424</v>
      </c>
      <c r="C349" s="1" t="s">
        <v>182</v>
      </c>
      <c r="D349" s="1" t="s">
        <v>296</v>
      </c>
      <c r="E349">
        <v>1</v>
      </c>
      <c r="F349" s="4">
        <v>276.68</v>
      </c>
      <c r="G349" s="3">
        <v>0.3</v>
      </c>
      <c r="H349" s="4">
        <v>31.62</v>
      </c>
    </row>
    <row r="350" spans="1:8" x14ac:dyDescent="0.3">
      <c r="A350" s="1" t="s">
        <v>614</v>
      </c>
      <c r="B350" s="2">
        <v>45216</v>
      </c>
      <c r="C350" s="1" t="s">
        <v>246</v>
      </c>
      <c r="D350" s="1" t="s">
        <v>83</v>
      </c>
      <c r="E350">
        <v>2</v>
      </c>
      <c r="F350" s="4">
        <v>1217.58</v>
      </c>
      <c r="G350" s="3">
        <v>0.2</v>
      </c>
      <c r="H350" s="4">
        <v>202.43</v>
      </c>
    </row>
    <row r="351" spans="1:8" x14ac:dyDescent="0.3">
      <c r="A351" s="1" t="s">
        <v>615</v>
      </c>
      <c r="B351" s="2">
        <v>44676</v>
      </c>
      <c r="C351" s="1" t="s">
        <v>106</v>
      </c>
      <c r="D351" s="1" t="s">
        <v>122</v>
      </c>
      <c r="E351">
        <v>5</v>
      </c>
      <c r="F351" s="4">
        <v>1013.85</v>
      </c>
      <c r="G351" s="3">
        <v>0.3</v>
      </c>
      <c r="H351" s="4">
        <v>108.22</v>
      </c>
    </row>
    <row r="352" spans="1:8" x14ac:dyDescent="0.3">
      <c r="A352" s="1" t="s">
        <v>616</v>
      </c>
      <c r="B352" s="2">
        <v>44794</v>
      </c>
      <c r="C352" s="1" t="s">
        <v>607</v>
      </c>
      <c r="D352" s="1" t="s">
        <v>269</v>
      </c>
      <c r="E352">
        <v>2</v>
      </c>
      <c r="F352" s="4">
        <v>1320.42</v>
      </c>
      <c r="G352" s="3">
        <v>0.2</v>
      </c>
      <c r="H352" s="4">
        <v>311.58999999999997</v>
      </c>
    </row>
    <row r="353" spans="1:8" x14ac:dyDescent="0.3">
      <c r="A353" s="1" t="s">
        <v>617</v>
      </c>
      <c r="B353" s="2">
        <v>44928</v>
      </c>
      <c r="C353" s="1" t="s">
        <v>489</v>
      </c>
      <c r="D353" s="1" t="s">
        <v>70</v>
      </c>
      <c r="E353">
        <v>2</v>
      </c>
      <c r="F353" s="4">
        <v>223.22</v>
      </c>
      <c r="G353" s="3">
        <v>0.3</v>
      </c>
      <c r="H353" s="4">
        <v>62.46</v>
      </c>
    </row>
    <row r="354" spans="1:8" x14ac:dyDescent="0.3">
      <c r="A354" s="1" t="s">
        <v>618</v>
      </c>
      <c r="B354" s="2">
        <v>45168</v>
      </c>
      <c r="C354" s="1" t="s">
        <v>200</v>
      </c>
      <c r="D354" s="1" t="s">
        <v>100</v>
      </c>
      <c r="E354">
        <v>1</v>
      </c>
      <c r="F354" s="4">
        <v>1201.97</v>
      </c>
      <c r="G354" s="3">
        <v>0</v>
      </c>
      <c r="H354" s="4">
        <v>187.44</v>
      </c>
    </row>
    <row r="355" spans="1:8" x14ac:dyDescent="0.3">
      <c r="A355" s="1" t="s">
        <v>619</v>
      </c>
      <c r="B355" s="2">
        <v>45011</v>
      </c>
      <c r="C355" s="1" t="s">
        <v>182</v>
      </c>
      <c r="D355" s="1" t="s">
        <v>296</v>
      </c>
      <c r="E355">
        <v>4</v>
      </c>
      <c r="F355" s="4">
        <v>1166.82</v>
      </c>
      <c r="G355" s="3">
        <v>0.1</v>
      </c>
      <c r="H355" s="4">
        <v>158.13999999999999</v>
      </c>
    </row>
    <row r="356" spans="1:8" x14ac:dyDescent="0.3">
      <c r="A356" s="1" t="s">
        <v>620</v>
      </c>
      <c r="B356" s="2">
        <v>44575</v>
      </c>
      <c r="C356" s="1" t="s">
        <v>569</v>
      </c>
      <c r="D356" s="1" t="s">
        <v>309</v>
      </c>
      <c r="E356">
        <v>2</v>
      </c>
      <c r="F356" s="4">
        <v>1165.25</v>
      </c>
      <c r="G356" s="3">
        <v>0</v>
      </c>
      <c r="H356" s="4">
        <v>338.37</v>
      </c>
    </row>
    <row r="357" spans="1:8" x14ac:dyDescent="0.3">
      <c r="A357" s="1" t="s">
        <v>621</v>
      </c>
      <c r="B357" s="2">
        <v>44782</v>
      </c>
      <c r="C357" s="1" t="s">
        <v>622</v>
      </c>
      <c r="D357" s="1" t="s">
        <v>70</v>
      </c>
      <c r="E357">
        <v>3</v>
      </c>
      <c r="F357" s="4">
        <v>1246.6300000000001</v>
      </c>
      <c r="G357" s="3">
        <v>0.1</v>
      </c>
      <c r="H357" s="4">
        <v>200.97</v>
      </c>
    </row>
    <row r="358" spans="1:8" x14ac:dyDescent="0.3">
      <c r="A358" s="1" t="s">
        <v>623</v>
      </c>
      <c r="B358" s="2">
        <v>45414</v>
      </c>
      <c r="C358" s="1" t="s">
        <v>404</v>
      </c>
      <c r="D358" s="1" t="s">
        <v>111</v>
      </c>
      <c r="E358">
        <v>4</v>
      </c>
      <c r="F358" s="4">
        <v>1385.29</v>
      </c>
      <c r="G358" s="3">
        <v>0.1</v>
      </c>
      <c r="H358" s="4">
        <v>238.63</v>
      </c>
    </row>
    <row r="359" spans="1:8" x14ac:dyDescent="0.3">
      <c r="A359" s="1" t="s">
        <v>624</v>
      </c>
      <c r="B359" s="2">
        <v>45321</v>
      </c>
      <c r="C359" s="1" t="s">
        <v>350</v>
      </c>
      <c r="D359" s="1" t="s">
        <v>234</v>
      </c>
      <c r="E359">
        <v>5</v>
      </c>
      <c r="F359" s="4">
        <v>1629.48</v>
      </c>
      <c r="G359" s="3">
        <v>0.2</v>
      </c>
      <c r="H359" s="4">
        <v>224.73</v>
      </c>
    </row>
    <row r="360" spans="1:8" x14ac:dyDescent="0.3">
      <c r="A360" s="1" t="s">
        <v>625</v>
      </c>
      <c r="B360" s="2">
        <v>44906</v>
      </c>
      <c r="C360" s="1" t="s">
        <v>336</v>
      </c>
      <c r="D360" s="1" t="s">
        <v>16</v>
      </c>
      <c r="E360">
        <v>1</v>
      </c>
      <c r="F360" s="4">
        <v>612.66</v>
      </c>
      <c r="G360" s="3">
        <v>0.1</v>
      </c>
      <c r="H360" s="4">
        <v>169.94</v>
      </c>
    </row>
    <row r="361" spans="1:8" x14ac:dyDescent="0.3">
      <c r="A361" s="1" t="s">
        <v>626</v>
      </c>
      <c r="B361" s="2">
        <v>45329</v>
      </c>
      <c r="C361" s="1" t="s">
        <v>179</v>
      </c>
      <c r="D361" s="1" t="s">
        <v>78</v>
      </c>
      <c r="E361">
        <v>5</v>
      </c>
      <c r="F361" s="4">
        <v>1667.59</v>
      </c>
      <c r="G361" s="3">
        <v>0</v>
      </c>
      <c r="H361" s="4">
        <v>320.58</v>
      </c>
    </row>
    <row r="362" spans="1:8" x14ac:dyDescent="0.3">
      <c r="A362" s="1" t="s">
        <v>627</v>
      </c>
      <c r="B362" s="2">
        <v>45178</v>
      </c>
      <c r="C362" s="1" t="s">
        <v>371</v>
      </c>
      <c r="D362" s="1" t="s">
        <v>180</v>
      </c>
      <c r="E362">
        <v>4</v>
      </c>
      <c r="F362" s="4">
        <v>1046.69</v>
      </c>
      <c r="G362" s="3">
        <v>0</v>
      </c>
      <c r="H362" s="4">
        <v>251.77</v>
      </c>
    </row>
    <row r="363" spans="1:8" x14ac:dyDescent="0.3">
      <c r="A363" s="1" t="s">
        <v>628</v>
      </c>
      <c r="B363" s="2">
        <v>45404</v>
      </c>
      <c r="C363" s="1" t="s">
        <v>271</v>
      </c>
      <c r="D363" s="1" t="s">
        <v>25</v>
      </c>
      <c r="E363">
        <v>4</v>
      </c>
      <c r="F363" s="4">
        <v>246.41</v>
      </c>
      <c r="G363" s="3">
        <v>0.3</v>
      </c>
      <c r="H363" s="4">
        <v>62.33</v>
      </c>
    </row>
    <row r="364" spans="1:8" x14ac:dyDescent="0.3">
      <c r="A364" s="1" t="s">
        <v>629</v>
      </c>
      <c r="B364" s="2">
        <v>44594</v>
      </c>
      <c r="C364" s="1" t="s">
        <v>184</v>
      </c>
      <c r="D364" s="1" t="s">
        <v>111</v>
      </c>
      <c r="E364">
        <v>4</v>
      </c>
      <c r="F364" s="4">
        <v>211.25</v>
      </c>
      <c r="G364" s="3">
        <v>0</v>
      </c>
      <c r="H364" s="4">
        <v>28.62</v>
      </c>
    </row>
    <row r="365" spans="1:8" x14ac:dyDescent="0.3">
      <c r="A365" s="1" t="s">
        <v>630</v>
      </c>
      <c r="B365" s="2">
        <v>44654</v>
      </c>
      <c r="C365" s="1" t="s">
        <v>598</v>
      </c>
      <c r="D365" s="1" t="s">
        <v>304</v>
      </c>
      <c r="E365">
        <v>5</v>
      </c>
      <c r="F365" s="4">
        <v>735.05</v>
      </c>
      <c r="G365" s="3">
        <v>0.3</v>
      </c>
      <c r="H365" s="4">
        <v>116.45</v>
      </c>
    </row>
    <row r="366" spans="1:8" x14ac:dyDescent="0.3">
      <c r="A366" s="1" t="s">
        <v>631</v>
      </c>
      <c r="B366" s="2">
        <v>45393</v>
      </c>
      <c r="C366" s="1" t="s">
        <v>85</v>
      </c>
      <c r="D366" s="1" t="s">
        <v>64</v>
      </c>
      <c r="E366">
        <v>4</v>
      </c>
      <c r="F366" s="4">
        <v>1591.3</v>
      </c>
      <c r="G366" s="3">
        <v>0.1</v>
      </c>
      <c r="H366" s="4">
        <v>417.11</v>
      </c>
    </row>
    <row r="367" spans="1:8" x14ac:dyDescent="0.3">
      <c r="A367" s="1" t="s">
        <v>632</v>
      </c>
      <c r="B367" s="2">
        <v>45372</v>
      </c>
      <c r="C367" s="1" t="s">
        <v>190</v>
      </c>
      <c r="D367" s="1" t="s">
        <v>304</v>
      </c>
      <c r="E367">
        <v>5</v>
      </c>
      <c r="F367" s="4">
        <v>1444.59</v>
      </c>
      <c r="G367" s="3">
        <v>0</v>
      </c>
      <c r="H367" s="4">
        <v>203.42</v>
      </c>
    </row>
    <row r="368" spans="1:8" x14ac:dyDescent="0.3">
      <c r="A368" s="1" t="s">
        <v>633</v>
      </c>
      <c r="B368" s="2">
        <v>45058</v>
      </c>
      <c r="C368" s="1" t="s">
        <v>347</v>
      </c>
      <c r="D368" s="1" t="s">
        <v>209</v>
      </c>
      <c r="E368">
        <v>4</v>
      </c>
      <c r="F368" s="4">
        <v>1598.37</v>
      </c>
      <c r="G368" s="3">
        <v>0.1</v>
      </c>
      <c r="H368" s="4">
        <v>397.17</v>
      </c>
    </row>
    <row r="369" spans="1:8" x14ac:dyDescent="0.3">
      <c r="A369" s="1" t="s">
        <v>634</v>
      </c>
      <c r="B369" s="2">
        <v>45181</v>
      </c>
      <c r="C369" s="1" t="s">
        <v>77</v>
      </c>
      <c r="D369" s="1" t="s">
        <v>253</v>
      </c>
      <c r="E369">
        <v>3</v>
      </c>
      <c r="F369" s="4">
        <v>1082.81</v>
      </c>
      <c r="G369" s="3">
        <v>0</v>
      </c>
      <c r="H369" s="4">
        <v>308.87</v>
      </c>
    </row>
    <row r="370" spans="1:8" x14ac:dyDescent="0.3">
      <c r="A370" s="1" t="s">
        <v>635</v>
      </c>
      <c r="B370" s="2">
        <v>45191</v>
      </c>
      <c r="C370" s="1" t="s">
        <v>121</v>
      </c>
      <c r="D370" s="1" t="s">
        <v>239</v>
      </c>
      <c r="E370">
        <v>4</v>
      </c>
      <c r="F370" s="4">
        <v>936.38</v>
      </c>
      <c r="G370" s="3">
        <v>0</v>
      </c>
      <c r="H370" s="4">
        <v>192.71</v>
      </c>
    </row>
    <row r="371" spans="1:8" x14ac:dyDescent="0.3">
      <c r="A371" s="1" t="s">
        <v>636</v>
      </c>
      <c r="B371" s="2">
        <v>44722</v>
      </c>
      <c r="C371" s="1" t="s">
        <v>637</v>
      </c>
      <c r="D371" s="1" t="s">
        <v>13</v>
      </c>
      <c r="E371">
        <v>5</v>
      </c>
      <c r="F371" s="4">
        <v>380.16</v>
      </c>
      <c r="G371" s="3">
        <v>0.3</v>
      </c>
      <c r="H371" s="4">
        <v>89.49</v>
      </c>
    </row>
    <row r="372" spans="1:8" x14ac:dyDescent="0.3">
      <c r="A372" s="1" t="s">
        <v>638</v>
      </c>
      <c r="B372" s="2">
        <v>45121</v>
      </c>
      <c r="C372" s="1" t="s">
        <v>367</v>
      </c>
      <c r="D372" s="1" t="s">
        <v>301</v>
      </c>
      <c r="E372">
        <v>2</v>
      </c>
      <c r="F372" s="4">
        <v>723.57</v>
      </c>
      <c r="G372" s="3">
        <v>0.1</v>
      </c>
      <c r="H372" s="4">
        <v>181.81</v>
      </c>
    </row>
    <row r="373" spans="1:8" x14ac:dyDescent="0.3">
      <c r="A373" s="1" t="s">
        <v>639</v>
      </c>
      <c r="B373" s="2">
        <v>44778</v>
      </c>
      <c r="C373" s="1" t="s">
        <v>145</v>
      </c>
      <c r="D373" s="1" t="s">
        <v>127</v>
      </c>
      <c r="E373">
        <v>4</v>
      </c>
      <c r="F373" s="4">
        <v>924.64</v>
      </c>
      <c r="G373" s="3">
        <v>0</v>
      </c>
      <c r="H373" s="4">
        <v>241.57</v>
      </c>
    </row>
    <row r="374" spans="1:8" x14ac:dyDescent="0.3">
      <c r="A374" s="1" t="s">
        <v>640</v>
      </c>
      <c r="B374" s="2">
        <v>44569</v>
      </c>
      <c r="C374" s="1" t="s">
        <v>85</v>
      </c>
      <c r="D374" s="1" t="s">
        <v>25</v>
      </c>
      <c r="E374">
        <v>2</v>
      </c>
      <c r="F374" s="4">
        <v>268.33999999999997</v>
      </c>
      <c r="G374" s="3">
        <v>0.2</v>
      </c>
      <c r="H374" s="4">
        <v>39.92</v>
      </c>
    </row>
    <row r="375" spans="1:8" x14ac:dyDescent="0.3">
      <c r="A375" s="1" t="s">
        <v>641</v>
      </c>
      <c r="B375" s="2">
        <v>44808</v>
      </c>
      <c r="C375" s="1" t="s">
        <v>391</v>
      </c>
      <c r="D375" s="1" t="s">
        <v>40</v>
      </c>
      <c r="E375">
        <v>3</v>
      </c>
      <c r="F375" s="4">
        <v>519.16</v>
      </c>
      <c r="G375" s="3">
        <v>0.1</v>
      </c>
      <c r="H375" s="4">
        <v>32.61</v>
      </c>
    </row>
    <row r="376" spans="1:8" x14ac:dyDescent="0.3">
      <c r="A376" s="1" t="s">
        <v>642</v>
      </c>
      <c r="B376" s="2">
        <v>44581</v>
      </c>
      <c r="C376" s="1" t="s">
        <v>39</v>
      </c>
      <c r="D376" s="1" t="s">
        <v>10</v>
      </c>
      <c r="E376">
        <v>1</v>
      </c>
      <c r="F376" s="4">
        <v>1236.6300000000001</v>
      </c>
      <c r="G376" s="3">
        <v>0.1</v>
      </c>
      <c r="H376" s="4">
        <v>186.07</v>
      </c>
    </row>
    <row r="377" spans="1:8" x14ac:dyDescent="0.3">
      <c r="A377" s="1" t="s">
        <v>643</v>
      </c>
      <c r="B377" s="2">
        <v>45129</v>
      </c>
      <c r="C377" s="1" t="s">
        <v>290</v>
      </c>
      <c r="D377" s="1" t="s">
        <v>116</v>
      </c>
      <c r="E377">
        <v>3</v>
      </c>
      <c r="F377" s="4">
        <v>1497.76</v>
      </c>
      <c r="G377" s="3">
        <v>0.1</v>
      </c>
      <c r="H377" s="4">
        <v>327.17</v>
      </c>
    </row>
    <row r="378" spans="1:8" x14ac:dyDescent="0.3">
      <c r="A378" s="1" t="s">
        <v>644</v>
      </c>
      <c r="B378" s="2">
        <v>44758</v>
      </c>
      <c r="C378" s="1" t="s">
        <v>412</v>
      </c>
      <c r="D378" s="1" t="s">
        <v>221</v>
      </c>
      <c r="E378">
        <v>4</v>
      </c>
      <c r="F378" s="4">
        <v>1996.86</v>
      </c>
      <c r="G378" s="3">
        <v>0.3</v>
      </c>
      <c r="H378" s="4">
        <v>324.66000000000003</v>
      </c>
    </row>
    <row r="379" spans="1:8" x14ac:dyDescent="0.3">
      <c r="A379" s="1" t="s">
        <v>645</v>
      </c>
      <c r="B379" s="2">
        <v>45015</v>
      </c>
      <c r="C379" s="1" t="s">
        <v>30</v>
      </c>
      <c r="D379" s="1" t="s">
        <v>392</v>
      </c>
      <c r="E379">
        <v>2</v>
      </c>
      <c r="F379" s="4">
        <v>1872.92</v>
      </c>
      <c r="G379" s="3">
        <v>0.2</v>
      </c>
      <c r="H379" s="4">
        <v>444.33</v>
      </c>
    </row>
    <row r="380" spans="1:8" x14ac:dyDescent="0.3">
      <c r="A380" s="1" t="s">
        <v>646</v>
      </c>
      <c r="B380" s="2">
        <v>45232</v>
      </c>
      <c r="C380" s="1" t="s">
        <v>647</v>
      </c>
      <c r="D380" s="1" t="s">
        <v>156</v>
      </c>
      <c r="E380">
        <v>2</v>
      </c>
      <c r="F380" s="4">
        <v>1320.87</v>
      </c>
      <c r="G380" s="3">
        <v>0.1</v>
      </c>
      <c r="H380" s="4">
        <v>183.93</v>
      </c>
    </row>
    <row r="381" spans="1:8" x14ac:dyDescent="0.3">
      <c r="A381" s="1" t="s">
        <v>648</v>
      </c>
      <c r="B381" s="2">
        <v>45003</v>
      </c>
      <c r="C381" s="1" t="s">
        <v>491</v>
      </c>
      <c r="D381" s="1" t="s">
        <v>502</v>
      </c>
      <c r="E381">
        <v>5</v>
      </c>
      <c r="F381" s="4">
        <v>900.37</v>
      </c>
      <c r="G381" s="3">
        <v>0</v>
      </c>
      <c r="H381" s="4">
        <v>187.89</v>
      </c>
    </row>
    <row r="382" spans="1:8" x14ac:dyDescent="0.3">
      <c r="A382" s="1" t="s">
        <v>649</v>
      </c>
      <c r="B382" s="2">
        <v>45283</v>
      </c>
      <c r="C382" s="1" t="s">
        <v>332</v>
      </c>
      <c r="D382" s="1" t="s">
        <v>400</v>
      </c>
      <c r="E382">
        <v>2</v>
      </c>
      <c r="F382" s="4">
        <v>1308.74</v>
      </c>
      <c r="G382" s="3">
        <v>0</v>
      </c>
      <c r="H382" s="4">
        <v>126.43</v>
      </c>
    </row>
    <row r="383" spans="1:8" x14ac:dyDescent="0.3">
      <c r="A383" s="1" t="s">
        <v>650</v>
      </c>
      <c r="B383" s="2">
        <v>45235</v>
      </c>
      <c r="C383" s="1" t="s">
        <v>579</v>
      </c>
      <c r="D383" s="1" t="s">
        <v>34</v>
      </c>
      <c r="E383">
        <v>5</v>
      </c>
      <c r="F383" s="4">
        <v>1592.74</v>
      </c>
      <c r="G383" s="3">
        <v>0.3</v>
      </c>
      <c r="H383" s="4">
        <v>378.02</v>
      </c>
    </row>
    <row r="384" spans="1:8" x14ac:dyDescent="0.3">
      <c r="A384" s="1" t="s">
        <v>651</v>
      </c>
      <c r="B384" s="2">
        <v>44772</v>
      </c>
      <c r="C384" s="1" t="s">
        <v>449</v>
      </c>
      <c r="D384" s="1" t="s">
        <v>83</v>
      </c>
      <c r="E384">
        <v>1</v>
      </c>
      <c r="F384" s="4">
        <v>324.83999999999997</v>
      </c>
      <c r="G384" s="3">
        <v>0</v>
      </c>
      <c r="H384" s="4">
        <v>60.56</v>
      </c>
    </row>
    <row r="385" spans="1:8" x14ac:dyDescent="0.3">
      <c r="A385" s="1" t="s">
        <v>652</v>
      </c>
      <c r="B385" s="2">
        <v>45266</v>
      </c>
      <c r="C385" s="1" t="s">
        <v>384</v>
      </c>
      <c r="D385" s="1" t="s">
        <v>92</v>
      </c>
      <c r="E385">
        <v>4</v>
      </c>
      <c r="F385" s="4">
        <v>878.82</v>
      </c>
      <c r="G385" s="3">
        <v>0.1</v>
      </c>
      <c r="H385" s="4">
        <v>88.77</v>
      </c>
    </row>
    <row r="386" spans="1:8" x14ac:dyDescent="0.3">
      <c r="A386" s="1" t="s">
        <v>653</v>
      </c>
      <c r="B386" s="2">
        <v>45366</v>
      </c>
      <c r="C386" s="1" t="s">
        <v>473</v>
      </c>
      <c r="D386" s="1" t="s">
        <v>392</v>
      </c>
      <c r="E386">
        <v>5</v>
      </c>
      <c r="F386" s="4">
        <v>1695.62</v>
      </c>
      <c r="G386" s="3">
        <v>0</v>
      </c>
      <c r="H386" s="4">
        <v>208.52</v>
      </c>
    </row>
    <row r="387" spans="1:8" x14ac:dyDescent="0.3">
      <c r="A387" s="1" t="s">
        <v>654</v>
      </c>
      <c r="B387" s="2">
        <v>45133</v>
      </c>
      <c r="C387" s="1" t="s">
        <v>439</v>
      </c>
      <c r="D387" s="1" t="s">
        <v>209</v>
      </c>
      <c r="E387">
        <v>1</v>
      </c>
      <c r="F387" s="4">
        <v>829.28</v>
      </c>
      <c r="G387" s="3">
        <v>0.1</v>
      </c>
      <c r="H387" s="4">
        <v>196.67</v>
      </c>
    </row>
    <row r="388" spans="1:8" x14ac:dyDescent="0.3">
      <c r="A388" s="1" t="s">
        <v>655</v>
      </c>
      <c r="B388" s="2">
        <v>44785</v>
      </c>
      <c r="C388" s="1" t="s">
        <v>15</v>
      </c>
      <c r="D388" s="1" t="s">
        <v>188</v>
      </c>
      <c r="E388">
        <v>2</v>
      </c>
      <c r="F388" s="4">
        <v>1186.56</v>
      </c>
      <c r="G388" s="3">
        <v>0</v>
      </c>
      <c r="H388" s="4">
        <v>202.49</v>
      </c>
    </row>
    <row r="389" spans="1:8" x14ac:dyDescent="0.3">
      <c r="A389" s="1" t="s">
        <v>656</v>
      </c>
      <c r="B389" s="2">
        <v>45264</v>
      </c>
      <c r="C389" s="1" t="s">
        <v>657</v>
      </c>
      <c r="D389" s="1" t="s">
        <v>141</v>
      </c>
      <c r="E389">
        <v>2</v>
      </c>
      <c r="F389" s="4">
        <v>1216.76</v>
      </c>
      <c r="G389" s="3">
        <v>0.2</v>
      </c>
      <c r="H389" s="4">
        <v>126.55</v>
      </c>
    </row>
    <row r="390" spans="1:8" x14ac:dyDescent="0.3">
      <c r="A390" s="1" t="s">
        <v>658</v>
      </c>
      <c r="B390" s="2">
        <v>45066</v>
      </c>
      <c r="C390" s="1" t="s">
        <v>213</v>
      </c>
      <c r="D390" s="1" t="s">
        <v>275</v>
      </c>
      <c r="E390">
        <v>1</v>
      </c>
      <c r="F390" s="4">
        <v>450.5</v>
      </c>
      <c r="G390" s="3">
        <v>0.3</v>
      </c>
      <c r="H390" s="4">
        <v>131.46</v>
      </c>
    </row>
    <row r="391" spans="1:8" x14ac:dyDescent="0.3">
      <c r="A391" s="1" t="s">
        <v>659</v>
      </c>
      <c r="B391" s="2">
        <v>44581</v>
      </c>
      <c r="C391" s="1" t="s">
        <v>124</v>
      </c>
      <c r="D391" s="1" t="s">
        <v>660</v>
      </c>
      <c r="E391">
        <v>2</v>
      </c>
      <c r="F391" s="4">
        <v>788.25</v>
      </c>
      <c r="G391" s="3">
        <v>0.3</v>
      </c>
      <c r="H391" s="4">
        <v>180.34</v>
      </c>
    </row>
    <row r="392" spans="1:8" x14ac:dyDescent="0.3">
      <c r="A392" s="1" t="s">
        <v>661</v>
      </c>
      <c r="B392" s="2">
        <v>44842</v>
      </c>
      <c r="C392" s="1" t="s">
        <v>662</v>
      </c>
      <c r="D392" s="1" t="s">
        <v>130</v>
      </c>
      <c r="E392">
        <v>1</v>
      </c>
      <c r="F392" s="4">
        <v>735.57</v>
      </c>
      <c r="G392" s="3">
        <v>0.2</v>
      </c>
      <c r="H392" s="4">
        <v>212.79</v>
      </c>
    </row>
    <row r="393" spans="1:8" x14ac:dyDescent="0.3">
      <c r="A393" s="1" t="s">
        <v>663</v>
      </c>
      <c r="B393" s="2">
        <v>44630</v>
      </c>
      <c r="C393" s="1" t="s">
        <v>18</v>
      </c>
      <c r="D393" s="1" t="s">
        <v>177</v>
      </c>
      <c r="E393">
        <v>5</v>
      </c>
      <c r="F393" s="4">
        <v>149.77000000000001</v>
      </c>
      <c r="G393" s="3">
        <v>0.2</v>
      </c>
      <c r="H393" s="4">
        <v>23.48</v>
      </c>
    </row>
    <row r="394" spans="1:8" x14ac:dyDescent="0.3">
      <c r="A394" s="1" t="s">
        <v>664</v>
      </c>
      <c r="B394" s="2">
        <v>44890</v>
      </c>
      <c r="C394" s="1" t="s">
        <v>313</v>
      </c>
      <c r="D394" s="1" t="s">
        <v>451</v>
      </c>
      <c r="E394">
        <v>5</v>
      </c>
      <c r="F394" s="4">
        <v>145.96</v>
      </c>
      <c r="G394" s="3">
        <v>0.3</v>
      </c>
      <c r="H394" s="4">
        <v>24.63</v>
      </c>
    </row>
    <row r="395" spans="1:8" x14ac:dyDescent="0.3">
      <c r="A395" s="1" t="s">
        <v>665</v>
      </c>
      <c r="B395" s="2">
        <v>44676</v>
      </c>
      <c r="C395" s="1" t="s">
        <v>313</v>
      </c>
      <c r="D395" s="1" t="s">
        <v>180</v>
      </c>
      <c r="E395">
        <v>1</v>
      </c>
      <c r="F395" s="4">
        <v>1680.22</v>
      </c>
      <c r="G395" s="3">
        <v>0.2</v>
      </c>
      <c r="H395" s="4">
        <v>461.2</v>
      </c>
    </row>
    <row r="396" spans="1:8" x14ac:dyDescent="0.3">
      <c r="A396" s="1" t="s">
        <v>666</v>
      </c>
      <c r="B396" s="2">
        <v>44903</v>
      </c>
      <c r="C396" s="1" t="s">
        <v>88</v>
      </c>
      <c r="D396" s="1" t="s">
        <v>100</v>
      </c>
      <c r="E396">
        <v>5</v>
      </c>
      <c r="F396" s="4">
        <v>618.83000000000004</v>
      </c>
      <c r="G396" s="3">
        <v>0.1</v>
      </c>
      <c r="H396" s="4">
        <v>112.17</v>
      </c>
    </row>
    <row r="397" spans="1:8" x14ac:dyDescent="0.3">
      <c r="A397" s="1" t="s">
        <v>667</v>
      </c>
      <c r="B397" s="2">
        <v>45231</v>
      </c>
      <c r="C397" s="1" t="s">
        <v>529</v>
      </c>
      <c r="D397" s="1" t="s">
        <v>40</v>
      </c>
      <c r="E397">
        <v>5</v>
      </c>
      <c r="F397" s="4">
        <v>1084.3499999999999</v>
      </c>
      <c r="G397" s="3">
        <v>0</v>
      </c>
      <c r="H397" s="4">
        <v>245.95</v>
      </c>
    </row>
    <row r="398" spans="1:8" x14ac:dyDescent="0.3">
      <c r="A398" s="1" t="s">
        <v>668</v>
      </c>
      <c r="B398" s="2">
        <v>44826</v>
      </c>
      <c r="C398" s="1" t="s">
        <v>579</v>
      </c>
      <c r="D398" s="1" t="s">
        <v>669</v>
      </c>
      <c r="E398">
        <v>5</v>
      </c>
      <c r="F398" s="4">
        <v>667.58</v>
      </c>
      <c r="G398" s="3">
        <v>0.3</v>
      </c>
      <c r="H398" s="4">
        <v>75.47</v>
      </c>
    </row>
    <row r="399" spans="1:8" x14ac:dyDescent="0.3">
      <c r="A399" s="1" t="s">
        <v>670</v>
      </c>
      <c r="B399" s="2">
        <v>45287</v>
      </c>
      <c r="C399" s="1" t="s">
        <v>671</v>
      </c>
      <c r="D399" s="1" t="s">
        <v>296</v>
      </c>
      <c r="E399">
        <v>3</v>
      </c>
      <c r="F399" s="4">
        <v>1887.29</v>
      </c>
      <c r="G399" s="3">
        <v>0.2</v>
      </c>
      <c r="H399" s="4">
        <v>305.14</v>
      </c>
    </row>
    <row r="400" spans="1:8" x14ac:dyDescent="0.3">
      <c r="A400" s="1" t="s">
        <v>672</v>
      </c>
      <c r="B400" s="2">
        <v>44729</v>
      </c>
      <c r="C400" s="1" t="s">
        <v>673</v>
      </c>
      <c r="D400" s="1" t="s">
        <v>177</v>
      </c>
      <c r="E400">
        <v>4</v>
      </c>
      <c r="F400" s="4">
        <v>592.66</v>
      </c>
      <c r="G400" s="3">
        <v>0.1</v>
      </c>
      <c r="H400" s="4">
        <v>47.92</v>
      </c>
    </row>
    <row r="401" spans="1:8" x14ac:dyDescent="0.3">
      <c r="A401" s="1" t="s">
        <v>674</v>
      </c>
      <c r="B401" s="2">
        <v>45262</v>
      </c>
      <c r="C401" s="1" t="s">
        <v>328</v>
      </c>
      <c r="D401" s="1" t="s">
        <v>10</v>
      </c>
      <c r="E401">
        <v>2</v>
      </c>
      <c r="F401" s="4">
        <v>916.35</v>
      </c>
      <c r="G401" s="3">
        <v>0.3</v>
      </c>
      <c r="H401" s="4">
        <v>93</v>
      </c>
    </row>
    <row r="402" spans="1:8" x14ac:dyDescent="0.3">
      <c r="A402" s="1" t="s">
        <v>675</v>
      </c>
      <c r="B402" s="2">
        <v>45425</v>
      </c>
      <c r="C402" s="1" t="s">
        <v>244</v>
      </c>
      <c r="D402" s="1" t="s">
        <v>188</v>
      </c>
      <c r="E402">
        <v>3</v>
      </c>
      <c r="F402" s="4">
        <v>1758.19</v>
      </c>
      <c r="G402" s="3">
        <v>0.2</v>
      </c>
      <c r="H402" s="4">
        <v>88.32</v>
      </c>
    </row>
    <row r="403" spans="1:8" x14ac:dyDescent="0.3">
      <c r="A403" s="1" t="s">
        <v>676</v>
      </c>
      <c r="B403" s="2">
        <v>44882</v>
      </c>
      <c r="C403" s="1" t="s">
        <v>657</v>
      </c>
      <c r="D403" s="1" t="s">
        <v>22</v>
      </c>
      <c r="E403">
        <v>5</v>
      </c>
      <c r="F403" s="4">
        <v>1699.67</v>
      </c>
      <c r="G403" s="3">
        <v>0.3</v>
      </c>
      <c r="H403" s="4">
        <v>101.67</v>
      </c>
    </row>
    <row r="404" spans="1:8" x14ac:dyDescent="0.3">
      <c r="A404" s="1" t="s">
        <v>677</v>
      </c>
      <c r="B404" s="2">
        <v>44640</v>
      </c>
      <c r="C404" s="1" t="s">
        <v>678</v>
      </c>
      <c r="D404" s="1" t="s">
        <v>679</v>
      </c>
      <c r="E404">
        <v>1</v>
      </c>
      <c r="F404" s="4">
        <v>453.59</v>
      </c>
      <c r="G404" s="3">
        <v>0.2</v>
      </c>
      <c r="H404" s="4">
        <v>133.5</v>
      </c>
    </row>
    <row r="405" spans="1:8" x14ac:dyDescent="0.3">
      <c r="A405" s="1" t="s">
        <v>680</v>
      </c>
      <c r="B405" s="2">
        <v>44946</v>
      </c>
      <c r="C405" s="1" t="s">
        <v>468</v>
      </c>
      <c r="D405" s="1" t="s">
        <v>218</v>
      </c>
      <c r="E405">
        <v>5</v>
      </c>
      <c r="F405" s="4">
        <v>1625.02</v>
      </c>
      <c r="G405" s="3">
        <v>0.3</v>
      </c>
      <c r="H405" s="4">
        <v>179.71</v>
      </c>
    </row>
    <row r="406" spans="1:8" x14ac:dyDescent="0.3">
      <c r="A406" s="1" t="s">
        <v>681</v>
      </c>
      <c r="B406" s="2">
        <v>44827</v>
      </c>
      <c r="C406" s="1" t="s">
        <v>412</v>
      </c>
      <c r="D406" s="1" t="s">
        <v>28</v>
      </c>
      <c r="E406">
        <v>4</v>
      </c>
      <c r="F406" s="4">
        <v>970.56</v>
      </c>
      <c r="G406" s="3">
        <v>0.1</v>
      </c>
      <c r="H406" s="4">
        <v>209.47</v>
      </c>
    </row>
    <row r="407" spans="1:8" x14ac:dyDescent="0.3">
      <c r="A407" s="1" t="s">
        <v>682</v>
      </c>
      <c r="B407" s="2">
        <v>45170</v>
      </c>
      <c r="C407" s="1" t="s">
        <v>683</v>
      </c>
      <c r="D407" s="1" t="s">
        <v>226</v>
      </c>
      <c r="E407">
        <v>5</v>
      </c>
      <c r="F407" s="4">
        <v>1017.64</v>
      </c>
      <c r="G407" s="3">
        <v>0.1</v>
      </c>
      <c r="H407" s="4">
        <v>264.36</v>
      </c>
    </row>
    <row r="408" spans="1:8" x14ac:dyDescent="0.3">
      <c r="A408" s="1" t="s">
        <v>684</v>
      </c>
      <c r="B408" s="2">
        <v>45253</v>
      </c>
      <c r="C408" s="1" t="s">
        <v>685</v>
      </c>
      <c r="D408" s="1" t="s">
        <v>61</v>
      </c>
      <c r="E408">
        <v>1</v>
      </c>
      <c r="F408" s="4">
        <v>353.61</v>
      </c>
      <c r="G408" s="3">
        <v>0</v>
      </c>
      <c r="H408" s="4">
        <v>66.36</v>
      </c>
    </row>
    <row r="409" spans="1:8" x14ac:dyDescent="0.3">
      <c r="A409" s="1" t="s">
        <v>686</v>
      </c>
      <c r="B409" s="2">
        <v>44806</v>
      </c>
      <c r="C409" s="1" t="s">
        <v>96</v>
      </c>
      <c r="D409" s="1" t="s">
        <v>400</v>
      </c>
      <c r="E409">
        <v>4</v>
      </c>
      <c r="F409" s="4">
        <v>253.14</v>
      </c>
      <c r="G409" s="3">
        <v>0.3</v>
      </c>
      <c r="H409" s="4">
        <v>22.35</v>
      </c>
    </row>
    <row r="410" spans="1:8" x14ac:dyDescent="0.3">
      <c r="A410" s="1" t="s">
        <v>687</v>
      </c>
      <c r="B410" s="2">
        <v>44974</v>
      </c>
      <c r="C410" s="1" t="s">
        <v>113</v>
      </c>
      <c r="D410" s="1" t="s">
        <v>72</v>
      </c>
      <c r="E410">
        <v>5</v>
      </c>
      <c r="F410" s="4">
        <v>1483.08</v>
      </c>
      <c r="G410" s="3">
        <v>0</v>
      </c>
      <c r="H410" s="4">
        <v>344.12</v>
      </c>
    </row>
    <row r="411" spans="1:8" x14ac:dyDescent="0.3">
      <c r="A411" s="1" t="s">
        <v>688</v>
      </c>
      <c r="B411" s="2">
        <v>44704</v>
      </c>
      <c r="C411" s="1" t="s">
        <v>637</v>
      </c>
      <c r="D411" s="1" t="s">
        <v>109</v>
      </c>
      <c r="E411">
        <v>4</v>
      </c>
      <c r="F411" s="4">
        <v>1043.28</v>
      </c>
      <c r="G411" s="3">
        <v>0.3</v>
      </c>
      <c r="H411" s="4">
        <v>208.72</v>
      </c>
    </row>
    <row r="412" spans="1:8" x14ac:dyDescent="0.3">
      <c r="A412" s="1" t="s">
        <v>689</v>
      </c>
      <c r="B412" s="2">
        <v>44881</v>
      </c>
      <c r="C412" s="1" t="s">
        <v>542</v>
      </c>
      <c r="D412" s="1" t="s">
        <v>211</v>
      </c>
      <c r="E412">
        <v>2</v>
      </c>
      <c r="F412" s="4">
        <v>930.02</v>
      </c>
      <c r="G412" s="3">
        <v>0.2</v>
      </c>
      <c r="H412" s="4">
        <v>216.52</v>
      </c>
    </row>
    <row r="413" spans="1:8" x14ac:dyDescent="0.3">
      <c r="A413" s="1" t="s">
        <v>690</v>
      </c>
      <c r="B413" s="2">
        <v>44609</v>
      </c>
      <c r="C413" s="1" t="s">
        <v>691</v>
      </c>
      <c r="D413" s="1" t="s">
        <v>156</v>
      </c>
      <c r="E413">
        <v>2</v>
      </c>
      <c r="F413" s="4">
        <v>1486.07</v>
      </c>
      <c r="G413" s="3">
        <v>0.2</v>
      </c>
      <c r="H413" s="4">
        <v>360.28</v>
      </c>
    </row>
    <row r="414" spans="1:8" x14ac:dyDescent="0.3">
      <c r="A414" s="1" t="s">
        <v>692</v>
      </c>
      <c r="B414" s="2">
        <v>44608</v>
      </c>
      <c r="C414" s="1" t="s">
        <v>662</v>
      </c>
      <c r="D414" s="1" t="s">
        <v>22</v>
      </c>
      <c r="E414">
        <v>5</v>
      </c>
      <c r="F414" s="4">
        <v>1554.47</v>
      </c>
      <c r="G414" s="3">
        <v>0</v>
      </c>
      <c r="H414" s="4">
        <v>456.79</v>
      </c>
    </row>
    <row r="415" spans="1:8" x14ac:dyDescent="0.3">
      <c r="A415" s="1" t="s">
        <v>693</v>
      </c>
      <c r="B415" s="2">
        <v>45162</v>
      </c>
      <c r="C415" s="1" t="s">
        <v>233</v>
      </c>
      <c r="D415" s="1" t="s">
        <v>301</v>
      </c>
      <c r="E415">
        <v>4</v>
      </c>
      <c r="F415" s="4">
        <v>401.93</v>
      </c>
      <c r="G415" s="3">
        <v>0.3</v>
      </c>
      <c r="H415" s="4">
        <v>77.73</v>
      </c>
    </row>
    <row r="416" spans="1:8" x14ac:dyDescent="0.3">
      <c r="A416" s="1" t="s">
        <v>694</v>
      </c>
      <c r="B416" s="2">
        <v>44690</v>
      </c>
      <c r="C416" s="1" t="s">
        <v>598</v>
      </c>
      <c r="D416" s="1" t="s">
        <v>70</v>
      </c>
      <c r="E416">
        <v>1</v>
      </c>
      <c r="F416" s="4">
        <v>1259.43</v>
      </c>
      <c r="G416" s="3">
        <v>0</v>
      </c>
      <c r="H416" s="4">
        <v>170.54</v>
      </c>
    </row>
    <row r="417" spans="1:8" x14ac:dyDescent="0.3">
      <c r="A417" s="1" t="s">
        <v>695</v>
      </c>
      <c r="B417" s="2">
        <v>44747</v>
      </c>
      <c r="C417" s="1" t="s">
        <v>99</v>
      </c>
      <c r="D417" s="1" t="s">
        <v>361</v>
      </c>
      <c r="E417">
        <v>5</v>
      </c>
      <c r="F417" s="4">
        <v>357.17</v>
      </c>
      <c r="G417" s="3">
        <v>0.1</v>
      </c>
      <c r="H417" s="4">
        <v>75.760000000000005</v>
      </c>
    </row>
    <row r="418" spans="1:8" x14ac:dyDescent="0.3">
      <c r="A418" s="1" t="s">
        <v>696</v>
      </c>
      <c r="B418" s="2">
        <v>45124</v>
      </c>
      <c r="C418" s="1" t="s">
        <v>697</v>
      </c>
      <c r="D418" s="1" t="s">
        <v>70</v>
      </c>
      <c r="E418">
        <v>2</v>
      </c>
      <c r="F418" s="4">
        <v>1527.61</v>
      </c>
      <c r="G418" s="3">
        <v>0</v>
      </c>
      <c r="H418" s="4">
        <v>102.52</v>
      </c>
    </row>
    <row r="419" spans="1:8" x14ac:dyDescent="0.3">
      <c r="A419" s="1" t="s">
        <v>698</v>
      </c>
      <c r="B419" s="2">
        <v>45389</v>
      </c>
      <c r="C419" s="1" t="s">
        <v>384</v>
      </c>
      <c r="D419" s="1" t="s">
        <v>61</v>
      </c>
      <c r="E419">
        <v>2</v>
      </c>
      <c r="F419" s="4">
        <v>1348.21</v>
      </c>
      <c r="G419" s="3">
        <v>0</v>
      </c>
      <c r="H419" s="4">
        <v>369.88</v>
      </c>
    </row>
    <row r="420" spans="1:8" x14ac:dyDescent="0.3">
      <c r="A420" s="1" t="s">
        <v>699</v>
      </c>
      <c r="B420" s="2">
        <v>45429</v>
      </c>
      <c r="C420" s="1" t="s">
        <v>56</v>
      </c>
      <c r="D420" s="1" t="s">
        <v>288</v>
      </c>
      <c r="E420">
        <v>5</v>
      </c>
      <c r="F420" s="4">
        <v>1917.57</v>
      </c>
      <c r="G420" s="3">
        <v>0.2</v>
      </c>
      <c r="H420" s="4">
        <v>153.11000000000001</v>
      </c>
    </row>
    <row r="421" spans="1:8" x14ac:dyDescent="0.3">
      <c r="A421" s="1" t="s">
        <v>700</v>
      </c>
      <c r="B421" s="2">
        <v>45309</v>
      </c>
      <c r="C421" s="1" t="s">
        <v>657</v>
      </c>
      <c r="D421" s="1" t="s">
        <v>234</v>
      </c>
      <c r="E421">
        <v>4</v>
      </c>
      <c r="F421" s="4">
        <v>231.02</v>
      </c>
      <c r="G421" s="3">
        <v>0</v>
      </c>
      <c r="H421" s="4">
        <v>30.49</v>
      </c>
    </row>
    <row r="422" spans="1:8" x14ac:dyDescent="0.3">
      <c r="A422" s="1" t="s">
        <v>701</v>
      </c>
      <c r="B422" s="2">
        <v>44933</v>
      </c>
      <c r="C422" s="1" t="s">
        <v>422</v>
      </c>
      <c r="D422" s="1" t="s">
        <v>64</v>
      </c>
      <c r="E422">
        <v>2</v>
      </c>
      <c r="F422" s="4">
        <v>208.4</v>
      </c>
      <c r="G422" s="3">
        <v>0.3</v>
      </c>
      <c r="H422" s="4">
        <v>52.92</v>
      </c>
    </row>
    <row r="423" spans="1:8" x14ac:dyDescent="0.3">
      <c r="A423" s="1" t="s">
        <v>702</v>
      </c>
      <c r="B423" s="2">
        <v>44755</v>
      </c>
      <c r="C423" s="1" t="s">
        <v>172</v>
      </c>
      <c r="D423" s="1" t="s">
        <v>34</v>
      </c>
      <c r="E423">
        <v>4</v>
      </c>
      <c r="F423" s="4">
        <v>636.16</v>
      </c>
      <c r="G423" s="3">
        <v>0.2</v>
      </c>
      <c r="H423" s="4">
        <v>126.8</v>
      </c>
    </row>
    <row r="424" spans="1:8" x14ac:dyDescent="0.3">
      <c r="A424" s="1" t="s">
        <v>703</v>
      </c>
      <c r="B424" s="2">
        <v>44941</v>
      </c>
      <c r="C424" s="1" t="s">
        <v>367</v>
      </c>
      <c r="D424" s="1" t="s">
        <v>269</v>
      </c>
      <c r="E424">
        <v>2</v>
      </c>
      <c r="F424" s="4">
        <v>597.24</v>
      </c>
      <c r="G424" s="3">
        <v>0</v>
      </c>
      <c r="H424" s="4">
        <v>88.64</v>
      </c>
    </row>
    <row r="425" spans="1:8" x14ac:dyDescent="0.3">
      <c r="A425" s="1" t="s">
        <v>704</v>
      </c>
      <c r="B425" s="2">
        <v>44995</v>
      </c>
      <c r="C425" s="1" t="s">
        <v>238</v>
      </c>
      <c r="D425" s="1" t="s">
        <v>195</v>
      </c>
      <c r="E425">
        <v>2</v>
      </c>
      <c r="F425" s="4">
        <v>569.26</v>
      </c>
      <c r="G425" s="3">
        <v>0.1</v>
      </c>
      <c r="H425" s="4">
        <v>95.84</v>
      </c>
    </row>
    <row r="426" spans="1:8" x14ac:dyDescent="0.3">
      <c r="A426" s="1" t="s">
        <v>705</v>
      </c>
      <c r="B426" s="2">
        <v>45204</v>
      </c>
      <c r="C426" s="1" t="s">
        <v>683</v>
      </c>
      <c r="D426" s="1" t="s">
        <v>37</v>
      </c>
      <c r="E426">
        <v>3</v>
      </c>
      <c r="F426" s="4">
        <v>1821.88</v>
      </c>
      <c r="G426" s="3">
        <v>0</v>
      </c>
      <c r="H426" s="4">
        <v>480.31</v>
      </c>
    </row>
    <row r="427" spans="1:8" x14ac:dyDescent="0.3">
      <c r="A427" s="1" t="s">
        <v>706</v>
      </c>
      <c r="B427" s="2">
        <v>44596</v>
      </c>
      <c r="C427" s="1" t="s">
        <v>150</v>
      </c>
      <c r="D427" s="1" t="s">
        <v>107</v>
      </c>
      <c r="E427">
        <v>2</v>
      </c>
      <c r="F427" s="4">
        <v>574.14</v>
      </c>
      <c r="G427" s="3">
        <v>0</v>
      </c>
      <c r="H427" s="4">
        <v>77.510000000000005</v>
      </c>
    </row>
    <row r="428" spans="1:8" x14ac:dyDescent="0.3">
      <c r="A428" s="1" t="s">
        <v>707</v>
      </c>
      <c r="B428" s="2">
        <v>44947</v>
      </c>
      <c r="C428" s="1" t="s">
        <v>330</v>
      </c>
      <c r="D428" s="1" t="s">
        <v>304</v>
      </c>
      <c r="E428">
        <v>1</v>
      </c>
      <c r="F428" s="4">
        <v>616.70000000000005</v>
      </c>
      <c r="G428" s="3">
        <v>0</v>
      </c>
      <c r="H428" s="4">
        <v>164.91</v>
      </c>
    </row>
    <row r="429" spans="1:8" x14ac:dyDescent="0.3">
      <c r="A429" s="1" t="s">
        <v>708</v>
      </c>
      <c r="B429" s="2">
        <v>44959</v>
      </c>
      <c r="C429" s="1" t="s">
        <v>709</v>
      </c>
      <c r="D429" s="1" t="s">
        <v>89</v>
      </c>
      <c r="E429">
        <v>5</v>
      </c>
      <c r="F429" s="4">
        <v>1542.86</v>
      </c>
      <c r="G429" s="3">
        <v>0.2</v>
      </c>
      <c r="H429" s="4">
        <v>111.14</v>
      </c>
    </row>
    <row r="430" spans="1:8" x14ac:dyDescent="0.3">
      <c r="A430" s="1" t="s">
        <v>710</v>
      </c>
      <c r="B430" s="2">
        <v>45377</v>
      </c>
      <c r="C430" s="1" t="s">
        <v>434</v>
      </c>
      <c r="D430" s="1" t="s">
        <v>201</v>
      </c>
      <c r="E430">
        <v>5</v>
      </c>
      <c r="F430" s="4">
        <v>954.51</v>
      </c>
      <c r="G430" s="3">
        <v>0.3</v>
      </c>
      <c r="H430" s="4">
        <v>233.09</v>
      </c>
    </row>
    <row r="431" spans="1:8" x14ac:dyDescent="0.3">
      <c r="A431" s="1" t="s">
        <v>711</v>
      </c>
      <c r="B431" s="2">
        <v>44757</v>
      </c>
      <c r="C431" s="1" t="s">
        <v>285</v>
      </c>
      <c r="D431" s="1" t="s">
        <v>451</v>
      </c>
      <c r="E431">
        <v>4</v>
      </c>
      <c r="F431" s="4">
        <v>1575.75</v>
      </c>
      <c r="G431" s="3">
        <v>0.1</v>
      </c>
      <c r="H431" s="4">
        <v>412.67</v>
      </c>
    </row>
    <row r="432" spans="1:8" x14ac:dyDescent="0.3">
      <c r="A432" s="1" t="s">
        <v>712</v>
      </c>
      <c r="B432" s="2">
        <v>44991</v>
      </c>
      <c r="C432" s="1" t="s">
        <v>9</v>
      </c>
      <c r="D432" s="1" t="s">
        <v>48</v>
      </c>
      <c r="E432">
        <v>2</v>
      </c>
      <c r="F432" s="4">
        <v>224.2</v>
      </c>
      <c r="G432" s="3">
        <v>0</v>
      </c>
      <c r="H432" s="4">
        <v>21.4</v>
      </c>
    </row>
    <row r="433" spans="1:8" x14ac:dyDescent="0.3">
      <c r="A433" s="1" t="s">
        <v>713</v>
      </c>
      <c r="B433" s="2">
        <v>44783</v>
      </c>
      <c r="C433" s="1" t="s">
        <v>350</v>
      </c>
      <c r="D433" s="1" t="s">
        <v>283</v>
      </c>
      <c r="E433">
        <v>1</v>
      </c>
      <c r="F433" s="4">
        <v>1026.3900000000001</v>
      </c>
      <c r="G433" s="3">
        <v>0.3</v>
      </c>
      <c r="H433" s="4">
        <v>161.75</v>
      </c>
    </row>
    <row r="434" spans="1:8" x14ac:dyDescent="0.3">
      <c r="A434" s="1" t="s">
        <v>714</v>
      </c>
      <c r="B434" s="2">
        <v>45299</v>
      </c>
      <c r="C434" s="1" t="s">
        <v>434</v>
      </c>
      <c r="D434" s="1" t="s">
        <v>585</v>
      </c>
      <c r="E434">
        <v>4</v>
      </c>
      <c r="F434" s="4">
        <v>163.87</v>
      </c>
      <c r="G434" s="3">
        <v>0.3</v>
      </c>
      <c r="H434" s="4">
        <v>14.97</v>
      </c>
    </row>
    <row r="435" spans="1:8" x14ac:dyDescent="0.3">
      <c r="A435" s="1" t="s">
        <v>715</v>
      </c>
      <c r="B435" s="2">
        <v>45236</v>
      </c>
      <c r="C435" s="1" t="s">
        <v>260</v>
      </c>
      <c r="D435" s="1" t="s">
        <v>278</v>
      </c>
      <c r="E435">
        <v>3</v>
      </c>
      <c r="F435" s="4">
        <v>219.04</v>
      </c>
      <c r="G435" s="3">
        <v>0.2</v>
      </c>
      <c r="H435" s="4">
        <v>49.65</v>
      </c>
    </row>
    <row r="436" spans="1:8" x14ac:dyDescent="0.3">
      <c r="A436" s="1" t="s">
        <v>716</v>
      </c>
      <c r="B436" s="2">
        <v>45343</v>
      </c>
      <c r="C436" s="1" t="s">
        <v>102</v>
      </c>
      <c r="D436" s="1" t="s">
        <v>143</v>
      </c>
      <c r="E436">
        <v>4</v>
      </c>
      <c r="F436" s="4">
        <v>1822.23</v>
      </c>
      <c r="G436" s="3">
        <v>0.1</v>
      </c>
      <c r="H436" s="4">
        <v>334.99</v>
      </c>
    </row>
    <row r="437" spans="1:8" x14ac:dyDescent="0.3">
      <c r="A437" s="1" t="s">
        <v>717</v>
      </c>
      <c r="B437" s="2">
        <v>45114</v>
      </c>
      <c r="C437" s="1" t="s">
        <v>69</v>
      </c>
      <c r="D437" s="1" t="s">
        <v>301</v>
      </c>
      <c r="E437">
        <v>4</v>
      </c>
      <c r="F437" s="4">
        <v>364.57</v>
      </c>
      <c r="G437" s="3">
        <v>0.2</v>
      </c>
      <c r="H437" s="4">
        <v>76.13</v>
      </c>
    </row>
    <row r="438" spans="1:8" x14ac:dyDescent="0.3">
      <c r="A438" s="1" t="s">
        <v>718</v>
      </c>
      <c r="B438" s="2">
        <v>45439</v>
      </c>
      <c r="C438" s="1" t="s">
        <v>96</v>
      </c>
      <c r="D438" s="1" t="s">
        <v>679</v>
      </c>
      <c r="E438">
        <v>2</v>
      </c>
      <c r="F438" s="4">
        <v>1111.5999999999999</v>
      </c>
      <c r="G438" s="3">
        <v>0.3</v>
      </c>
      <c r="H438" s="4">
        <v>110.18</v>
      </c>
    </row>
    <row r="439" spans="1:8" x14ac:dyDescent="0.3">
      <c r="A439" s="1" t="s">
        <v>719</v>
      </c>
      <c r="B439" s="2">
        <v>44686</v>
      </c>
      <c r="C439" s="1" t="s">
        <v>205</v>
      </c>
      <c r="D439" s="1" t="s">
        <v>16</v>
      </c>
      <c r="E439">
        <v>3</v>
      </c>
      <c r="F439" s="4">
        <v>881.08</v>
      </c>
      <c r="G439" s="3">
        <v>0.3</v>
      </c>
      <c r="H439" s="4">
        <v>90.7</v>
      </c>
    </row>
    <row r="440" spans="1:8" x14ac:dyDescent="0.3">
      <c r="A440" s="1" t="s">
        <v>720</v>
      </c>
      <c r="B440" s="2">
        <v>45273</v>
      </c>
      <c r="C440" s="1" t="s">
        <v>347</v>
      </c>
      <c r="D440" s="1" t="s">
        <v>249</v>
      </c>
      <c r="E440">
        <v>4</v>
      </c>
      <c r="F440" s="4">
        <v>759.95</v>
      </c>
      <c r="G440" s="3">
        <v>0.3</v>
      </c>
      <c r="H440" s="4">
        <v>45.88</v>
      </c>
    </row>
    <row r="441" spans="1:8" x14ac:dyDescent="0.3">
      <c r="A441" s="1" t="s">
        <v>721</v>
      </c>
      <c r="B441" s="2">
        <v>44803</v>
      </c>
      <c r="C441" s="1" t="s">
        <v>338</v>
      </c>
      <c r="D441" s="1" t="s">
        <v>72</v>
      </c>
      <c r="E441">
        <v>1</v>
      </c>
      <c r="F441" s="4">
        <v>1809.68</v>
      </c>
      <c r="G441" s="3">
        <v>0.2</v>
      </c>
      <c r="H441" s="4">
        <v>236.19</v>
      </c>
    </row>
    <row r="442" spans="1:8" x14ac:dyDescent="0.3">
      <c r="A442" s="1" t="s">
        <v>722</v>
      </c>
      <c r="B442" s="2">
        <v>45122</v>
      </c>
      <c r="C442" s="1" t="s">
        <v>723</v>
      </c>
      <c r="D442" s="1" t="s">
        <v>141</v>
      </c>
      <c r="E442">
        <v>1</v>
      </c>
      <c r="F442" s="4">
        <v>141.46</v>
      </c>
      <c r="G442" s="3">
        <v>0.1</v>
      </c>
      <c r="H442" s="4">
        <v>26.87</v>
      </c>
    </row>
    <row r="443" spans="1:8" x14ac:dyDescent="0.3">
      <c r="A443" s="1" t="s">
        <v>724</v>
      </c>
      <c r="B443" s="2">
        <v>45347</v>
      </c>
      <c r="C443" s="1" t="s">
        <v>598</v>
      </c>
      <c r="D443" s="1" t="s">
        <v>86</v>
      </c>
      <c r="E443">
        <v>5</v>
      </c>
      <c r="F443" s="4">
        <v>1361.2</v>
      </c>
      <c r="G443" s="3">
        <v>0</v>
      </c>
      <c r="H443" s="4">
        <v>360.02</v>
      </c>
    </row>
    <row r="444" spans="1:8" x14ac:dyDescent="0.3">
      <c r="A444" s="1" t="s">
        <v>725</v>
      </c>
      <c r="B444" s="2">
        <v>45267</v>
      </c>
      <c r="C444" s="1" t="s">
        <v>115</v>
      </c>
      <c r="D444" s="1" t="s">
        <v>132</v>
      </c>
      <c r="E444">
        <v>3</v>
      </c>
      <c r="F444" s="4">
        <v>1930.45</v>
      </c>
      <c r="G444" s="3">
        <v>0.2</v>
      </c>
      <c r="H444" s="4">
        <v>418.39</v>
      </c>
    </row>
    <row r="445" spans="1:8" x14ac:dyDescent="0.3">
      <c r="A445" s="1" t="s">
        <v>726</v>
      </c>
      <c r="B445" s="2">
        <v>45358</v>
      </c>
      <c r="C445" s="1" t="s">
        <v>21</v>
      </c>
      <c r="D445" s="1" t="s">
        <v>727</v>
      </c>
      <c r="E445">
        <v>3</v>
      </c>
      <c r="F445" s="4">
        <v>1164.32</v>
      </c>
      <c r="G445" s="3">
        <v>0.3</v>
      </c>
      <c r="H445" s="4">
        <v>184.95</v>
      </c>
    </row>
    <row r="446" spans="1:8" x14ac:dyDescent="0.3">
      <c r="A446" s="1" t="s">
        <v>728</v>
      </c>
      <c r="B446" s="2">
        <v>45051</v>
      </c>
      <c r="C446" s="1" t="s">
        <v>729</v>
      </c>
      <c r="D446" s="1" t="s">
        <v>61</v>
      </c>
      <c r="E446">
        <v>5</v>
      </c>
      <c r="F446" s="4">
        <v>1879.96</v>
      </c>
      <c r="G446" s="3">
        <v>0.2</v>
      </c>
      <c r="H446" s="4">
        <v>541.95000000000005</v>
      </c>
    </row>
    <row r="447" spans="1:8" x14ac:dyDescent="0.3">
      <c r="A447" s="1" t="s">
        <v>730</v>
      </c>
      <c r="B447" s="2">
        <v>44865</v>
      </c>
      <c r="C447" s="1" t="s">
        <v>190</v>
      </c>
      <c r="D447" s="1" t="s">
        <v>242</v>
      </c>
      <c r="E447">
        <v>4</v>
      </c>
      <c r="F447" s="4">
        <v>199.29</v>
      </c>
      <c r="G447" s="3">
        <v>0.3</v>
      </c>
      <c r="H447" s="4">
        <v>45.8</v>
      </c>
    </row>
    <row r="448" spans="1:8" x14ac:dyDescent="0.3">
      <c r="A448" s="1" t="s">
        <v>731</v>
      </c>
      <c r="B448" s="2">
        <v>44685</v>
      </c>
      <c r="C448" s="1" t="s">
        <v>265</v>
      </c>
      <c r="D448" s="1" t="s">
        <v>130</v>
      </c>
      <c r="E448">
        <v>3</v>
      </c>
      <c r="F448" s="4">
        <v>895.71</v>
      </c>
      <c r="G448" s="3">
        <v>0</v>
      </c>
      <c r="H448" s="4">
        <v>253.08</v>
      </c>
    </row>
    <row r="449" spans="1:8" x14ac:dyDescent="0.3">
      <c r="A449" s="1" t="s">
        <v>732</v>
      </c>
      <c r="B449" s="2">
        <v>45218</v>
      </c>
      <c r="C449" s="1" t="s">
        <v>402</v>
      </c>
      <c r="D449" s="1" t="s">
        <v>161</v>
      </c>
      <c r="E449">
        <v>1</v>
      </c>
      <c r="F449" s="4">
        <v>594.29999999999995</v>
      </c>
      <c r="G449" s="3">
        <v>0</v>
      </c>
      <c r="H449" s="4">
        <v>108.1</v>
      </c>
    </row>
    <row r="450" spans="1:8" x14ac:dyDescent="0.3">
      <c r="A450" s="1" t="s">
        <v>733</v>
      </c>
      <c r="B450" s="2">
        <v>45167</v>
      </c>
      <c r="C450" s="1" t="s">
        <v>138</v>
      </c>
      <c r="D450" s="1" t="s">
        <v>361</v>
      </c>
      <c r="E450">
        <v>1</v>
      </c>
      <c r="F450" s="4">
        <v>1488.56</v>
      </c>
      <c r="G450" s="3">
        <v>0.1</v>
      </c>
      <c r="H450" s="4">
        <v>170.78</v>
      </c>
    </row>
    <row r="451" spans="1:8" x14ac:dyDescent="0.3">
      <c r="A451" s="1" t="s">
        <v>734</v>
      </c>
      <c r="B451" s="2">
        <v>44999</v>
      </c>
      <c r="C451" s="1" t="s">
        <v>422</v>
      </c>
      <c r="D451" s="1" t="s">
        <v>86</v>
      </c>
      <c r="E451">
        <v>2</v>
      </c>
      <c r="F451" s="4">
        <v>1964.46</v>
      </c>
      <c r="G451" s="3">
        <v>0.3</v>
      </c>
      <c r="H451" s="4">
        <v>124.17</v>
      </c>
    </row>
    <row r="452" spans="1:8" x14ac:dyDescent="0.3">
      <c r="A452" s="1" t="s">
        <v>735</v>
      </c>
      <c r="B452" s="2">
        <v>44990</v>
      </c>
      <c r="C452" s="1" t="s">
        <v>579</v>
      </c>
      <c r="D452" s="1" t="s">
        <v>294</v>
      </c>
      <c r="E452">
        <v>3</v>
      </c>
      <c r="F452" s="4">
        <v>587.41</v>
      </c>
      <c r="G452" s="3">
        <v>0.1</v>
      </c>
      <c r="H452" s="4">
        <v>136</v>
      </c>
    </row>
    <row r="453" spans="1:8" x14ac:dyDescent="0.3">
      <c r="A453" s="1" t="s">
        <v>736</v>
      </c>
      <c r="B453" s="2">
        <v>45210</v>
      </c>
      <c r="C453" s="1" t="s">
        <v>434</v>
      </c>
      <c r="D453" s="1" t="s">
        <v>37</v>
      </c>
      <c r="E453">
        <v>4</v>
      </c>
      <c r="F453" s="4">
        <v>1342.93</v>
      </c>
      <c r="G453" s="3">
        <v>0.1</v>
      </c>
      <c r="H453" s="4">
        <v>107.87</v>
      </c>
    </row>
    <row r="454" spans="1:8" x14ac:dyDescent="0.3">
      <c r="A454" s="1" t="s">
        <v>737</v>
      </c>
      <c r="B454" s="2">
        <v>44581</v>
      </c>
      <c r="C454" s="1" t="s">
        <v>99</v>
      </c>
      <c r="D454" s="1" t="s">
        <v>226</v>
      </c>
      <c r="E454">
        <v>5</v>
      </c>
      <c r="F454" s="4">
        <v>476.39</v>
      </c>
      <c r="G454" s="3">
        <v>0</v>
      </c>
      <c r="H454" s="4">
        <v>59.88</v>
      </c>
    </row>
    <row r="455" spans="1:8" x14ac:dyDescent="0.3">
      <c r="A455" s="1" t="s">
        <v>738</v>
      </c>
      <c r="B455" s="2">
        <v>44666</v>
      </c>
      <c r="C455" s="1" t="s">
        <v>739</v>
      </c>
      <c r="D455" s="1" t="s">
        <v>177</v>
      </c>
      <c r="E455">
        <v>5</v>
      </c>
      <c r="F455" s="4">
        <v>1174.1300000000001</v>
      </c>
      <c r="G455" s="3">
        <v>0.2</v>
      </c>
      <c r="H455" s="4">
        <v>215</v>
      </c>
    </row>
    <row r="456" spans="1:8" x14ac:dyDescent="0.3">
      <c r="A456" s="1" t="s">
        <v>740</v>
      </c>
      <c r="B456" s="2">
        <v>45181</v>
      </c>
      <c r="C456" s="1" t="s">
        <v>176</v>
      </c>
      <c r="D456" s="1" t="s">
        <v>211</v>
      </c>
      <c r="E456">
        <v>4</v>
      </c>
      <c r="F456" s="4">
        <v>981.47</v>
      </c>
      <c r="G456" s="3">
        <v>0.2</v>
      </c>
      <c r="H456" s="4">
        <v>187.56</v>
      </c>
    </row>
    <row r="457" spans="1:8" x14ac:dyDescent="0.3">
      <c r="A457" s="1" t="s">
        <v>741</v>
      </c>
      <c r="B457" s="2">
        <v>45012</v>
      </c>
      <c r="C457" s="1" t="s">
        <v>489</v>
      </c>
      <c r="D457" s="1" t="s">
        <v>122</v>
      </c>
      <c r="E457">
        <v>2</v>
      </c>
      <c r="F457" s="4">
        <v>1946.81</v>
      </c>
      <c r="G457" s="3">
        <v>0.1</v>
      </c>
      <c r="H457" s="4">
        <v>389.65</v>
      </c>
    </row>
    <row r="458" spans="1:8" x14ac:dyDescent="0.3">
      <c r="A458" s="1" t="s">
        <v>742</v>
      </c>
      <c r="B458" s="2">
        <v>44647</v>
      </c>
      <c r="C458" s="1" t="s">
        <v>102</v>
      </c>
      <c r="D458" s="1" t="s">
        <v>109</v>
      </c>
      <c r="E458">
        <v>5</v>
      </c>
      <c r="F458" s="4">
        <v>1256.2</v>
      </c>
      <c r="G458" s="3">
        <v>0</v>
      </c>
      <c r="H458" s="4">
        <v>115.02</v>
      </c>
    </row>
    <row r="459" spans="1:8" x14ac:dyDescent="0.3">
      <c r="A459" s="1" t="s">
        <v>743</v>
      </c>
      <c r="B459" s="2">
        <v>45229</v>
      </c>
      <c r="C459" s="1" t="s">
        <v>744</v>
      </c>
      <c r="D459" s="1" t="s">
        <v>139</v>
      </c>
      <c r="E459">
        <v>3</v>
      </c>
      <c r="F459" s="4">
        <v>764.06</v>
      </c>
      <c r="G459" s="3">
        <v>0.3</v>
      </c>
      <c r="H459" s="4">
        <v>110.74</v>
      </c>
    </row>
    <row r="460" spans="1:8" x14ac:dyDescent="0.3">
      <c r="A460" s="1" t="s">
        <v>745</v>
      </c>
      <c r="B460" s="2">
        <v>44759</v>
      </c>
      <c r="C460" s="1" t="s">
        <v>225</v>
      </c>
      <c r="D460" s="1" t="s">
        <v>180</v>
      </c>
      <c r="E460">
        <v>2</v>
      </c>
      <c r="F460" s="4">
        <v>316.77999999999997</v>
      </c>
      <c r="G460" s="3">
        <v>0.2</v>
      </c>
      <c r="H460" s="4">
        <v>64.72</v>
      </c>
    </row>
    <row r="461" spans="1:8" x14ac:dyDescent="0.3">
      <c r="A461" s="1" t="s">
        <v>746</v>
      </c>
      <c r="B461" s="2">
        <v>45397</v>
      </c>
      <c r="C461" s="1" t="s">
        <v>384</v>
      </c>
      <c r="D461" s="1" t="s">
        <v>161</v>
      </c>
      <c r="E461">
        <v>3</v>
      </c>
      <c r="F461" s="4">
        <v>387.37</v>
      </c>
      <c r="G461" s="3">
        <v>0.1</v>
      </c>
      <c r="H461" s="4">
        <v>113.29</v>
      </c>
    </row>
    <row r="462" spans="1:8" x14ac:dyDescent="0.3">
      <c r="A462" s="1" t="s">
        <v>747</v>
      </c>
      <c r="B462" s="2">
        <v>45334</v>
      </c>
      <c r="C462" s="1" t="s">
        <v>371</v>
      </c>
      <c r="D462" s="1" t="s">
        <v>369</v>
      </c>
      <c r="E462">
        <v>1</v>
      </c>
      <c r="F462" s="4">
        <v>528.1</v>
      </c>
      <c r="G462" s="3">
        <v>0.2</v>
      </c>
      <c r="H462" s="4">
        <v>122.47</v>
      </c>
    </row>
    <row r="463" spans="1:8" x14ac:dyDescent="0.3">
      <c r="A463" s="1" t="s">
        <v>748</v>
      </c>
      <c r="B463" s="2">
        <v>44953</v>
      </c>
      <c r="C463" s="1" t="s">
        <v>353</v>
      </c>
      <c r="D463" s="1" t="s">
        <v>100</v>
      </c>
      <c r="E463">
        <v>2</v>
      </c>
      <c r="F463" s="4">
        <v>576.84</v>
      </c>
      <c r="G463" s="3">
        <v>0.2</v>
      </c>
      <c r="H463" s="4">
        <v>161.88999999999999</v>
      </c>
    </row>
    <row r="464" spans="1:8" x14ac:dyDescent="0.3">
      <c r="A464" s="1" t="s">
        <v>749</v>
      </c>
      <c r="B464" s="2">
        <v>45083</v>
      </c>
      <c r="C464" s="1" t="s">
        <v>39</v>
      </c>
      <c r="D464" s="1" t="s">
        <v>269</v>
      </c>
      <c r="E464">
        <v>5</v>
      </c>
      <c r="F464" s="4">
        <v>1716.17</v>
      </c>
      <c r="G464" s="3">
        <v>0.3</v>
      </c>
      <c r="H464" s="4">
        <v>412.83</v>
      </c>
    </row>
    <row r="465" spans="1:8" x14ac:dyDescent="0.3">
      <c r="A465" s="1" t="s">
        <v>750</v>
      </c>
      <c r="B465" s="2">
        <v>44744</v>
      </c>
      <c r="C465" s="1" t="s">
        <v>751</v>
      </c>
      <c r="D465" s="1" t="s">
        <v>25</v>
      </c>
      <c r="E465">
        <v>2</v>
      </c>
      <c r="F465" s="4">
        <v>1166.32</v>
      </c>
      <c r="G465" s="3">
        <v>0</v>
      </c>
      <c r="H465" s="4">
        <v>230.85</v>
      </c>
    </row>
    <row r="466" spans="1:8" x14ac:dyDescent="0.3">
      <c r="A466" s="1" t="s">
        <v>752</v>
      </c>
      <c r="B466" s="2">
        <v>45169</v>
      </c>
      <c r="C466" s="1" t="s">
        <v>220</v>
      </c>
      <c r="D466" s="1" t="s">
        <v>239</v>
      </c>
      <c r="E466">
        <v>2</v>
      </c>
      <c r="F466" s="4">
        <v>1094.44</v>
      </c>
      <c r="G466" s="3">
        <v>0.3</v>
      </c>
      <c r="H466" s="4">
        <v>107.26</v>
      </c>
    </row>
    <row r="467" spans="1:8" x14ac:dyDescent="0.3">
      <c r="A467" s="1" t="s">
        <v>753</v>
      </c>
      <c r="B467" s="2">
        <v>44769</v>
      </c>
      <c r="C467" s="1" t="s">
        <v>96</v>
      </c>
      <c r="D467" s="1" t="s">
        <v>309</v>
      </c>
      <c r="E467">
        <v>2</v>
      </c>
      <c r="F467" s="4">
        <v>318.06</v>
      </c>
      <c r="G467" s="3">
        <v>0</v>
      </c>
      <c r="H467" s="4">
        <v>68.91</v>
      </c>
    </row>
    <row r="468" spans="1:8" x14ac:dyDescent="0.3">
      <c r="A468" s="1" t="s">
        <v>754</v>
      </c>
      <c r="B468" s="2">
        <v>44826</v>
      </c>
      <c r="C468" s="1" t="s">
        <v>194</v>
      </c>
      <c r="D468" s="1" t="s">
        <v>226</v>
      </c>
      <c r="E468">
        <v>2</v>
      </c>
      <c r="F468" s="4">
        <v>1734.27</v>
      </c>
      <c r="G468" s="3">
        <v>0.2</v>
      </c>
      <c r="H468" s="4">
        <v>356.99</v>
      </c>
    </row>
    <row r="469" spans="1:8" x14ac:dyDescent="0.3">
      <c r="A469" s="1" t="s">
        <v>755</v>
      </c>
      <c r="B469" s="2">
        <v>44878</v>
      </c>
      <c r="C469" s="1" t="s">
        <v>308</v>
      </c>
      <c r="D469" s="1" t="s">
        <v>83</v>
      </c>
      <c r="E469">
        <v>3</v>
      </c>
      <c r="F469" s="4">
        <v>1473.35</v>
      </c>
      <c r="G469" s="3">
        <v>0.1</v>
      </c>
      <c r="H469" s="4">
        <v>295.58</v>
      </c>
    </row>
    <row r="470" spans="1:8" x14ac:dyDescent="0.3">
      <c r="A470" s="1" t="s">
        <v>756</v>
      </c>
      <c r="B470" s="2">
        <v>44753</v>
      </c>
      <c r="C470" s="1" t="s">
        <v>33</v>
      </c>
      <c r="D470" s="1" t="s">
        <v>757</v>
      </c>
      <c r="E470">
        <v>1</v>
      </c>
      <c r="F470" s="4">
        <v>228.57</v>
      </c>
      <c r="G470" s="3">
        <v>0.3</v>
      </c>
      <c r="H470" s="4">
        <v>39.42</v>
      </c>
    </row>
    <row r="471" spans="1:8" x14ac:dyDescent="0.3">
      <c r="A471" s="1" t="s">
        <v>758</v>
      </c>
      <c r="B471" s="2">
        <v>45227</v>
      </c>
      <c r="C471" s="1" t="s">
        <v>50</v>
      </c>
      <c r="D471" s="1" t="s">
        <v>309</v>
      </c>
      <c r="E471">
        <v>4</v>
      </c>
      <c r="F471" s="4">
        <v>1444.89</v>
      </c>
      <c r="G471" s="3">
        <v>0</v>
      </c>
      <c r="H471" s="4">
        <v>263.20999999999998</v>
      </c>
    </row>
    <row r="472" spans="1:8" x14ac:dyDescent="0.3">
      <c r="A472" s="1" t="s">
        <v>759</v>
      </c>
      <c r="B472" s="2">
        <v>45137</v>
      </c>
      <c r="C472" s="1" t="s">
        <v>396</v>
      </c>
      <c r="D472" s="1" t="s">
        <v>458</v>
      </c>
      <c r="E472">
        <v>2</v>
      </c>
      <c r="F472" s="4">
        <v>1132.72</v>
      </c>
      <c r="G472" s="3">
        <v>0.2</v>
      </c>
      <c r="H472" s="4">
        <v>151.34</v>
      </c>
    </row>
    <row r="473" spans="1:8" x14ac:dyDescent="0.3">
      <c r="A473" s="1" t="s">
        <v>760</v>
      </c>
      <c r="B473" s="2">
        <v>45120</v>
      </c>
      <c r="C473" s="1" t="s">
        <v>671</v>
      </c>
      <c r="D473" s="1" t="s">
        <v>19</v>
      </c>
      <c r="E473">
        <v>5</v>
      </c>
      <c r="F473" s="4">
        <v>255.28</v>
      </c>
      <c r="G473" s="3">
        <v>0</v>
      </c>
      <c r="H473" s="4">
        <v>45.91</v>
      </c>
    </row>
    <row r="474" spans="1:8" x14ac:dyDescent="0.3">
      <c r="A474" s="1" t="s">
        <v>761</v>
      </c>
      <c r="B474" s="2">
        <v>45371</v>
      </c>
      <c r="C474" s="1" t="s">
        <v>238</v>
      </c>
      <c r="D474" s="1" t="s">
        <v>75</v>
      </c>
      <c r="E474">
        <v>2</v>
      </c>
      <c r="F474" s="4">
        <v>970.77</v>
      </c>
      <c r="G474" s="3">
        <v>0</v>
      </c>
      <c r="H474" s="4">
        <v>96.48</v>
      </c>
    </row>
    <row r="475" spans="1:8" x14ac:dyDescent="0.3">
      <c r="A475" s="1" t="s">
        <v>762</v>
      </c>
      <c r="B475" s="2">
        <v>44896</v>
      </c>
      <c r="C475" s="1" t="s">
        <v>277</v>
      </c>
      <c r="D475" s="1" t="s">
        <v>59</v>
      </c>
      <c r="E475">
        <v>5</v>
      </c>
      <c r="F475" s="4">
        <v>1020.92</v>
      </c>
      <c r="G475" s="3">
        <v>0</v>
      </c>
      <c r="H475" s="4">
        <v>256.55</v>
      </c>
    </row>
    <row r="476" spans="1:8" x14ac:dyDescent="0.3">
      <c r="A476" s="1" t="s">
        <v>763</v>
      </c>
      <c r="B476" s="2">
        <v>44998</v>
      </c>
      <c r="C476" s="1" t="s">
        <v>184</v>
      </c>
      <c r="D476" s="1" t="s">
        <v>28</v>
      </c>
      <c r="E476">
        <v>3</v>
      </c>
      <c r="F476" s="4">
        <v>414.97</v>
      </c>
      <c r="G476" s="3">
        <v>0.2</v>
      </c>
      <c r="H476" s="4">
        <v>40.020000000000003</v>
      </c>
    </row>
    <row r="477" spans="1:8" x14ac:dyDescent="0.3">
      <c r="A477" s="1" t="s">
        <v>764</v>
      </c>
      <c r="B477" s="2">
        <v>45208</v>
      </c>
      <c r="C477" s="1" t="s">
        <v>24</v>
      </c>
      <c r="D477" s="1" t="s">
        <v>458</v>
      </c>
      <c r="E477">
        <v>5</v>
      </c>
      <c r="F477" s="4">
        <v>1896.83</v>
      </c>
      <c r="G477" s="3">
        <v>0.1</v>
      </c>
      <c r="H477" s="4">
        <v>135.13</v>
      </c>
    </row>
    <row r="478" spans="1:8" x14ac:dyDescent="0.3">
      <c r="A478" s="1" t="s">
        <v>765</v>
      </c>
      <c r="B478" s="2">
        <v>45350</v>
      </c>
      <c r="C478" s="1" t="s">
        <v>82</v>
      </c>
      <c r="D478" s="1" t="s">
        <v>89</v>
      </c>
      <c r="E478">
        <v>4</v>
      </c>
      <c r="F478" s="4">
        <v>1714.95</v>
      </c>
      <c r="G478" s="3">
        <v>0.1</v>
      </c>
      <c r="H478" s="4">
        <v>272.77999999999997</v>
      </c>
    </row>
    <row r="479" spans="1:8" x14ac:dyDescent="0.3">
      <c r="A479" s="1" t="s">
        <v>766</v>
      </c>
      <c r="B479" s="2">
        <v>45064</v>
      </c>
      <c r="C479" s="1" t="s">
        <v>436</v>
      </c>
      <c r="D479" s="1" t="s">
        <v>163</v>
      </c>
      <c r="E479">
        <v>1</v>
      </c>
      <c r="F479" s="4">
        <v>1371.14</v>
      </c>
      <c r="G479" s="3">
        <v>0.1</v>
      </c>
      <c r="H479" s="4">
        <v>294.20999999999998</v>
      </c>
    </row>
    <row r="480" spans="1:8" x14ac:dyDescent="0.3">
      <c r="A480" s="1" t="s">
        <v>767</v>
      </c>
      <c r="B480" s="2">
        <v>44986</v>
      </c>
      <c r="C480" s="1" t="s">
        <v>396</v>
      </c>
      <c r="D480" s="1" t="s">
        <v>278</v>
      </c>
      <c r="E480">
        <v>5</v>
      </c>
      <c r="F480" s="4">
        <v>978.36</v>
      </c>
      <c r="G480" s="3">
        <v>0</v>
      </c>
      <c r="H480" s="4">
        <v>155.97999999999999</v>
      </c>
    </row>
    <row r="481" spans="1:8" x14ac:dyDescent="0.3">
      <c r="A481" s="1" t="s">
        <v>768</v>
      </c>
      <c r="B481" s="2">
        <v>44688</v>
      </c>
      <c r="C481" s="1" t="s">
        <v>436</v>
      </c>
      <c r="D481" s="1" t="s">
        <v>10</v>
      </c>
      <c r="E481">
        <v>5</v>
      </c>
      <c r="F481" s="4">
        <v>882.35</v>
      </c>
      <c r="G481" s="3">
        <v>0.2</v>
      </c>
      <c r="H481" s="4">
        <v>105.17</v>
      </c>
    </row>
    <row r="482" spans="1:8" x14ac:dyDescent="0.3">
      <c r="A482" s="1" t="s">
        <v>769</v>
      </c>
      <c r="B482" s="2">
        <v>44989</v>
      </c>
      <c r="C482" s="1" t="s">
        <v>520</v>
      </c>
      <c r="D482" s="1" t="s">
        <v>770</v>
      </c>
      <c r="E482">
        <v>1</v>
      </c>
      <c r="F482" s="4">
        <v>1336.85</v>
      </c>
      <c r="G482" s="3">
        <v>0</v>
      </c>
      <c r="H482" s="4">
        <v>253.39</v>
      </c>
    </row>
    <row r="483" spans="1:8" x14ac:dyDescent="0.3">
      <c r="A483" s="1" t="s">
        <v>771</v>
      </c>
      <c r="B483" s="2">
        <v>44769</v>
      </c>
      <c r="C483" s="1" t="s">
        <v>39</v>
      </c>
      <c r="D483" s="1" t="s">
        <v>209</v>
      </c>
      <c r="E483">
        <v>4</v>
      </c>
      <c r="F483" s="4">
        <v>1136.32</v>
      </c>
      <c r="G483" s="3">
        <v>0.1</v>
      </c>
      <c r="H483" s="4">
        <v>155.38999999999999</v>
      </c>
    </row>
    <row r="484" spans="1:8" x14ac:dyDescent="0.3">
      <c r="A484" s="1" t="s">
        <v>772</v>
      </c>
      <c r="B484" s="2">
        <v>44601</v>
      </c>
      <c r="C484" s="1" t="s">
        <v>569</v>
      </c>
      <c r="D484" s="1" t="s">
        <v>111</v>
      </c>
      <c r="E484">
        <v>2</v>
      </c>
      <c r="F484" s="4">
        <v>218.32</v>
      </c>
      <c r="G484" s="3">
        <v>0.1</v>
      </c>
      <c r="H484" s="4">
        <v>61.83</v>
      </c>
    </row>
    <row r="485" spans="1:8" x14ac:dyDescent="0.3">
      <c r="A485" s="1" t="s">
        <v>773</v>
      </c>
      <c r="B485" s="2">
        <v>44707</v>
      </c>
      <c r="C485" s="1" t="s">
        <v>466</v>
      </c>
      <c r="D485" s="1" t="s">
        <v>64</v>
      </c>
      <c r="E485">
        <v>5</v>
      </c>
      <c r="F485" s="4">
        <v>1073.76</v>
      </c>
      <c r="G485" s="3">
        <v>0.2</v>
      </c>
      <c r="H485" s="4">
        <v>301.36</v>
      </c>
    </row>
    <row r="486" spans="1:8" x14ac:dyDescent="0.3">
      <c r="A486" s="1" t="s">
        <v>774</v>
      </c>
      <c r="B486" s="2">
        <v>45070</v>
      </c>
      <c r="C486" s="1" t="s">
        <v>598</v>
      </c>
      <c r="D486" s="1" t="s">
        <v>127</v>
      </c>
      <c r="E486">
        <v>1</v>
      </c>
      <c r="F486" s="4">
        <v>1632.17</v>
      </c>
      <c r="G486" s="3">
        <v>0</v>
      </c>
      <c r="H486" s="4">
        <v>286.60000000000002</v>
      </c>
    </row>
    <row r="487" spans="1:8" x14ac:dyDescent="0.3">
      <c r="A487" s="1" t="s">
        <v>775</v>
      </c>
      <c r="B487" s="2">
        <v>45236</v>
      </c>
      <c r="C487" s="1" t="s">
        <v>121</v>
      </c>
      <c r="D487" s="1" t="s">
        <v>397</v>
      </c>
      <c r="E487">
        <v>3</v>
      </c>
      <c r="F487" s="4">
        <v>972.56</v>
      </c>
      <c r="G487" s="3">
        <v>0.3</v>
      </c>
      <c r="H487" s="4">
        <v>128.35</v>
      </c>
    </row>
    <row r="488" spans="1:8" x14ac:dyDescent="0.3">
      <c r="A488" s="1" t="s">
        <v>776</v>
      </c>
      <c r="B488" s="2">
        <v>45264</v>
      </c>
      <c r="C488" s="1" t="s">
        <v>777</v>
      </c>
      <c r="D488" s="1" t="s">
        <v>364</v>
      </c>
      <c r="E488">
        <v>1</v>
      </c>
      <c r="F488" s="4">
        <v>198.72</v>
      </c>
      <c r="G488" s="3">
        <v>0.3</v>
      </c>
      <c r="H488" s="4">
        <v>46.56</v>
      </c>
    </row>
    <row r="489" spans="1:8" x14ac:dyDescent="0.3">
      <c r="A489" s="1" t="s">
        <v>778</v>
      </c>
      <c r="B489" s="2">
        <v>44726</v>
      </c>
      <c r="C489" s="1" t="s">
        <v>439</v>
      </c>
      <c r="D489" s="1" t="s">
        <v>100</v>
      </c>
      <c r="E489">
        <v>3</v>
      </c>
      <c r="F489" s="4">
        <v>1593.93</v>
      </c>
      <c r="G489" s="3">
        <v>0.1</v>
      </c>
      <c r="H489" s="4">
        <v>94.33</v>
      </c>
    </row>
    <row r="490" spans="1:8" x14ac:dyDescent="0.3">
      <c r="A490" s="1" t="s">
        <v>779</v>
      </c>
      <c r="B490" s="2">
        <v>44894</v>
      </c>
      <c r="C490" s="1" t="s">
        <v>167</v>
      </c>
      <c r="D490" s="1" t="s">
        <v>64</v>
      </c>
      <c r="E490">
        <v>4</v>
      </c>
      <c r="F490" s="4">
        <v>482.59</v>
      </c>
      <c r="G490" s="3">
        <v>0.2</v>
      </c>
      <c r="H490" s="4">
        <v>81.41</v>
      </c>
    </row>
    <row r="491" spans="1:8" x14ac:dyDescent="0.3">
      <c r="A491" s="1" t="s">
        <v>780</v>
      </c>
      <c r="B491" s="2">
        <v>45065</v>
      </c>
      <c r="C491" s="1" t="s">
        <v>39</v>
      </c>
      <c r="D491" s="1" t="s">
        <v>67</v>
      </c>
      <c r="E491">
        <v>2</v>
      </c>
      <c r="F491" s="4">
        <v>591.38</v>
      </c>
      <c r="G491" s="3">
        <v>0</v>
      </c>
      <c r="H491" s="4">
        <v>79.290000000000006</v>
      </c>
    </row>
    <row r="492" spans="1:8" x14ac:dyDescent="0.3">
      <c r="A492" s="1" t="s">
        <v>781</v>
      </c>
      <c r="B492" s="2">
        <v>45275</v>
      </c>
      <c r="C492" s="1" t="s">
        <v>248</v>
      </c>
      <c r="D492" s="1" t="s">
        <v>757</v>
      </c>
      <c r="E492">
        <v>1</v>
      </c>
      <c r="F492" s="4">
        <v>412.94</v>
      </c>
      <c r="G492" s="3">
        <v>0</v>
      </c>
      <c r="H492" s="4">
        <v>115.68</v>
      </c>
    </row>
    <row r="493" spans="1:8" x14ac:dyDescent="0.3">
      <c r="A493" s="1" t="s">
        <v>782</v>
      </c>
      <c r="B493" s="2">
        <v>45326</v>
      </c>
      <c r="C493" s="1" t="s">
        <v>77</v>
      </c>
      <c r="D493" s="1" t="s">
        <v>163</v>
      </c>
      <c r="E493">
        <v>5</v>
      </c>
      <c r="F493" s="4">
        <v>727.41</v>
      </c>
      <c r="G493" s="3">
        <v>0.1</v>
      </c>
      <c r="H493" s="4">
        <v>38.549999999999997</v>
      </c>
    </row>
    <row r="494" spans="1:8" x14ac:dyDescent="0.3">
      <c r="A494" s="1" t="s">
        <v>783</v>
      </c>
      <c r="B494" s="2">
        <v>44606</v>
      </c>
      <c r="C494" s="1" t="s">
        <v>228</v>
      </c>
      <c r="D494" s="1" t="s">
        <v>364</v>
      </c>
      <c r="E494">
        <v>4</v>
      </c>
      <c r="F494" s="4">
        <v>1537.83</v>
      </c>
      <c r="G494" s="3">
        <v>0.1</v>
      </c>
      <c r="H494" s="4">
        <v>289.43</v>
      </c>
    </row>
    <row r="495" spans="1:8" x14ac:dyDescent="0.3">
      <c r="A495" s="1" t="s">
        <v>784</v>
      </c>
      <c r="B495" s="2">
        <v>45363</v>
      </c>
      <c r="C495" s="1" t="s">
        <v>42</v>
      </c>
      <c r="D495" s="1" t="s">
        <v>59</v>
      </c>
      <c r="E495">
        <v>1</v>
      </c>
      <c r="F495" s="4">
        <v>1086.83</v>
      </c>
      <c r="G495" s="3">
        <v>0</v>
      </c>
      <c r="H495" s="4">
        <v>255.59</v>
      </c>
    </row>
    <row r="496" spans="1:8" x14ac:dyDescent="0.3">
      <c r="A496" s="1" t="s">
        <v>785</v>
      </c>
      <c r="B496" s="2">
        <v>45367</v>
      </c>
      <c r="C496" s="1" t="s">
        <v>786</v>
      </c>
      <c r="D496" s="1" t="s">
        <v>40</v>
      </c>
      <c r="E496">
        <v>5</v>
      </c>
      <c r="F496" s="4">
        <v>489.27</v>
      </c>
      <c r="G496" s="3">
        <v>0</v>
      </c>
      <c r="H496" s="4">
        <v>83.79</v>
      </c>
    </row>
    <row r="497" spans="1:8" x14ac:dyDescent="0.3">
      <c r="A497" s="1" t="s">
        <v>787</v>
      </c>
      <c r="B497" s="2">
        <v>45442</v>
      </c>
      <c r="C497" s="1" t="s">
        <v>287</v>
      </c>
      <c r="D497" s="1" t="s">
        <v>16</v>
      </c>
      <c r="E497">
        <v>1</v>
      </c>
      <c r="F497" s="4">
        <v>1767.88</v>
      </c>
      <c r="G497" s="3">
        <v>0.1</v>
      </c>
      <c r="H497" s="4">
        <v>126.14</v>
      </c>
    </row>
    <row r="498" spans="1:8" x14ac:dyDescent="0.3">
      <c r="A498" s="1" t="s">
        <v>788</v>
      </c>
      <c r="B498" s="2">
        <v>44675</v>
      </c>
      <c r="C498" s="1" t="s">
        <v>487</v>
      </c>
      <c r="D498" s="1" t="s">
        <v>61</v>
      </c>
      <c r="E498">
        <v>3</v>
      </c>
      <c r="F498" s="4">
        <v>1771.21</v>
      </c>
      <c r="G498" s="3">
        <v>0</v>
      </c>
      <c r="H498" s="4">
        <v>519.16999999999996</v>
      </c>
    </row>
    <row r="499" spans="1:8" x14ac:dyDescent="0.3">
      <c r="A499" s="1" t="s">
        <v>789</v>
      </c>
      <c r="B499" s="2">
        <v>45393</v>
      </c>
      <c r="C499" s="1" t="s">
        <v>30</v>
      </c>
      <c r="D499" s="1" t="s">
        <v>70</v>
      </c>
      <c r="E499">
        <v>1</v>
      </c>
      <c r="F499" s="4">
        <v>1754.1</v>
      </c>
      <c r="G499" s="3">
        <v>0.3</v>
      </c>
      <c r="H499" s="4">
        <v>314.87</v>
      </c>
    </row>
    <row r="500" spans="1:8" x14ac:dyDescent="0.3">
      <c r="A500" s="1" t="s">
        <v>790</v>
      </c>
      <c r="B500" s="2">
        <v>44747</v>
      </c>
      <c r="C500" s="1" t="s">
        <v>115</v>
      </c>
      <c r="D500" s="1" t="s">
        <v>258</v>
      </c>
      <c r="E500">
        <v>1</v>
      </c>
      <c r="F500" s="4">
        <v>553.71</v>
      </c>
      <c r="G500" s="3">
        <v>0.1</v>
      </c>
      <c r="H500" s="4">
        <v>112.71</v>
      </c>
    </row>
    <row r="501" spans="1:8" x14ac:dyDescent="0.3">
      <c r="A501" s="1" t="s">
        <v>791</v>
      </c>
      <c r="B501" s="2">
        <v>44700</v>
      </c>
      <c r="C501" s="1" t="s">
        <v>80</v>
      </c>
      <c r="D501" s="1" t="s">
        <v>397</v>
      </c>
      <c r="E501">
        <v>1</v>
      </c>
      <c r="F501" s="4">
        <v>957.35</v>
      </c>
      <c r="G501" s="3">
        <v>0</v>
      </c>
      <c r="H501" s="4">
        <v>104.5</v>
      </c>
    </row>
    <row r="502" spans="1:8" x14ac:dyDescent="0.3">
      <c r="A502" s="1" t="s">
        <v>792</v>
      </c>
      <c r="B502" s="2">
        <v>44608</v>
      </c>
      <c r="C502" s="1" t="s">
        <v>160</v>
      </c>
      <c r="D502" s="1" t="s">
        <v>107</v>
      </c>
      <c r="E502">
        <v>4</v>
      </c>
      <c r="F502" s="4">
        <v>1971.48</v>
      </c>
      <c r="G502" s="3">
        <v>0.1</v>
      </c>
      <c r="H502" s="4">
        <v>336.88</v>
      </c>
    </row>
    <row r="503" spans="1:8" x14ac:dyDescent="0.3">
      <c r="A503" s="1" t="s">
        <v>793</v>
      </c>
      <c r="B503" s="2">
        <v>44663</v>
      </c>
      <c r="C503" s="1" t="s">
        <v>697</v>
      </c>
      <c r="D503" s="1" t="s">
        <v>22</v>
      </c>
      <c r="E503">
        <v>1</v>
      </c>
      <c r="F503" s="4">
        <v>1566.82</v>
      </c>
      <c r="G503" s="3">
        <v>0.2</v>
      </c>
      <c r="H503" s="4">
        <v>246.44</v>
      </c>
    </row>
    <row r="504" spans="1:8" x14ac:dyDescent="0.3">
      <c r="A504" s="1" t="s">
        <v>794</v>
      </c>
      <c r="B504" s="2">
        <v>45421</v>
      </c>
      <c r="C504" s="1" t="s">
        <v>406</v>
      </c>
      <c r="D504" s="1" t="s">
        <v>364</v>
      </c>
      <c r="E504">
        <v>5</v>
      </c>
      <c r="F504" s="4">
        <v>151.62</v>
      </c>
      <c r="G504" s="3">
        <v>0.1</v>
      </c>
      <c r="H504" s="4">
        <v>10.42</v>
      </c>
    </row>
    <row r="505" spans="1:8" x14ac:dyDescent="0.3">
      <c r="A505" s="1" t="s">
        <v>795</v>
      </c>
      <c r="B505" s="2">
        <v>45218</v>
      </c>
      <c r="C505" s="1" t="s">
        <v>42</v>
      </c>
      <c r="D505" s="1" t="s">
        <v>239</v>
      </c>
      <c r="E505">
        <v>3</v>
      </c>
      <c r="F505" s="4">
        <v>223.89</v>
      </c>
      <c r="G505" s="3">
        <v>0.1</v>
      </c>
      <c r="H505" s="4">
        <v>17.14</v>
      </c>
    </row>
    <row r="506" spans="1:8" x14ac:dyDescent="0.3">
      <c r="A506" s="1" t="s">
        <v>796</v>
      </c>
      <c r="B506" s="2">
        <v>45410</v>
      </c>
      <c r="C506" s="1" t="s">
        <v>739</v>
      </c>
      <c r="D506" s="1" t="s">
        <v>31</v>
      </c>
      <c r="E506">
        <v>3</v>
      </c>
      <c r="F506" s="4">
        <v>981.47</v>
      </c>
      <c r="G506" s="3">
        <v>0.2</v>
      </c>
      <c r="H506" s="4">
        <v>254.56</v>
      </c>
    </row>
    <row r="507" spans="1:8" x14ac:dyDescent="0.3">
      <c r="A507" s="1" t="s">
        <v>797</v>
      </c>
      <c r="B507" s="2">
        <v>44713</v>
      </c>
      <c r="C507" s="1" t="s">
        <v>505</v>
      </c>
      <c r="D507" s="1" t="s">
        <v>323</v>
      </c>
      <c r="E507">
        <v>1</v>
      </c>
      <c r="F507" s="4">
        <v>1827.52</v>
      </c>
      <c r="G507" s="3">
        <v>0.3</v>
      </c>
      <c r="H507" s="4">
        <v>200.94</v>
      </c>
    </row>
    <row r="508" spans="1:8" x14ac:dyDescent="0.3">
      <c r="A508" s="1" t="s">
        <v>798</v>
      </c>
      <c r="B508" s="2">
        <v>44760</v>
      </c>
      <c r="C508" s="1" t="s">
        <v>53</v>
      </c>
      <c r="D508" s="1" t="s">
        <v>163</v>
      </c>
      <c r="E508">
        <v>4</v>
      </c>
      <c r="F508" s="4">
        <v>1123.53</v>
      </c>
      <c r="G508" s="3">
        <v>0</v>
      </c>
      <c r="H508" s="4">
        <v>110.94</v>
      </c>
    </row>
    <row r="509" spans="1:8" x14ac:dyDescent="0.3">
      <c r="A509" s="1" t="s">
        <v>799</v>
      </c>
      <c r="B509" s="2">
        <v>45363</v>
      </c>
      <c r="C509" s="1" t="s">
        <v>800</v>
      </c>
      <c r="D509" s="1" t="s">
        <v>397</v>
      </c>
      <c r="E509">
        <v>4</v>
      </c>
      <c r="F509" s="4">
        <v>1045.8399999999999</v>
      </c>
      <c r="G509" s="3">
        <v>0.2</v>
      </c>
      <c r="H509" s="4">
        <v>184.31</v>
      </c>
    </row>
    <row r="510" spans="1:8" x14ac:dyDescent="0.3">
      <c r="A510" s="1" t="s">
        <v>801</v>
      </c>
      <c r="B510" s="2">
        <v>45068</v>
      </c>
      <c r="C510" s="1" t="s">
        <v>246</v>
      </c>
      <c r="D510" s="1" t="s">
        <v>19</v>
      </c>
      <c r="E510">
        <v>5</v>
      </c>
      <c r="F510" s="4">
        <v>300.39999999999998</v>
      </c>
      <c r="G510" s="3">
        <v>0.1</v>
      </c>
      <c r="H510" s="4">
        <v>72.75</v>
      </c>
    </row>
    <row r="511" spans="1:8" x14ac:dyDescent="0.3">
      <c r="A511" s="1" t="s">
        <v>802</v>
      </c>
      <c r="B511" s="2">
        <v>44765</v>
      </c>
      <c r="C511" s="1" t="s">
        <v>803</v>
      </c>
      <c r="D511" s="1" t="s">
        <v>37</v>
      </c>
      <c r="E511">
        <v>1</v>
      </c>
      <c r="F511" s="4">
        <v>1347.88</v>
      </c>
      <c r="G511" s="3">
        <v>0</v>
      </c>
      <c r="H511" s="4">
        <v>88.27</v>
      </c>
    </row>
    <row r="512" spans="1:8" x14ac:dyDescent="0.3">
      <c r="A512" s="1" t="s">
        <v>804</v>
      </c>
      <c r="B512" s="2">
        <v>44973</v>
      </c>
      <c r="C512" s="1" t="s">
        <v>167</v>
      </c>
      <c r="D512" s="1" t="s">
        <v>186</v>
      </c>
      <c r="E512">
        <v>3</v>
      </c>
      <c r="F512" s="4">
        <v>1662</v>
      </c>
      <c r="G512" s="3">
        <v>0.2</v>
      </c>
      <c r="H512" s="4">
        <v>322.76</v>
      </c>
    </row>
    <row r="513" spans="1:8" x14ac:dyDescent="0.3">
      <c r="A513" s="1" t="s">
        <v>805</v>
      </c>
      <c r="B513" s="2">
        <v>45061</v>
      </c>
      <c r="C513" s="1" t="s">
        <v>205</v>
      </c>
      <c r="D513" s="1" t="s">
        <v>585</v>
      </c>
      <c r="E513">
        <v>4</v>
      </c>
      <c r="F513" s="4">
        <v>822.8</v>
      </c>
      <c r="G513" s="3">
        <v>0</v>
      </c>
      <c r="H513" s="4">
        <v>65.66</v>
      </c>
    </row>
    <row r="514" spans="1:8" x14ac:dyDescent="0.3">
      <c r="A514" s="1" t="s">
        <v>806</v>
      </c>
      <c r="B514" s="2">
        <v>45133</v>
      </c>
      <c r="C514" s="1" t="s">
        <v>673</v>
      </c>
      <c r="D514" s="1" t="s">
        <v>97</v>
      </c>
      <c r="E514">
        <v>1</v>
      </c>
      <c r="F514" s="4">
        <v>1573.66</v>
      </c>
      <c r="G514" s="3">
        <v>0</v>
      </c>
      <c r="H514" s="4">
        <v>93.03</v>
      </c>
    </row>
    <row r="515" spans="1:8" x14ac:dyDescent="0.3">
      <c r="A515" s="1" t="s">
        <v>807</v>
      </c>
      <c r="B515" s="2">
        <v>44580</v>
      </c>
      <c r="C515" s="1" t="s">
        <v>244</v>
      </c>
      <c r="D515" s="1" t="s">
        <v>156</v>
      </c>
      <c r="E515">
        <v>4</v>
      </c>
      <c r="F515" s="4">
        <v>1932.51</v>
      </c>
      <c r="G515" s="3">
        <v>0.2</v>
      </c>
      <c r="H515" s="4">
        <v>122.11</v>
      </c>
    </row>
    <row r="516" spans="1:8" x14ac:dyDescent="0.3">
      <c r="A516" s="1" t="s">
        <v>808</v>
      </c>
      <c r="B516" s="2">
        <v>45014</v>
      </c>
      <c r="C516" s="1" t="s">
        <v>273</v>
      </c>
      <c r="D516" s="1" t="s">
        <v>143</v>
      </c>
      <c r="E516">
        <v>4</v>
      </c>
      <c r="F516" s="4">
        <v>487.16</v>
      </c>
      <c r="G516" s="3">
        <v>0</v>
      </c>
      <c r="H516" s="4">
        <v>125.95</v>
      </c>
    </row>
    <row r="517" spans="1:8" x14ac:dyDescent="0.3">
      <c r="A517" s="1" t="s">
        <v>809</v>
      </c>
      <c r="B517" s="2">
        <v>44593</v>
      </c>
      <c r="C517" s="1" t="s">
        <v>673</v>
      </c>
      <c r="D517" s="1" t="s">
        <v>323</v>
      </c>
      <c r="E517">
        <v>3</v>
      </c>
      <c r="F517" s="4">
        <v>1094.33</v>
      </c>
      <c r="G517" s="3">
        <v>0.3</v>
      </c>
      <c r="H517" s="4">
        <v>86.99</v>
      </c>
    </row>
    <row r="518" spans="1:8" x14ac:dyDescent="0.3">
      <c r="A518" s="1" t="s">
        <v>810</v>
      </c>
      <c r="B518" s="2">
        <v>45124</v>
      </c>
      <c r="C518" s="1" t="s">
        <v>129</v>
      </c>
      <c r="D518" s="1" t="s">
        <v>70</v>
      </c>
      <c r="E518">
        <v>2</v>
      </c>
      <c r="F518" s="4">
        <v>645.55999999999995</v>
      </c>
      <c r="G518" s="3">
        <v>0.2</v>
      </c>
      <c r="H518" s="4">
        <v>39.56</v>
      </c>
    </row>
    <row r="519" spans="1:8" x14ac:dyDescent="0.3">
      <c r="A519" s="1" t="s">
        <v>811</v>
      </c>
      <c r="B519" s="2">
        <v>45307</v>
      </c>
      <c r="C519" s="1" t="s">
        <v>287</v>
      </c>
      <c r="D519" s="1" t="s">
        <v>130</v>
      </c>
      <c r="E519">
        <v>5</v>
      </c>
      <c r="F519" s="4">
        <v>1606.42</v>
      </c>
      <c r="G519" s="3">
        <v>0.3</v>
      </c>
      <c r="H519" s="4">
        <v>256.18</v>
      </c>
    </row>
    <row r="520" spans="1:8" x14ac:dyDescent="0.3">
      <c r="A520" s="1" t="s">
        <v>812</v>
      </c>
      <c r="B520" s="2">
        <v>44920</v>
      </c>
      <c r="C520" s="1" t="s">
        <v>24</v>
      </c>
      <c r="D520" s="1" t="s">
        <v>51</v>
      </c>
      <c r="E520">
        <v>5</v>
      </c>
      <c r="F520" s="4">
        <v>1197.43</v>
      </c>
      <c r="G520" s="3">
        <v>0.1</v>
      </c>
      <c r="H520" s="4">
        <v>312.52999999999997</v>
      </c>
    </row>
    <row r="521" spans="1:8" x14ac:dyDescent="0.3">
      <c r="A521" s="1" t="s">
        <v>813</v>
      </c>
      <c r="B521" s="2">
        <v>44662</v>
      </c>
      <c r="C521" s="1" t="s">
        <v>425</v>
      </c>
      <c r="D521" s="1" t="s">
        <v>37</v>
      </c>
      <c r="E521">
        <v>3</v>
      </c>
      <c r="F521" s="4">
        <v>1305.71</v>
      </c>
      <c r="G521" s="3">
        <v>0</v>
      </c>
      <c r="H521" s="4">
        <v>150.94</v>
      </c>
    </row>
    <row r="522" spans="1:8" x14ac:dyDescent="0.3">
      <c r="A522" s="1" t="s">
        <v>814</v>
      </c>
      <c r="B522" s="2">
        <v>45414</v>
      </c>
      <c r="C522" s="1" t="s">
        <v>588</v>
      </c>
      <c r="D522" s="1" t="s">
        <v>341</v>
      </c>
      <c r="E522">
        <v>4</v>
      </c>
      <c r="F522" s="4">
        <v>1616.04</v>
      </c>
      <c r="G522" s="3">
        <v>0.1</v>
      </c>
      <c r="H522" s="4">
        <v>251.18</v>
      </c>
    </row>
    <row r="523" spans="1:8" x14ac:dyDescent="0.3">
      <c r="A523" s="1" t="s">
        <v>815</v>
      </c>
      <c r="B523" s="2">
        <v>44759</v>
      </c>
      <c r="C523" s="1" t="s">
        <v>306</v>
      </c>
      <c r="D523" s="1" t="s">
        <v>314</v>
      </c>
      <c r="E523">
        <v>1</v>
      </c>
      <c r="F523" s="4">
        <v>852.34</v>
      </c>
      <c r="G523" s="3">
        <v>0.1</v>
      </c>
      <c r="H523" s="4">
        <v>51.12</v>
      </c>
    </row>
    <row r="524" spans="1:8" x14ac:dyDescent="0.3">
      <c r="A524" s="1" t="s">
        <v>816</v>
      </c>
      <c r="B524" s="2">
        <v>45334</v>
      </c>
      <c r="C524" s="1" t="s">
        <v>739</v>
      </c>
      <c r="D524" s="1" t="s">
        <v>451</v>
      </c>
      <c r="E524">
        <v>4</v>
      </c>
      <c r="F524" s="4">
        <v>1838.67</v>
      </c>
      <c r="G524" s="3">
        <v>0</v>
      </c>
      <c r="H524" s="4">
        <v>298.36</v>
      </c>
    </row>
    <row r="525" spans="1:8" x14ac:dyDescent="0.3">
      <c r="A525" s="1" t="s">
        <v>817</v>
      </c>
      <c r="B525" s="2">
        <v>45201</v>
      </c>
      <c r="C525" s="1" t="s">
        <v>487</v>
      </c>
      <c r="D525" s="1" t="s">
        <v>727</v>
      </c>
      <c r="E525">
        <v>3</v>
      </c>
      <c r="F525" s="4">
        <v>1112.75</v>
      </c>
      <c r="G525" s="3">
        <v>0.2</v>
      </c>
      <c r="H525" s="4">
        <v>216.32</v>
      </c>
    </row>
    <row r="526" spans="1:8" x14ac:dyDescent="0.3">
      <c r="A526" s="1" t="s">
        <v>818</v>
      </c>
      <c r="B526" s="2">
        <v>44633</v>
      </c>
      <c r="C526" s="1" t="s">
        <v>306</v>
      </c>
      <c r="D526" s="1" t="s">
        <v>34</v>
      </c>
      <c r="E526">
        <v>5</v>
      </c>
      <c r="F526" s="4">
        <v>400.11</v>
      </c>
      <c r="G526" s="3">
        <v>0</v>
      </c>
      <c r="H526" s="4">
        <v>77.11</v>
      </c>
    </row>
    <row r="527" spans="1:8" x14ac:dyDescent="0.3">
      <c r="A527" s="1" t="s">
        <v>819</v>
      </c>
      <c r="B527" s="2">
        <v>44959</v>
      </c>
      <c r="C527" s="1" t="s">
        <v>233</v>
      </c>
      <c r="D527" s="1" t="s">
        <v>296</v>
      </c>
      <c r="E527">
        <v>4</v>
      </c>
      <c r="F527" s="4">
        <v>1422.21</v>
      </c>
      <c r="G527" s="3">
        <v>0.1</v>
      </c>
      <c r="H527" s="4">
        <v>189.31</v>
      </c>
    </row>
    <row r="528" spans="1:8" x14ac:dyDescent="0.3">
      <c r="A528" s="1" t="s">
        <v>820</v>
      </c>
      <c r="B528" s="2">
        <v>45078</v>
      </c>
      <c r="C528" s="1" t="s">
        <v>167</v>
      </c>
      <c r="D528" s="1" t="s">
        <v>361</v>
      </c>
      <c r="E528">
        <v>5</v>
      </c>
      <c r="F528" s="4">
        <v>1607.2</v>
      </c>
      <c r="G528" s="3">
        <v>0.1</v>
      </c>
      <c r="H528" s="4">
        <v>207.14</v>
      </c>
    </row>
    <row r="529" spans="1:8" x14ac:dyDescent="0.3">
      <c r="A529" s="1" t="s">
        <v>821</v>
      </c>
      <c r="B529" s="2">
        <v>45361</v>
      </c>
      <c r="C529" s="1" t="s">
        <v>228</v>
      </c>
      <c r="D529" s="1" t="s">
        <v>122</v>
      </c>
      <c r="E529">
        <v>1</v>
      </c>
      <c r="F529" s="4">
        <v>701.85</v>
      </c>
      <c r="G529" s="3">
        <v>0.2</v>
      </c>
      <c r="H529" s="4">
        <v>53.8</v>
      </c>
    </row>
    <row r="530" spans="1:8" x14ac:dyDescent="0.3">
      <c r="A530" s="1" t="s">
        <v>822</v>
      </c>
      <c r="B530" s="2">
        <v>44717</v>
      </c>
      <c r="C530" s="1" t="s">
        <v>610</v>
      </c>
      <c r="D530" s="1" t="s">
        <v>127</v>
      </c>
      <c r="E530">
        <v>5</v>
      </c>
      <c r="F530" s="4">
        <v>1728.64</v>
      </c>
      <c r="G530" s="3">
        <v>0</v>
      </c>
      <c r="H530" s="4">
        <v>244.95</v>
      </c>
    </row>
    <row r="531" spans="1:8" x14ac:dyDescent="0.3">
      <c r="A531" s="1" t="s">
        <v>823</v>
      </c>
      <c r="B531" s="2">
        <v>44931</v>
      </c>
      <c r="C531" s="1" t="s">
        <v>30</v>
      </c>
      <c r="D531" s="1" t="s">
        <v>372</v>
      </c>
      <c r="E531">
        <v>5</v>
      </c>
      <c r="F531" s="4">
        <v>1821.67</v>
      </c>
      <c r="G531" s="3">
        <v>0.1</v>
      </c>
      <c r="H531" s="4">
        <v>136.4</v>
      </c>
    </row>
    <row r="532" spans="1:8" x14ac:dyDescent="0.3">
      <c r="A532" s="1" t="s">
        <v>824</v>
      </c>
      <c r="B532" s="2">
        <v>44943</v>
      </c>
      <c r="C532" s="1" t="s">
        <v>607</v>
      </c>
      <c r="D532" s="1" t="s">
        <v>16</v>
      </c>
      <c r="E532">
        <v>2</v>
      </c>
      <c r="F532" s="4">
        <v>626.12</v>
      </c>
      <c r="G532" s="3">
        <v>0.3</v>
      </c>
      <c r="H532" s="4">
        <v>151.30000000000001</v>
      </c>
    </row>
    <row r="533" spans="1:8" x14ac:dyDescent="0.3">
      <c r="A533" s="1" t="s">
        <v>825</v>
      </c>
      <c r="B533" s="2">
        <v>45139</v>
      </c>
      <c r="C533" s="1" t="s">
        <v>491</v>
      </c>
      <c r="D533" s="1" t="s">
        <v>451</v>
      </c>
      <c r="E533">
        <v>2</v>
      </c>
      <c r="F533" s="4">
        <v>1968.69</v>
      </c>
      <c r="G533" s="3">
        <v>0.1</v>
      </c>
      <c r="H533" s="4">
        <v>574.01</v>
      </c>
    </row>
    <row r="534" spans="1:8" x14ac:dyDescent="0.3">
      <c r="A534" s="1" t="s">
        <v>826</v>
      </c>
      <c r="B534" s="2">
        <v>45454</v>
      </c>
      <c r="C534" s="1" t="s">
        <v>282</v>
      </c>
      <c r="D534" s="1" t="s">
        <v>122</v>
      </c>
      <c r="E534">
        <v>2</v>
      </c>
      <c r="F534" s="4">
        <v>367.35</v>
      </c>
      <c r="G534" s="3">
        <v>0.1</v>
      </c>
      <c r="H534" s="4">
        <v>107.46</v>
      </c>
    </row>
    <row r="535" spans="1:8" x14ac:dyDescent="0.3">
      <c r="A535" s="1" t="s">
        <v>827</v>
      </c>
      <c r="B535" s="2">
        <v>44663</v>
      </c>
      <c r="C535" s="1" t="s">
        <v>520</v>
      </c>
      <c r="D535" s="1" t="s">
        <v>296</v>
      </c>
      <c r="E535">
        <v>5</v>
      </c>
      <c r="F535" s="4">
        <v>483.83</v>
      </c>
      <c r="G535" s="3">
        <v>0.2</v>
      </c>
      <c r="H535" s="4">
        <v>128.83000000000001</v>
      </c>
    </row>
    <row r="536" spans="1:8" x14ac:dyDescent="0.3">
      <c r="A536" s="1" t="s">
        <v>828</v>
      </c>
      <c r="B536" s="2">
        <v>44782</v>
      </c>
      <c r="C536" s="1" t="s">
        <v>444</v>
      </c>
      <c r="D536" s="1" t="s">
        <v>75</v>
      </c>
      <c r="E536">
        <v>3</v>
      </c>
      <c r="F536" s="4">
        <v>450.03</v>
      </c>
      <c r="G536" s="3">
        <v>0.3</v>
      </c>
      <c r="H536" s="4">
        <v>90.1</v>
      </c>
    </row>
    <row r="537" spans="1:8" x14ac:dyDescent="0.3">
      <c r="A537" s="1" t="s">
        <v>829</v>
      </c>
      <c r="B537" s="2">
        <v>44911</v>
      </c>
      <c r="C537" s="1" t="s">
        <v>489</v>
      </c>
      <c r="D537" s="1" t="s">
        <v>258</v>
      </c>
      <c r="E537">
        <v>5</v>
      </c>
      <c r="F537" s="4">
        <v>1798.58</v>
      </c>
      <c r="G537" s="3">
        <v>0.1</v>
      </c>
      <c r="H537" s="4">
        <v>405.07</v>
      </c>
    </row>
    <row r="538" spans="1:8" x14ac:dyDescent="0.3">
      <c r="A538" s="1" t="s">
        <v>830</v>
      </c>
      <c r="B538" s="2">
        <v>45136</v>
      </c>
      <c r="C538" s="1" t="s">
        <v>444</v>
      </c>
      <c r="D538" s="1" t="s">
        <v>37</v>
      </c>
      <c r="E538">
        <v>3</v>
      </c>
      <c r="F538" s="4">
        <v>1343.16</v>
      </c>
      <c r="G538" s="3">
        <v>0.1</v>
      </c>
      <c r="H538" s="4">
        <v>162.93</v>
      </c>
    </row>
    <row r="539" spans="1:8" x14ac:dyDescent="0.3">
      <c r="A539" s="1" t="s">
        <v>831</v>
      </c>
      <c r="B539" s="2">
        <v>44868</v>
      </c>
      <c r="C539" s="1" t="s">
        <v>396</v>
      </c>
      <c r="D539" s="1" t="s">
        <v>161</v>
      </c>
      <c r="E539">
        <v>3</v>
      </c>
      <c r="F539" s="4">
        <v>389</v>
      </c>
      <c r="G539" s="3">
        <v>0.3</v>
      </c>
      <c r="H539" s="4">
        <v>80.790000000000006</v>
      </c>
    </row>
    <row r="540" spans="1:8" x14ac:dyDescent="0.3">
      <c r="A540" s="1" t="s">
        <v>832</v>
      </c>
      <c r="B540" s="2">
        <v>44790</v>
      </c>
      <c r="C540" s="1" t="s">
        <v>113</v>
      </c>
      <c r="D540" s="1" t="s">
        <v>16</v>
      </c>
      <c r="E540">
        <v>2</v>
      </c>
      <c r="F540" s="4">
        <v>936.61</v>
      </c>
      <c r="G540" s="3">
        <v>0</v>
      </c>
      <c r="H540" s="4">
        <v>153.52000000000001</v>
      </c>
    </row>
    <row r="541" spans="1:8" x14ac:dyDescent="0.3">
      <c r="A541" s="1" t="s">
        <v>833</v>
      </c>
      <c r="B541" s="2">
        <v>44722</v>
      </c>
      <c r="C541" s="1" t="s">
        <v>834</v>
      </c>
      <c r="D541" s="1" t="s">
        <v>40</v>
      </c>
      <c r="E541">
        <v>4</v>
      </c>
      <c r="F541" s="4">
        <v>1269.07</v>
      </c>
      <c r="G541" s="3">
        <v>0</v>
      </c>
      <c r="H541" s="4">
        <v>216.38</v>
      </c>
    </row>
    <row r="542" spans="1:8" x14ac:dyDescent="0.3">
      <c r="A542" s="1" t="s">
        <v>835</v>
      </c>
      <c r="B542" s="2">
        <v>44870</v>
      </c>
      <c r="C542" s="1" t="s">
        <v>200</v>
      </c>
      <c r="D542" s="1" t="s">
        <v>314</v>
      </c>
      <c r="E542">
        <v>1</v>
      </c>
      <c r="F542" s="4">
        <v>258.58</v>
      </c>
      <c r="G542" s="3">
        <v>0.1</v>
      </c>
      <c r="H542" s="4">
        <v>61.92</v>
      </c>
    </row>
    <row r="543" spans="1:8" x14ac:dyDescent="0.3">
      <c r="A543" s="1" t="s">
        <v>836</v>
      </c>
      <c r="B543" s="2">
        <v>45317</v>
      </c>
      <c r="C543" s="1" t="s">
        <v>160</v>
      </c>
      <c r="D543" s="1" t="s">
        <v>170</v>
      </c>
      <c r="E543">
        <v>2</v>
      </c>
      <c r="F543" s="4">
        <v>1776.59</v>
      </c>
      <c r="G543" s="3">
        <v>0.1</v>
      </c>
      <c r="H543" s="4">
        <v>214.04</v>
      </c>
    </row>
    <row r="544" spans="1:8" x14ac:dyDescent="0.3">
      <c r="A544" s="1" t="s">
        <v>837</v>
      </c>
      <c r="B544" s="2">
        <v>45451</v>
      </c>
      <c r="C544" s="1" t="s">
        <v>165</v>
      </c>
      <c r="D544" s="1" t="s">
        <v>239</v>
      </c>
      <c r="E544">
        <v>2</v>
      </c>
      <c r="F544" s="4">
        <v>1626.85</v>
      </c>
      <c r="G544" s="3">
        <v>0</v>
      </c>
      <c r="H544" s="4">
        <v>210.69</v>
      </c>
    </row>
    <row r="545" spans="1:8" x14ac:dyDescent="0.3">
      <c r="A545" s="1" t="s">
        <v>838</v>
      </c>
      <c r="B545" s="2">
        <v>45140</v>
      </c>
      <c r="C545" s="1" t="s">
        <v>179</v>
      </c>
      <c r="D545" s="1" t="s">
        <v>143</v>
      </c>
      <c r="E545">
        <v>4</v>
      </c>
      <c r="F545" s="4">
        <v>1059.8900000000001</v>
      </c>
      <c r="G545" s="3">
        <v>0.2</v>
      </c>
      <c r="H545" s="4">
        <v>298</v>
      </c>
    </row>
    <row r="546" spans="1:8" x14ac:dyDescent="0.3">
      <c r="A546" s="1" t="s">
        <v>839</v>
      </c>
      <c r="B546" s="2">
        <v>44657</v>
      </c>
      <c r="C546" s="1" t="s">
        <v>124</v>
      </c>
      <c r="D546" s="1" t="s">
        <v>218</v>
      </c>
      <c r="E546">
        <v>1</v>
      </c>
      <c r="F546" s="4">
        <v>1937.54</v>
      </c>
      <c r="G546" s="3">
        <v>0.3</v>
      </c>
      <c r="H546" s="4">
        <v>124.11</v>
      </c>
    </row>
    <row r="547" spans="1:8" x14ac:dyDescent="0.3">
      <c r="A547" s="1" t="s">
        <v>840</v>
      </c>
      <c r="B547" s="2">
        <v>44972</v>
      </c>
      <c r="C547" s="1" t="s">
        <v>268</v>
      </c>
      <c r="D547" s="1" t="s">
        <v>679</v>
      </c>
      <c r="E547">
        <v>5</v>
      </c>
      <c r="F547" s="4">
        <v>893.75</v>
      </c>
      <c r="G547" s="3">
        <v>0.3</v>
      </c>
      <c r="H547" s="4">
        <v>153.19999999999999</v>
      </c>
    </row>
    <row r="548" spans="1:8" x14ac:dyDescent="0.3">
      <c r="A548" s="1" t="s">
        <v>841</v>
      </c>
      <c r="B548" s="2">
        <v>45155</v>
      </c>
      <c r="C548" s="1" t="s">
        <v>468</v>
      </c>
      <c r="D548" s="1" t="s">
        <v>314</v>
      </c>
      <c r="E548">
        <v>5</v>
      </c>
      <c r="F548" s="4">
        <v>1969.81</v>
      </c>
      <c r="G548" s="3">
        <v>0.2</v>
      </c>
      <c r="H548" s="4">
        <v>548</v>
      </c>
    </row>
    <row r="549" spans="1:8" x14ac:dyDescent="0.3">
      <c r="A549" s="1" t="s">
        <v>842</v>
      </c>
      <c r="B549" s="2">
        <v>45132</v>
      </c>
      <c r="C549" s="1" t="s">
        <v>843</v>
      </c>
      <c r="D549" s="1" t="s">
        <v>249</v>
      </c>
      <c r="E549">
        <v>2</v>
      </c>
      <c r="F549" s="4">
        <v>1369.05</v>
      </c>
      <c r="G549" s="3">
        <v>0.2</v>
      </c>
      <c r="H549" s="4">
        <v>277.36</v>
      </c>
    </row>
    <row r="550" spans="1:8" x14ac:dyDescent="0.3">
      <c r="A550" s="1" t="s">
        <v>844</v>
      </c>
      <c r="B550" s="2">
        <v>44658</v>
      </c>
      <c r="C550" s="1" t="s">
        <v>487</v>
      </c>
      <c r="D550" s="1" t="s">
        <v>25</v>
      </c>
      <c r="E550">
        <v>1</v>
      </c>
      <c r="F550" s="4">
        <v>1305.8800000000001</v>
      </c>
      <c r="G550" s="3">
        <v>0.2</v>
      </c>
      <c r="H550" s="4">
        <v>243.68</v>
      </c>
    </row>
    <row r="551" spans="1:8" x14ac:dyDescent="0.3">
      <c r="A551" s="1" t="s">
        <v>845</v>
      </c>
      <c r="B551" s="2">
        <v>44679</v>
      </c>
      <c r="C551" s="1" t="s">
        <v>524</v>
      </c>
      <c r="D551" s="1" t="s">
        <v>130</v>
      </c>
      <c r="E551">
        <v>2</v>
      </c>
      <c r="F551" s="4">
        <v>415.31</v>
      </c>
      <c r="G551" s="3">
        <v>0.2</v>
      </c>
      <c r="H551" s="4">
        <v>46.7</v>
      </c>
    </row>
    <row r="552" spans="1:8" x14ac:dyDescent="0.3">
      <c r="A552" s="1" t="s">
        <v>846</v>
      </c>
      <c r="B552" s="2">
        <v>44886</v>
      </c>
      <c r="C552" s="1" t="s">
        <v>77</v>
      </c>
      <c r="D552" s="1" t="s">
        <v>100</v>
      </c>
      <c r="E552">
        <v>3</v>
      </c>
      <c r="F552" s="4">
        <v>1775.66</v>
      </c>
      <c r="G552" s="3">
        <v>0.2</v>
      </c>
      <c r="H552" s="4">
        <v>241.17</v>
      </c>
    </row>
    <row r="553" spans="1:8" x14ac:dyDescent="0.3">
      <c r="A553" s="1" t="s">
        <v>847</v>
      </c>
      <c r="B553" s="2">
        <v>44673</v>
      </c>
      <c r="C553" s="1" t="s">
        <v>380</v>
      </c>
      <c r="D553" s="1" t="s">
        <v>109</v>
      </c>
      <c r="E553">
        <v>2</v>
      </c>
      <c r="F553" s="4">
        <v>912.23</v>
      </c>
      <c r="G553" s="3">
        <v>0.2</v>
      </c>
      <c r="H553" s="4">
        <v>239.93</v>
      </c>
    </row>
    <row r="554" spans="1:8" x14ac:dyDescent="0.3">
      <c r="A554" s="1" t="s">
        <v>848</v>
      </c>
      <c r="B554" s="2">
        <v>45251</v>
      </c>
      <c r="C554" s="1" t="s">
        <v>138</v>
      </c>
      <c r="D554" s="1" t="s">
        <v>59</v>
      </c>
      <c r="E554">
        <v>2</v>
      </c>
      <c r="F554" s="4">
        <v>408.24</v>
      </c>
      <c r="G554" s="3">
        <v>0.3</v>
      </c>
      <c r="H554" s="4">
        <v>77.489999999999995</v>
      </c>
    </row>
    <row r="555" spans="1:8" x14ac:dyDescent="0.3">
      <c r="A555" s="1" t="s">
        <v>849</v>
      </c>
      <c r="B555" s="2">
        <v>44731</v>
      </c>
      <c r="C555" s="1" t="s">
        <v>533</v>
      </c>
      <c r="D555" s="1" t="s">
        <v>323</v>
      </c>
      <c r="E555">
        <v>5</v>
      </c>
      <c r="F555" s="4">
        <v>123.95</v>
      </c>
      <c r="G555" s="3">
        <v>0.2</v>
      </c>
      <c r="H555" s="4">
        <v>22.15</v>
      </c>
    </row>
    <row r="556" spans="1:8" x14ac:dyDescent="0.3">
      <c r="A556" s="1" t="s">
        <v>850</v>
      </c>
      <c r="B556" s="2">
        <v>45366</v>
      </c>
      <c r="C556" s="1" t="s">
        <v>505</v>
      </c>
      <c r="D556" s="1" t="s">
        <v>397</v>
      </c>
      <c r="E556">
        <v>5</v>
      </c>
      <c r="F556" s="4">
        <v>1163.54</v>
      </c>
      <c r="G556" s="3">
        <v>0</v>
      </c>
      <c r="H556" s="4">
        <v>87.14</v>
      </c>
    </row>
    <row r="557" spans="1:8" x14ac:dyDescent="0.3">
      <c r="A557" s="1" t="s">
        <v>851</v>
      </c>
      <c r="B557" s="2">
        <v>44913</v>
      </c>
      <c r="C557" s="1" t="s">
        <v>537</v>
      </c>
      <c r="D557" s="1" t="s">
        <v>143</v>
      </c>
      <c r="E557">
        <v>5</v>
      </c>
      <c r="F557" s="4">
        <v>1102.06</v>
      </c>
      <c r="G557" s="3">
        <v>0.2</v>
      </c>
      <c r="H557" s="4">
        <v>59.52</v>
      </c>
    </row>
    <row r="558" spans="1:8" x14ac:dyDescent="0.3">
      <c r="A558" s="1" t="s">
        <v>852</v>
      </c>
      <c r="B558" s="2">
        <v>44976</v>
      </c>
      <c r="C558" s="1" t="s">
        <v>473</v>
      </c>
      <c r="D558" s="1" t="s">
        <v>86</v>
      </c>
      <c r="E558">
        <v>3</v>
      </c>
      <c r="F558" s="4">
        <v>1466.77</v>
      </c>
      <c r="G558" s="3">
        <v>0.2</v>
      </c>
      <c r="H558" s="4">
        <v>426.71</v>
      </c>
    </row>
    <row r="559" spans="1:8" x14ac:dyDescent="0.3">
      <c r="A559" s="1" t="s">
        <v>853</v>
      </c>
      <c r="B559" s="2">
        <v>44587</v>
      </c>
      <c r="C559" s="1" t="s">
        <v>559</v>
      </c>
      <c r="D559" s="1" t="s">
        <v>19</v>
      </c>
      <c r="E559">
        <v>5</v>
      </c>
      <c r="F559" s="4">
        <v>1791.49</v>
      </c>
      <c r="G559" s="3">
        <v>0.3</v>
      </c>
      <c r="H559" s="4">
        <v>258.42</v>
      </c>
    </row>
    <row r="560" spans="1:8" x14ac:dyDescent="0.3">
      <c r="A560" s="1" t="s">
        <v>854</v>
      </c>
      <c r="B560" s="2">
        <v>44570</v>
      </c>
      <c r="C560" s="1" t="s">
        <v>169</v>
      </c>
      <c r="D560" s="1" t="s">
        <v>341</v>
      </c>
      <c r="E560">
        <v>1</v>
      </c>
      <c r="F560" s="4">
        <v>250.87</v>
      </c>
      <c r="G560" s="3">
        <v>0.3</v>
      </c>
      <c r="H560" s="4">
        <v>50.38</v>
      </c>
    </row>
    <row r="561" spans="1:8" x14ac:dyDescent="0.3">
      <c r="A561" s="1" t="s">
        <v>855</v>
      </c>
      <c r="B561" s="2">
        <v>44711</v>
      </c>
      <c r="C561" s="1" t="s">
        <v>391</v>
      </c>
      <c r="D561" s="1" t="s">
        <v>37</v>
      </c>
      <c r="E561">
        <v>4</v>
      </c>
      <c r="F561" s="4">
        <v>1489.84</v>
      </c>
      <c r="G561" s="3">
        <v>0.2</v>
      </c>
      <c r="H561" s="4">
        <v>104.18</v>
      </c>
    </row>
    <row r="562" spans="1:8" x14ac:dyDescent="0.3">
      <c r="A562" s="1" t="s">
        <v>856</v>
      </c>
      <c r="B562" s="2">
        <v>45236</v>
      </c>
      <c r="C562" s="1" t="s">
        <v>489</v>
      </c>
      <c r="D562" s="1" t="s">
        <v>361</v>
      </c>
      <c r="E562">
        <v>1</v>
      </c>
      <c r="F562" s="4">
        <v>456.08</v>
      </c>
      <c r="G562" s="3">
        <v>0.3</v>
      </c>
      <c r="H562" s="4">
        <v>100.69</v>
      </c>
    </row>
    <row r="563" spans="1:8" x14ac:dyDescent="0.3">
      <c r="A563" s="1" t="s">
        <v>857</v>
      </c>
      <c r="B563" s="2">
        <v>44850</v>
      </c>
      <c r="C563" s="1" t="s">
        <v>292</v>
      </c>
      <c r="D563" s="1" t="s">
        <v>83</v>
      </c>
      <c r="E563">
        <v>1</v>
      </c>
      <c r="F563" s="4">
        <v>1730.54</v>
      </c>
      <c r="G563" s="3">
        <v>0.1</v>
      </c>
      <c r="H563" s="4">
        <v>489.99</v>
      </c>
    </row>
    <row r="564" spans="1:8" x14ac:dyDescent="0.3">
      <c r="A564" s="1" t="s">
        <v>858</v>
      </c>
      <c r="B564" s="2">
        <v>44619</v>
      </c>
      <c r="C564" s="1" t="s">
        <v>316</v>
      </c>
      <c r="D564" s="1" t="s">
        <v>364</v>
      </c>
      <c r="E564">
        <v>5</v>
      </c>
      <c r="F564" s="4">
        <v>1656.22</v>
      </c>
      <c r="G564" s="3">
        <v>0.3</v>
      </c>
      <c r="H564" s="4">
        <v>321.17</v>
      </c>
    </row>
    <row r="565" spans="1:8" x14ac:dyDescent="0.3">
      <c r="A565" s="1" t="s">
        <v>859</v>
      </c>
      <c r="B565" s="2">
        <v>44752</v>
      </c>
      <c r="C565" s="1" t="s">
        <v>77</v>
      </c>
      <c r="D565" s="1" t="s">
        <v>603</v>
      </c>
      <c r="E565">
        <v>4</v>
      </c>
      <c r="F565" s="4">
        <v>1127.51</v>
      </c>
      <c r="G565" s="3">
        <v>0.3</v>
      </c>
      <c r="H565" s="4">
        <v>91.92</v>
      </c>
    </row>
    <row r="566" spans="1:8" x14ac:dyDescent="0.3">
      <c r="A566" s="1" t="s">
        <v>860</v>
      </c>
      <c r="B566" s="2">
        <v>45184</v>
      </c>
      <c r="C566" s="1" t="s">
        <v>678</v>
      </c>
      <c r="D566" s="1" t="s">
        <v>304</v>
      </c>
      <c r="E566">
        <v>4</v>
      </c>
      <c r="F566" s="4">
        <v>1449.46</v>
      </c>
      <c r="G566" s="3">
        <v>0.3</v>
      </c>
      <c r="H566" s="4">
        <v>283.27</v>
      </c>
    </row>
    <row r="567" spans="1:8" x14ac:dyDescent="0.3">
      <c r="A567" s="1" t="s">
        <v>861</v>
      </c>
      <c r="B567" s="2">
        <v>45455</v>
      </c>
      <c r="C567" s="1" t="s">
        <v>671</v>
      </c>
      <c r="D567" s="1" t="s">
        <v>86</v>
      </c>
      <c r="E567">
        <v>4</v>
      </c>
      <c r="F567" s="4">
        <v>697.27</v>
      </c>
      <c r="G567" s="3">
        <v>0.3</v>
      </c>
      <c r="H567" s="4">
        <v>168.45</v>
      </c>
    </row>
    <row r="568" spans="1:8" x14ac:dyDescent="0.3">
      <c r="A568" s="1" t="s">
        <v>862</v>
      </c>
      <c r="B568" s="2">
        <v>44721</v>
      </c>
      <c r="C568" s="1" t="s">
        <v>367</v>
      </c>
      <c r="D568" s="1" t="s">
        <v>451</v>
      </c>
      <c r="E568">
        <v>3</v>
      </c>
      <c r="F568" s="4">
        <v>995.22</v>
      </c>
      <c r="G568" s="3">
        <v>0</v>
      </c>
      <c r="H568" s="4">
        <v>150.88</v>
      </c>
    </row>
    <row r="569" spans="1:8" x14ac:dyDescent="0.3">
      <c r="A569" s="1" t="s">
        <v>863</v>
      </c>
      <c r="B569" s="2">
        <v>44697</v>
      </c>
      <c r="C569" s="1" t="s">
        <v>786</v>
      </c>
      <c r="D569" s="1" t="s">
        <v>195</v>
      </c>
      <c r="E569">
        <v>5</v>
      </c>
      <c r="F569" s="4">
        <v>1661.11</v>
      </c>
      <c r="G569" s="3">
        <v>0</v>
      </c>
      <c r="H569" s="4">
        <v>448.43</v>
      </c>
    </row>
    <row r="570" spans="1:8" x14ac:dyDescent="0.3">
      <c r="A570" s="1" t="s">
        <v>864</v>
      </c>
      <c r="B570" s="2">
        <v>45046</v>
      </c>
      <c r="C570" s="1" t="s">
        <v>96</v>
      </c>
      <c r="D570" s="1" t="s">
        <v>309</v>
      </c>
      <c r="E570">
        <v>4</v>
      </c>
      <c r="F570" s="4">
        <v>972.6</v>
      </c>
      <c r="G570" s="3">
        <v>0</v>
      </c>
      <c r="H570" s="4">
        <v>206.36</v>
      </c>
    </row>
    <row r="571" spans="1:8" x14ac:dyDescent="0.3">
      <c r="A571" s="1" t="s">
        <v>865</v>
      </c>
      <c r="B571" s="2">
        <v>45377</v>
      </c>
      <c r="C571" s="1" t="s">
        <v>542</v>
      </c>
      <c r="D571" s="1" t="s">
        <v>502</v>
      </c>
      <c r="E571">
        <v>3</v>
      </c>
      <c r="F571" s="4">
        <v>779.82</v>
      </c>
      <c r="G571" s="3">
        <v>0.2</v>
      </c>
      <c r="H571" s="4">
        <v>214.3</v>
      </c>
    </row>
    <row r="572" spans="1:8" x14ac:dyDescent="0.3">
      <c r="A572" s="1" t="s">
        <v>866</v>
      </c>
      <c r="B572" s="2">
        <v>45165</v>
      </c>
      <c r="C572" s="1" t="s">
        <v>174</v>
      </c>
      <c r="D572" s="1" t="s">
        <v>770</v>
      </c>
      <c r="E572">
        <v>2</v>
      </c>
      <c r="F572" s="4">
        <v>1039</v>
      </c>
      <c r="G572" s="3">
        <v>0.2</v>
      </c>
      <c r="H572" s="4">
        <v>213.91</v>
      </c>
    </row>
    <row r="573" spans="1:8" x14ac:dyDescent="0.3">
      <c r="A573" s="1" t="s">
        <v>867</v>
      </c>
      <c r="B573" s="2">
        <v>44598</v>
      </c>
      <c r="C573" s="1" t="s">
        <v>547</v>
      </c>
      <c r="D573" s="1" t="s">
        <v>221</v>
      </c>
      <c r="E573">
        <v>2</v>
      </c>
      <c r="F573" s="4">
        <v>1673.67</v>
      </c>
      <c r="G573" s="3">
        <v>0.1</v>
      </c>
      <c r="H573" s="4">
        <v>138.62</v>
      </c>
    </row>
    <row r="574" spans="1:8" x14ac:dyDescent="0.3">
      <c r="A574" s="1" t="s">
        <v>868</v>
      </c>
      <c r="B574" s="2">
        <v>44838</v>
      </c>
      <c r="C574" s="1" t="s">
        <v>526</v>
      </c>
      <c r="D574" s="1" t="s">
        <v>309</v>
      </c>
      <c r="E574">
        <v>3</v>
      </c>
      <c r="F574" s="4">
        <v>736.9</v>
      </c>
      <c r="G574" s="3">
        <v>0</v>
      </c>
      <c r="H574" s="4">
        <v>93.9</v>
      </c>
    </row>
    <row r="575" spans="1:8" x14ac:dyDescent="0.3">
      <c r="A575" s="1" t="s">
        <v>869</v>
      </c>
      <c r="B575" s="2">
        <v>45020</v>
      </c>
      <c r="C575" s="1" t="s">
        <v>347</v>
      </c>
      <c r="D575" s="1" t="s">
        <v>301</v>
      </c>
      <c r="E575">
        <v>3</v>
      </c>
      <c r="F575" s="4">
        <v>430.15</v>
      </c>
      <c r="G575" s="3">
        <v>0.2</v>
      </c>
      <c r="H575" s="4">
        <v>43.21</v>
      </c>
    </row>
    <row r="576" spans="1:8" x14ac:dyDescent="0.3">
      <c r="A576" s="1" t="s">
        <v>870</v>
      </c>
      <c r="B576" s="2">
        <v>44828</v>
      </c>
      <c r="C576" s="1" t="s">
        <v>442</v>
      </c>
      <c r="D576" s="1" t="s">
        <v>22</v>
      </c>
      <c r="E576">
        <v>5</v>
      </c>
      <c r="F576" s="4">
        <v>1452.83</v>
      </c>
      <c r="G576" s="3">
        <v>0.3</v>
      </c>
      <c r="H576" s="4">
        <v>402.73</v>
      </c>
    </row>
    <row r="577" spans="1:8" x14ac:dyDescent="0.3">
      <c r="A577" s="1" t="s">
        <v>871</v>
      </c>
      <c r="B577" s="2">
        <v>45258</v>
      </c>
      <c r="C577" s="1" t="s">
        <v>843</v>
      </c>
      <c r="D577" s="1" t="s">
        <v>451</v>
      </c>
      <c r="E577">
        <v>5</v>
      </c>
      <c r="F577" s="4">
        <v>1669.36</v>
      </c>
      <c r="G577" s="3">
        <v>0.3</v>
      </c>
      <c r="H577" s="4">
        <v>400.81</v>
      </c>
    </row>
    <row r="578" spans="1:8" x14ac:dyDescent="0.3">
      <c r="A578" s="1" t="s">
        <v>872</v>
      </c>
      <c r="B578" s="2">
        <v>44741</v>
      </c>
      <c r="C578" s="1" t="s">
        <v>231</v>
      </c>
      <c r="D578" s="1" t="s">
        <v>13</v>
      </c>
      <c r="E578">
        <v>2</v>
      </c>
      <c r="F578" s="4">
        <v>291.20999999999998</v>
      </c>
      <c r="G578" s="3">
        <v>0</v>
      </c>
      <c r="H578" s="4">
        <v>63.8</v>
      </c>
    </row>
    <row r="579" spans="1:8" x14ac:dyDescent="0.3">
      <c r="A579" s="1" t="s">
        <v>873</v>
      </c>
      <c r="B579" s="2">
        <v>44686</v>
      </c>
      <c r="C579" s="1" t="s">
        <v>683</v>
      </c>
      <c r="D579" s="1" t="s">
        <v>249</v>
      </c>
      <c r="E579">
        <v>4</v>
      </c>
      <c r="F579" s="4">
        <v>555.76</v>
      </c>
      <c r="G579" s="3">
        <v>0.1</v>
      </c>
      <c r="H579" s="4">
        <v>69.599999999999994</v>
      </c>
    </row>
    <row r="580" spans="1:8" x14ac:dyDescent="0.3">
      <c r="A580" s="1" t="s">
        <v>874</v>
      </c>
      <c r="B580" s="2">
        <v>44813</v>
      </c>
      <c r="C580" s="1" t="s">
        <v>697</v>
      </c>
      <c r="D580" s="1" t="s">
        <v>147</v>
      </c>
      <c r="E580">
        <v>2</v>
      </c>
      <c r="F580" s="4">
        <v>369.75</v>
      </c>
      <c r="G580" s="3">
        <v>0.1</v>
      </c>
      <c r="H580" s="4">
        <v>35.5</v>
      </c>
    </row>
    <row r="581" spans="1:8" x14ac:dyDescent="0.3">
      <c r="A581" s="1" t="s">
        <v>875</v>
      </c>
      <c r="B581" s="2">
        <v>45116</v>
      </c>
      <c r="C581" s="1" t="s">
        <v>126</v>
      </c>
      <c r="D581" s="1" t="s">
        <v>378</v>
      </c>
      <c r="E581">
        <v>4</v>
      </c>
      <c r="F581" s="4">
        <v>761.09</v>
      </c>
      <c r="G581" s="3">
        <v>0.3</v>
      </c>
      <c r="H581" s="4">
        <v>181.99</v>
      </c>
    </row>
    <row r="582" spans="1:8" x14ac:dyDescent="0.3">
      <c r="A582" s="1" t="s">
        <v>876</v>
      </c>
      <c r="B582" s="2">
        <v>45005</v>
      </c>
      <c r="C582" s="1" t="s">
        <v>569</v>
      </c>
      <c r="D582" s="1" t="s">
        <v>242</v>
      </c>
      <c r="E582">
        <v>4</v>
      </c>
      <c r="F582" s="4">
        <v>955.67</v>
      </c>
      <c r="G582" s="3">
        <v>0.1</v>
      </c>
      <c r="H582" s="4">
        <v>161.07</v>
      </c>
    </row>
    <row r="583" spans="1:8" x14ac:dyDescent="0.3">
      <c r="A583" s="1" t="s">
        <v>877</v>
      </c>
      <c r="B583" s="2">
        <v>45370</v>
      </c>
      <c r="C583" s="1" t="s">
        <v>24</v>
      </c>
      <c r="D583" s="1" t="s">
        <v>660</v>
      </c>
      <c r="E583">
        <v>5</v>
      </c>
      <c r="F583" s="4">
        <v>1522.77</v>
      </c>
      <c r="G583" s="3">
        <v>0</v>
      </c>
      <c r="H583" s="4">
        <v>162.09</v>
      </c>
    </row>
    <row r="584" spans="1:8" x14ac:dyDescent="0.3">
      <c r="A584" s="1" t="s">
        <v>878</v>
      </c>
      <c r="B584" s="2">
        <v>44633</v>
      </c>
      <c r="C584" s="1" t="s">
        <v>559</v>
      </c>
      <c r="D584" s="1" t="s">
        <v>119</v>
      </c>
      <c r="E584">
        <v>1</v>
      </c>
      <c r="F584" s="4">
        <v>1337.18</v>
      </c>
      <c r="G584" s="3">
        <v>0.3</v>
      </c>
      <c r="H584" s="4">
        <v>272.99</v>
      </c>
    </row>
    <row r="585" spans="1:8" x14ac:dyDescent="0.3">
      <c r="A585" s="1" t="s">
        <v>879</v>
      </c>
      <c r="B585" s="2">
        <v>44769</v>
      </c>
      <c r="C585" s="1" t="s">
        <v>404</v>
      </c>
      <c r="D585" s="1" t="s">
        <v>221</v>
      </c>
      <c r="E585">
        <v>1</v>
      </c>
      <c r="F585" s="4">
        <v>1279.76</v>
      </c>
      <c r="G585" s="3">
        <v>0.2</v>
      </c>
      <c r="H585" s="4">
        <v>76.89</v>
      </c>
    </row>
    <row r="586" spans="1:8" x14ac:dyDescent="0.3">
      <c r="A586" s="1" t="s">
        <v>880</v>
      </c>
      <c r="B586" s="2">
        <v>45353</v>
      </c>
      <c r="C586" s="1" t="s">
        <v>77</v>
      </c>
      <c r="D586" s="1" t="s">
        <v>122</v>
      </c>
      <c r="E586">
        <v>3</v>
      </c>
      <c r="F586" s="4">
        <v>769.51</v>
      </c>
      <c r="G586" s="3">
        <v>0.2</v>
      </c>
      <c r="H586" s="4">
        <v>101.22</v>
      </c>
    </row>
    <row r="587" spans="1:8" x14ac:dyDescent="0.3">
      <c r="A587" s="1" t="s">
        <v>881</v>
      </c>
      <c r="B587" s="2">
        <v>45414</v>
      </c>
      <c r="C587" s="1" t="s">
        <v>434</v>
      </c>
      <c r="D587" s="1" t="s">
        <v>221</v>
      </c>
      <c r="E587">
        <v>5</v>
      </c>
      <c r="F587" s="4">
        <v>1698.75</v>
      </c>
      <c r="G587" s="3">
        <v>0.1</v>
      </c>
      <c r="H587" s="4">
        <v>283.93</v>
      </c>
    </row>
    <row r="588" spans="1:8" x14ac:dyDescent="0.3">
      <c r="A588" s="1" t="s">
        <v>882</v>
      </c>
      <c r="B588" s="2">
        <v>44878</v>
      </c>
      <c r="C588" s="1" t="s">
        <v>18</v>
      </c>
      <c r="D588" s="1" t="s">
        <v>455</v>
      </c>
      <c r="E588">
        <v>4</v>
      </c>
      <c r="F588" s="4">
        <v>995.45</v>
      </c>
      <c r="G588" s="3">
        <v>0.3</v>
      </c>
      <c r="H588" s="4">
        <v>86.59</v>
      </c>
    </row>
    <row r="589" spans="1:8" x14ac:dyDescent="0.3">
      <c r="A589" s="1" t="s">
        <v>883</v>
      </c>
      <c r="B589" s="2">
        <v>45447</v>
      </c>
      <c r="C589" s="1" t="s">
        <v>18</v>
      </c>
      <c r="D589" s="1" t="s">
        <v>70</v>
      </c>
      <c r="E589">
        <v>1</v>
      </c>
      <c r="F589" s="4">
        <v>1960.3</v>
      </c>
      <c r="G589" s="3">
        <v>0.3</v>
      </c>
      <c r="H589" s="4">
        <v>580.57000000000005</v>
      </c>
    </row>
    <row r="590" spans="1:8" x14ac:dyDescent="0.3">
      <c r="A590" s="1" t="s">
        <v>884</v>
      </c>
      <c r="B590" s="2">
        <v>45412</v>
      </c>
      <c r="C590" s="1" t="s">
        <v>510</v>
      </c>
      <c r="D590" s="1" t="s">
        <v>25</v>
      </c>
      <c r="E590">
        <v>4</v>
      </c>
      <c r="F590" s="4">
        <v>1304.8699999999999</v>
      </c>
      <c r="G590" s="3">
        <v>0.2</v>
      </c>
      <c r="H590" s="4">
        <v>133.44999999999999</v>
      </c>
    </row>
    <row r="591" spans="1:8" x14ac:dyDescent="0.3">
      <c r="A591" s="1" t="s">
        <v>885</v>
      </c>
      <c r="B591" s="2">
        <v>45081</v>
      </c>
      <c r="C591" s="1" t="s">
        <v>380</v>
      </c>
      <c r="D591" s="1" t="s">
        <v>25</v>
      </c>
      <c r="E591">
        <v>1</v>
      </c>
      <c r="F591" s="4">
        <v>339.9</v>
      </c>
      <c r="G591" s="3">
        <v>0.3</v>
      </c>
      <c r="H591" s="4">
        <v>28.07</v>
      </c>
    </row>
    <row r="592" spans="1:8" x14ac:dyDescent="0.3">
      <c r="A592" s="1" t="s">
        <v>886</v>
      </c>
      <c r="B592" s="2">
        <v>44838</v>
      </c>
      <c r="C592" s="1" t="s">
        <v>494</v>
      </c>
      <c r="D592" s="1" t="s">
        <v>156</v>
      </c>
      <c r="E592">
        <v>1</v>
      </c>
      <c r="F592" s="4">
        <v>1384.74</v>
      </c>
      <c r="G592" s="3">
        <v>0.3</v>
      </c>
      <c r="H592" s="4">
        <v>139.69999999999999</v>
      </c>
    </row>
    <row r="593" spans="1:8" x14ac:dyDescent="0.3">
      <c r="A593" s="1" t="s">
        <v>887</v>
      </c>
      <c r="B593" s="2">
        <v>45377</v>
      </c>
      <c r="C593" s="1" t="s">
        <v>176</v>
      </c>
      <c r="D593" s="1" t="s">
        <v>116</v>
      </c>
      <c r="E593">
        <v>1</v>
      </c>
      <c r="F593" s="4">
        <v>717.7</v>
      </c>
      <c r="G593" s="3">
        <v>0.3</v>
      </c>
      <c r="H593" s="4">
        <v>173.87</v>
      </c>
    </row>
    <row r="594" spans="1:8" x14ac:dyDescent="0.3">
      <c r="A594" s="1" t="s">
        <v>888</v>
      </c>
      <c r="B594" s="2">
        <v>44580</v>
      </c>
      <c r="C594" s="1" t="s">
        <v>165</v>
      </c>
      <c r="D594" s="1" t="s">
        <v>100</v>
      </c>
      <c r="E594">
        <v>5</v>
      </c>
      <c r="F594" s="4">
        <v>1404.02</v>
      </c>
      <c r="G594" s="3">
        <v>0.1</v>
      </c>
      <c r="H594" s="4">
        <v>219.56</v>
      </c>
    </row>
    <row r="595" spans="1:8" x14ac:dyDescent="0.3">
      <c r="A595" s="1" t="s">
        <v>889</v>
      </c>
      <c r="B595" s="2">
        <v>45122</v>
      </c>
      <c r="C595" s="1" t="s">
        <v>115</v>
      </c>
      <c r="D595" s="1" t="s">
        <v>75</v>
      </c>
      <c r="E595">
        <v>2</v>
      </c>
      <c r="F595" s="4">
        <v>232.32</v>
      </c>
      <c r="G595" s="3">
        <v>0.3</v>
      </c>
      <c r="H595" s="4">
        <v>44.46</v>
      </c>
    </row>
    <row r="596" spans="1:8" x14ac:dyDescent="0.3">
      <c r="A596" s="1" t="s">
        <v>890</v>
      </c>
      <c r="B596" s="2">
        <v>44960</v>
      </c>
      <c r="C596" s="1" t="s">
        <v>273</v>
      </c>
      <c r="D596" s="1" t="s">
        <v>177</v>
      </c>
      <c r="E596">
        <v>4</v>
      </c>
      <c r="F596" s="4">
        <v>432.27</v>
      </c>
      <c r="G596" s="3">
        <v>0</v>
      </c>
      <c r="H596" s="4">
        <v>23.88</v>
      </c>
    </row>
    <row r="597" spans="1:8" x14ac:dyDescent="0.3">
      <c r="A597" s="1" t="s">
        <v>891</v>
      </c>
      <c r="B597" s="2">
        <v>44587</v>
      </c>
      <c r="C597" s="1" t="s">
        <v>106</v>
      </c>
      <c r="D597" s="1" t="s">
        <v>585</v>
      </c>
      <c r="E597">
        <v>5</v>
      </c>
      <c r="F597" s="4">
        <v>1725.9</v>
      </c>
      <c r="G597" s="3">
        <v>0.1</v>
      </c>
      <c r="H597" s="4">
        <v>101.15</v>
      </c>
    </row>
    <row r="598" spans="1:8" x14ac:dyDescent="0.3">
      <c r="A598" s="1" t="s">
        <v>892</v>
      </c>
      <c r="B598" s="2">
        <v>45452</v>
      </c>
      <c r="C598" s="1" t="s">
        <v>489</v>
      </c>
      <c r="D598" s="1" t="s">
        <v>309</v>
      </c>
      <c r="E598">
        <v>5</v>
      </c>
      <c r="F598" s="4">
        <v>531.64</v>
      </c>
      <c r="G598" s="3">
        <v>0.3</v>
      </c>
      <c r="H598" s="4">
        <v>85.84</v>
      </c>
    </row>
    <row r="599" spans="1:8" x14ac:dyDescent="0.3">
      <c r="A599" s="1" t="s">
        <v>893</v>
      </c>
      <c r="B599" s="2">
        <v>45436</v>
      </c>
      <c r="C599" s="1" t="s">
        <v>238</v>
      </c>
      <c r="D599" s="1" t="s">
        <v>130</v>
      </c>
      <c r="E599">
        <v>5</v>
      </c>
      <c r="F599" s="4">
        <v>1690.38</v>
      </c>
      <c r="G599" s="3">
        <v>0.3</v>
      </c>
      <c r="H599" s="4">
        <v>429.63</v>
      </c>
    </row>
    <row r="600" spans="1:8" x14ac:dyDescent="0.3">
      <c r="A600" s="1" t="s">
        <v>894</v>
      </c>
      <c r="B600" s="2">
        <v>45073</v>
      </c>
      <c r="C600" s="1" t="s">
        <v>154</v>
      </c>
      <c r="D600" s="1" t="s">
        <v>116</v>
      </c>
      <c r="E600">
        <v>5</v>
      </c>
      <c r="F600" s="4">
        <v>630.62</v>
      </c>
      <c r="G600" s="3">
        <v>0</v>
      </c>
      <c r="H600" s="4">
        <v>171.09</v>
      </c>
    </row>
    <row r="601" spans="1:8" x14ac:dyDescent="0.3">
      <c r="A601" s="1" t="s">
        <v>895</v>
      </c>
      <c r="B601" s="2">
        <v>44739</v>
      </c>
      <c r="C601" s="1" t="s">
        <v>66</v>
      </c>
      <c r="D601" s="1" t="s">
        <v>97</v>
      </c>
      <c r="E601">
        <v>5</v>
      </c>
      <c r="F601" s="4">
        <v>1321.48</v>
      </c>
      <c r="G601" s="3">
        <v>0.1</v>
      </c>
      <c r="H601" s="4">
        <v>94.72</v>
      </c>
    </row>
    <row r="602" spans="1:8" x14ac:dyDescent="0.3">
      <c r="A602" s="1" t="s">
        <v>896</v>
      </c>
      <c r="B602" s="2">
        <v>45371</v>
      </c>
      <c r="C602" s="1" t="s">
        <v>277</v>
      </c>
      <c r="D602" s="1" t="s">
        <v>127</v>
      </c>
      <c r="E602">
        <v>3</v>
      </c>
      <c r="F602" s="4">
        <v>1418.89</v>
      </c>
      <c r="G602" s="3">
        <v>0.2</v>
      </c>
      <c r="H602" s="4">
        <v>261.91000000000003</v>
      </c>
    </row>
    <row r="603" spans="1:8" x14ac:dyDescent="0.3">
      <c r="A603" s="1" t="s">
        <v>897</v>
      </c>
      <c r="B603" s="2">
        <v>45453</v>
      </c>
      <c r="C603" s="1" t="s">
        <v>88</v>
      </c>
      <c r="D603" s="1" t="s">
        <v>48</v>
      </c>
      <c r="E603">
        <v>4</v>
      </c>
      <c r="F603" s="4">
        <v>1074.04</v>
      </c>
      <c r="G603" s="3">
        <v>0.2</v>
      </c>
      <c r="H603" s="4">
        <v>298.91000000000003</v>
      </c>
    </row>
    <row r="604" spans="1:8" x14ac:dyDescent="0.3">
      <c r="A604" s="1" t="s">
        <v>898</v>
      </c>
      <c r="B604" s="2">
        <v>44837</v>
      </c>
      <c r="C604" s="1" t="s">
        <v>622</v>
      </c>
      <c r="D604" s="1" t="s">
        <v>397</v>
      </c>
      <c r="E604">
        <v>5</v>
      </c>
      <c r="F604" s="4">
        <v>680.09</v>
      </c>
      <c r="G604" s="3">
        <v>0.1</v>
      </c>
      <c r="H604" s="4">
        <v>99.97</v>
      </c>
    </row>
    <row r="605" spans="1:8" x14ac:dyDescent="0.3">
      <c r="A605" s="1" t="s">
        <v>899</v>
      </c>
      <c r="B605" s="2">
        <v>45266</v>
      </c>
      <c r="C605" s="1" t="s">
        <v>360</v>
      </c>
      <c r="D605" s="1" t="s">
        <v>397</v>
      </c>
      <c r="E605">
        <v>4</v>
      </c>
      <c r="F605" s="4">
        <v>504.02</v>
      </c>
      <c r="G605" s="3">
        <v>0.3</v>
      </c>
      <c r="H605" s="4">
        <v>129.72999999999999</v>
      </c>
    </row>
    <row r="606" spans="1:8" x14ac:dyDescent="0.3">
      <c r="A606" s="1" t="s">
        <v>900</v>
      </c>
      <c r="B606" s="2">
        <v>44644</v>
      </c>
      <c r="C606" s="1" t="s">
        <v>434</v>
      </c>
      <c r="D606" s="1" t="s">
        <v>86</v>
      </c>
      <c r="E606">
        <v>3</v>
      </c>
      <c r="F606" s="4">
        <v>163.06</v>
      </c>
      <c r="G606" s="3">
        <v>0.3</v>
      </c>
      <c r="H606" s="4">
        <v>13.6</v>
      </c>
    </row>
    <row r="607" spans="1:8" x14ac:dyDescent="0.3">
      <c r="A607" s="1" t="s">
        <v>901</v>
      </c>
      <c r="B607" s="2">
        <v>44575</v>
      </c>
      <c r="C607" s="1" t="s">
        <v>902</v>
      </c>
      <c r="D607" s="1" t="s">
        <v>19</v>
      </c>
      <c r="E607">
        <v>3</v>
      </c>
      <c r="F607" s="4">
        <v>677.5</v>
      </c>
      <c r="G607" s="3">
        <v>0.2</v>
      </c>
      <c r="H607" s="4">
        <v>192.31</v>
      </c>
    </row>
    <row r="608" spans="1:8" x14ac:dyDescent="0.3">
      <c r="A608" s="1" t="s">
        <v>903</v>
      </c>
      <c r="B608" s="2">
        <v>44906</v>
      </c>
      <c r="C608" s="1" t="s">
        <v>53</v>
      </c>
      <c r="D608" s="1" t="s">
        <v>275</v>
      </c>
      <c r="E608">
        <v>4</v>
      </c>
      <c r="F608" s="4">
        <v>1341.01</v>
      </c>
      <c r="G608" s="3">
        <v>0.2</v>
      </c>
      <c r="H608" s="4">
        <v>318.97000000000003</v>
      </c>
    </row>
    <row r="609" spans="1:8" x14ac:dyDescent="0.3">
      <c r="A609" s="1" t="s">
        <v>904</v>
      </c>
      <c r="B609" s="2">
        <v>44673</v>
      </c>
      <c r="C609" s="1" t="s">
        <v>205</v>
      </c>
      <c r="D609" s="1" t="s">
        <v>242</v>
      </c>
      <c r="E609">
        <v>1</v>
      </c>
      <c r="F609" s="4">
        <v>1882.78</v>
      </c>
      <c r="G609" s="3">
        <v>0.2</v>
      </c>
      <c r="H609" s="4">
        <v>537.22</v>
      </c>
    </row>
    <row r="610" spans="1:8" x14ac:dyDescent="0.3">
      <c r="A610" s="1" t="s">
        <v>905</v>
      </c>
      <c r="B610" s="2">
        <v>45071</v>
      </c>
      <c r="C610" s="1" t="s">
        <v>99</v>
      </c>
      <c r="D610" s="1" t="s">
        <v>141</v>
      </c>
      <c r="E610">
        <v>2</v>
      </c>
      <c r="F610" s="4">
        <v>1755.29</v>
      </c>
      <c r="G610" s="3">
        <v>0</v>
      </c>
      <c r="H610" s="4">
        <v>384.68</v>
      </c>
    </row>
    <row r="611" spans="1:8" x14ac:dyDescent="0.3">
      <c r="A611" s="1" t="s">
        <v>906</v>
      </c>
      <c r="B611" s="2">
        <v>44759</v>
      </c>
      <c r="C611" s="1" t="s">
        <v>384</v>
      </c>
      <c r="D611" s="1" t="s">
        <v>31</v>
      </c>
      <c r="E611">
        <v>1</v>
      </c>
      <c r="F611" s="4">
        <v>1555.52</v>
      </c>
      <c r="G611" s="3">
        <v>0.2</v>
      </c>
      <c r="H611" s="4">
        <v>219.1</v>
      </c>
    </row>
    <row r="612" spans="1:8" x14ac:dyDescent="0.3">
      <c r="A612" s="1" t="s">
        <v>907</v>
      </c>
      <c r="B612" s="2">
        <v>45031</v>
      </c>
      <c r="C612" s="1" t="s">
        <v>444</v>
      </c>
      <c r="D612" s="1" t="s">
        <v>37</v>
      </c>
      <c r="E612">
        <v>1</v>
      </c>
      <c r="F612" s="4">
        <v>1598.05</v>
      </c>
      <c r="G612" s="3">
        <v>0</v>
      </c>
      <c r="H612" s="4">
        <v>454.72</v>
      </c>
    </row>
    <row r="613" spans="1:8" x14ac:dyDescent="0.3">
      <c r="A613" s="1" t="s">
        <v>908</v>
      </c>
      <c r="B613" s="2">
        <v>45298</v>
      </c>
      <c r="C613" s="1" t="s">
        <v>347</v>
      </c>
      <c r="D613" s="1" t="s">
        <v>163</v>
      </c>
      <c r="E613">
        <v>1</v>
      </c>
      <c r="F613" s="4">
        <v>1363.47</v>
      </c>
      <c r="G613" s="3">
        <v>0.1</v>
      </c>
      <c r="H613" s="4">
        <v>162.11000000000001</v>
      </c>
    </row>
    <row r="614" spans="1:8" x14ac:dyDescent="0.3">
      <c r="A614" s="1" t="s">
        <v>909</v>
      </c>
      <c r="B614" s="2">
        <v>45302</v>
      </c>
      <c r="C614" s="1" t="s">
        <v>391</v>
      </c>
      <c r="D614" s="1" t="s">
        <v>226</v>
      </c>
      <c r="E614">
        <v>5</v>
      </c>
      <c r="F614" s="4">
        <v>594.54999999999995</v>
      </c>
      <c r="G614" s="3">
        <v>0.3</v>
      </c>
      <c r="H614" s="4">
        <v>79.099999999999994</v>
      </c>
    </row>
    <row r="615" spans="1:8" x14ac:dyDescent="0.3">
      <c r="A615" s="1" t="s">
        <v>910</v>
      </c>
      <c r="B615" s="2">
        <v>45001</v>
      </c>
      <c r="C615" s="1" t="s">
        <v>190</v>
      </c>
      <c r="D615" s="1" t="s">
        <v>37</v>
      </c>
      <c r="E615">
        <v>3</v>
      </c>
      <c r="F615" s="4">
        <v>1823.67</v>
      </c>
      <c r="G615" s="3">
        <v>0.2</v>
      </c>
      <c r="H615" s="4">
        <v>410.69</v>
      </c>
    </row>
    <row r="616" spans="1:8" x14ac:dyDescent="0.3">
      <c r="A616" s="1" t="s">
        <v>911</v>
      </c>
      <c r="B616" s="2">
        <v>45458</v>
      </c>
      <c r="C616" s="1" t="s">
        <v>129</v>
      </c>
      <c r="D616" s="1" t="s">
        <v>314</v>
      </c>
      <c r="E616">
        <v>1</v>
      </c>
      <c r="F616" s="4">
        <v>1374.39</v>
      </c>
      <c r="G616" s="3">
        <v>0.3</v>
      </c>
      <c r="H616" s="4">
        <v>331.68</v>
      </c>
    </row>
    <row r="617" spans="1:8" x14ac:dyDescent="0.3">
      <c r="A617" s="1" t="s">
        <v>912</v>
      </c>
      <c r="B617" s="2">
        <v>44772</v>
      </c>
      <c r="C617" s="1" t="s">
        <v>350</v>
      </c>
      <c r="D617" s="1" t="s">
        <v>31</v>
      </c>
      <c r="E617">
        <v>3</v>
      </c>
      <c r="F617" s="4">
        <v>1164.8399999999999</v>
      </c>
      <c r="G617" s="3">
        <v>0.3</v>
      </c>
      <c r="H617" s="4">
        <v>328.89</v>
      </c>
    </row>
    <row r="618" spans="1:8" x14ac:dyDescent="0.3">
      <c r="A618" s="1" t="s">
        <v>913</v>
      </c>
      <c r="B618" s="2">
        <v>44881</v>
      </c>
      <c r="C618" s="1" t="s">
        <v>136</v>
      </c>
      <c r="D618" s="1" t="s">
        <v>25</v>
      </c>
      <c r="E618">
        <v>4</v>
      </c>
      <c r="F618" s="4">
        <v>310.88</v>
      </c>
      <c r="G618" s="3">
        <v>0.2</v>
      </c>
      <c r="H618" s="4">
        <v>31.46</v>
      </c>
    </row>
    <row r="619" spans="1:8" x14ac:dyDescent="0.3">
      <c r="A619" s="1" t="s">
        <v>914</v>
      </c>
      <c r="B619" s="2">
        <v>45368</v>
      </c>
      <c r="C619" s="1" t="s">
        <v>334</v>
      </c>
      <c r="D619" s="1" t="s">
        <v>392</v>
      </c>
      <c r="E619">
        <v>2</v>
      </c>
      <c r="F619" s="4">
        <v>949.41</v>
      </c>
      <c r="G619" s="3">
        <v>0.2</v>
      </c>
      <c r="H619" s="4">
        <v>236.88</v>
      </c>
    </row>
    <row r="620" spans="1:8" x14ac:dyDescent="0.3">
      <c r="A620" s="1" t="s">
        <v>915</v>
      </c>
      <c r="B620" s="2">
        <v>44649</v>
      </c>
      <c r="C620" s="1" t="s">
        <v>56</v>
      </c>
      <c r="D620" s="1" t="s">
        <v>361</v>
      </c>
      <c r="E620">
        <v>4</v>
      </c>
      <c r="F620" s="4">
        <v>974.68</v>
      </c>
      <c r="G620" s="3">
        <v>0.1</v>
      </c>
      <c r="H620" s="4">
        <v>228.7</v>
      </c>
    </row>
    <row r="621" spans="1:8" x14ac:dyDescent="0.3">
      <c r="A621" s="1" t="s">
        <v>916</v>
      </c>
      <c r="B621" s="2">
        <v>45134</v>
      </c>
      <c r="C621" s="1" t="s">
        <v>118</v>
      </c>
      <c r="D621" s="1" t="s">
        <v>258</v>
      </c>
      <c r="E621">
        <v>4</v>
      </c>
      <c r="F621" s="4">
        <v>1742.67</v>
      </c>
      <c r="G621" s="3">
        <v>0</v>
      </c>
      <c r="H621" s="4">
        <v>114.93</v>
      </c>
    </row>
    <row r="622" spans="1:8" x14ac:dyDescent="0.3">
      <c r="A622" s="1" t="s">
        <v>917</v>
      </c>
      <c r="B622" s="2">
        <v>44916</v>
      </c>
      <c r="C622" s="1" t="s">
        <v>50</v>
      </c>
      <c r="D622" s="1" t="s">
        <v>283</v>
      </c>
      <c r="E622">
        <v>5</v>
      </c>
      <c r="F622" s="4">
        <v>1138.6300000000001</v>
      </c>
      <c r="G622" s="3">
        <v>0</v>
      </c>
      <c r="H622" s="4">
        <v>167.16</v>
      </c>
    </row>
    <row r="623" spans="1:8" x14ac:dyDescent="0.3">
      <c r="A623" s="1" t="s">
        <v>918</v>
      </c>
      <c r="B623" s="2">
        <v>45000</v>
      </c>
      <c r="C623" s="1" t="s">
        <v>709</v>
      </c>
      <c r="D623" s="1" t="s">
        <v>59</v>
      </c>
      <c r="E623">
        <v>2</v>
      </c>
      <c r="F623" s="4">
        <v>822.76</v>
      </c>
      <c r="G623" s="3">
        <v>0.3</v>
      </c>
      <c r="H623" s="4">
        <v>99.3</v>
      </c>
    </row>
    <row r="624" spans="1:8" x14ac:dyDescent="0.3">
      <c r="A624" s="1" t="s">
        <v>919</v>
      </c>
      <c r="B624" s="2">
        <v>45102</v>
      </c>
      <c r="C624" s="1" t="s">
        <v>744</v>
      </c>
      <c r="D624" s="1" t="s">
        <v>43</v>
      </c>
      <c r="E624">
        <v>4</v>
      </c>
      <c r="F624" s="4">
        <v>1955.92</v>
      </c>
      <c r="G624" s="3">
        <v>0.2</v>
      </c>
      <c r="H624" s="4">
        <v>246.69</v>
      </c>
    </row>
    <row r="625" spans="1:8" x14ac:dyDescent="0.3">
      <c r="A625" s="1" t="s">
        <v>920</v>
      </c>
      <c r="B625" s="2">
        <v>44920</v>
      </c>
      <c r="C625" s="1" t="s">
        <v>192</v>
      </c>
      <c r="D625" s="1" t="s">
        <v>502</v>
      </c>
      <c r="E625">
        <v>4</v>
      </c>
      <c r="F625" s="4">
        <v>310.37</v>
      </c>
      <c r="G625" s="3">
        <v>0.1</v>
      </c>
      <c r="H625" s="4">
        <v>91.79</v>
      </c>
    </row>
    <row r="626" spans="1:8" x14ac:dyDescent="0.3">
      <c r="A626" s="1" t="s">
        <v>921</v>
      </c>
      <c r="B626" s="2">
        <v>45386</v>
      </c>
      <c r="C626" s="1" t="s">
        <v>723</v>
      </c>
      <c r="D626" s="1" t="s">
        <v>364</v>
      </c>
      <c r="E626">
        <v>2</v>
      </c>
      <c r="F626" s="4">
        <v>902.84</v>
      </c>
      <c r="G626" s="3">
        <v>0.1</v>
      </c>
      <c r="H626" s="4">
        <v>190.22</v>
      </c>
    </row>
    <row r="627" spans="1:8" x14ac:dyDescent="0.3">
      <c r="A627" s="1" t="s">
        <v>922</v>
      </c>
      <c r="B627" s="2">
        <v>44791</v>
      </c>
      <c r="C627" s="1" t="s">
        <v>47</v>
      </c>
      <c r="D627" s="1" t="s">
        <v>75</v>
      </c>
      <c r="E627">
        <v>2</v>
      </c>
      <c r="F627" s="4">
        <v>179.85</v>
      </c>
      <c r="G627" s="3">
        <v>0.1</v>
      </c>
      <c r="H627" s="4">
        <v>41.26</v>
      </c>
    </row>
    <row r="628" spans="1:8" x14ac:dyDescent="0.3">
      <c r="A628" s="1" t="s">
        <v>923</v>
      </c>
      <c r="B628" s="2">
        <v>44810</v>
      </c>
      <c r="C628" s="1" t="s">
        <v>58</v>
      </c>
      <c r="D628" s="1" t="s">
        <v>19</v>
      </c>
      <c r="E628">
        <v>4</v>
      </c>
      <c r="F628" s="4">
        <v>1505.82</v>
      </c>
      <c r="G628" s="3">
        <v>0.1</v>
      </c>
      <c r="H628" s="4">
        <v>442.94</v>
      </c>
    </row>
    <row r="629" spans="1:8" x14ac:dyDescent="0.3">
      <c r="A629" s="1" t="s">
        <v>924</v>
      </c>
      <c r="B629" s="2">
        <v>44838</v>
      </c>
      <c r="C629" s="1" t="s">
        <v>697</v>
      </c>
      <c r="D629" s="1" t="s">
        <v>43</v>
      </c>
      <c r="E629">
        <v>2</v>
      </c>
      <c r="F629" s="4">
        <v>1844.35</v>
      </c>
      <c r="G629" s="3">
        <v>0.1</v>
      </c>
      <c r="H629" s="4">
        <v>266.14</v>
      </c>
    </row>
    <row r="630" spans="1:8" x14ac:dyDescent="0.3">
      <c r="A630" s="1" t="s">
        <v>925</v>
      </c>
      <c r="B630" s="2">
        <v>45164</v>
      </c>
      <c r="C630" s="1" t="s">
        <v>228</v>
      </c>
      <c r="D630" s="1" t="s">
        <v>727</v>
      </c>
      <c r="E630">
        <v>4</v>
      </c>
      <c r="F630" s="4">
        <v>632.07000000000005</v>
      </c>
      <c r="G630" s="3">
        <v>0</v>
      </c>
      <c r="H630" s="4">
        <v>158.31</v>
      </c>
    </row>
    <row r="631" spans="1:8" x14ac:dyDescent="0.3">
      <c r="A631" s="1" t="s">
        <v>926</v>
      </c>
      <c r="B631" s="2">
        <v>45133</v>
      </c>
      <c r="C631" s="1" t="s">
        <v>927</v>
      </c>
      <c r="D631" s="1" t="s">
        <v>43</v>
      </c>
      <c r="E631">
        <v>4</v>
      </c>
      <c r="F631" s="4">
        <v>1730.85</v>
      </c>
      <c r="G631" s="3">
        <v>0</v>
      </c>
      <c r="H631" s="4">
        <v>274.57</v>
      </c>
    </row>
    <row r="632" spans="1:8" x14ac:dyDescent="0.3">
      <c r="A632" s="1" t="s">
        <v>928</v>
      </c>
      <c r="B632" s="2">
        <v>44973</v>
      </c>
      <c r="C632" s="1" t="s">
        <v>58</v>
      </c>
      <c r="D632" s="1" t="s">
        <v>141</v>
      </c>
      <c r="E632">
        <v>5</v>
      </c>
      <c r="F632" s="4">
        <v>655.21</v>
      </c>
      <c r="G632" s="3">
        <v>0</v>
      </c>
      <c r="H632" s="4">
        <v>175.19</v>
      </c>
    </row>
    <row r="633" spans="1:8" x14ac:dyDescent="0.3">
      <c r="A633" s="1" t="s">
        <v>929</v>
      </c>
      <c r="B633" s="2">
        <v>45438</v>
      </c>
      <c r="C633" s="1" t="s">
        <v>208</v>
      </c>
      <c r="D633" s="1" t="s">
        <v>127</v>
      </c>
      <c r="E633">
        <v>1</v>
      </c>
      <c r="F633" s="4">
        <v>1830.46</v>
      </c>
      <c r="G633" s="3">
        <v>0.2</v>
      </c>
      <c r="H633" s="4">
        <v>174.19</v>
      </c>
    </row>
    <row r="634" spans="1:8" x14ac:dyDescent="0.3">
      <c r="A634" s="1" t="s">
        <v>930</v>
      </c>
      <c r="B634" s="2">
        <v>45417</v>
      </c>
      <c r="C634" s="1" t="s">
        <v>246</v>
      </c>
      <c r="D634" s="1" t="s">
        <v>263</v>
      </c>
      <c r="E634">
        <v>4</v>
      </c>
      <c r="F634" s="4">
        <v>1532.53</v>
      </c>
      <c r="G634" s="3">
        <v>0.3</v>
      </c>
      <c r="H634" s="4">
        <v>439.72</v>
      </c>
    </row>
    <row r="635" spans="1:8" x14ac:dyDescent="0.3">
      <c r="A635" s="1" t="s">
        <v>931</v>
      </c>
      <c r="B635" s="2">
        <v>44977</v>
      </c>
      <c r="C635" s="1" t="s">
        <v>169</v>
      </c>
      <c r="D635" s="1" t="s">
        <v>372</v>
      </c>
      <c r="E635">
        <v>3</v>
      </c>
      <c r="F635" s="4">
        <v>1629.32</v>
      </c>
      <c r="G635" s="3">
        <v>0.1</v>
      </c>
      <c r="H635" s="4">
        <v>170.58</v>
      </c>
    </row>
    <row r="636" spans="1:8" x14ac:dyDescent="0.3">
      <c r="A636" s="1" t="s">
        <v>932</v>
      </c>
      <c r="B636" s="2">
        <v>45291</v>
      </c>
      <c r="C636" s="1" t="s">
        <v>203</v>
      </c>
      <c r="D636" s="1" t="s">
        <v>296</v>
      </c>
      <c r="E636">
        <v>1</v>
      </c>
      <c r="F636" s="4">
        <v>134.21</v>
      </c>
      <c r="G636" s="3">
        <v>0.2</v>
      </c>
      <c r="H636" s="4">
        <v>17.66</v>
      </c>
    </row>
    <row r="637" spans="1:8" x14ac:dyDescent="0.3">
      <c r="A637" s="1" t="s">
        <v>933</v>
      </c>
      <c r="B637" s="2">
        <v>44627</v>
      </c>
      <c r="C637" s="1" t="s">
        <v>588</v>
      </c>
      <c r="D637" s="1" t="s">
        <v>89</v>
      </c>
      <c r="E637">
        <v>1</v>
      </c>
      <c r="F637" s="4">
        <v>1929.34</v>
      </c>
      <c r="G637" s="3">
        <v>0.1</v>
      </c>
      <c r="H637" s="4">
        <v>461.2</v>
      </c>
    </row>
    <row r="638" spans="1:8" x14ac:dyDescent="0.3">
      <c r="A638" s="1" t="s">
        <v>934</v>
      </c>
      <c r="B638" s="2">
        <v>44960</v>
      </c>
      <c r="C638" s="1" t="s">
        <v>466</v>
      </c>
      <c r="D638" s="1" t="s">
        <v>83</v>
      </c>
      <c r="E638">
        <v>1</v>
      </c>
      <c r="F638" s="4">
        <v>1480.67</v>
      </c>
      <c r="G638" s="3">
        <v>0</v>
      </c>
      <c r="H638" s="4">
        <v>219.79</v>
      </c>
    </row>
    <row r="639" spans="1:8" x14ac:dyDescent="0.3">
      <c r="A639" s="1" t="s">
        <v>935</v>
      </c>
      <c r="B639" s="2">
        <v>45362</v>
      </c>
      <c r="C639" s="1" t="s">
        <v>179</v>
      </c>
      <c r="D639" s="1" t="s">
        <v>455</v>
      </c>
      <c r="E639">
        <v>5</v>
      </c>
      <c r="F639" s="4">
        <v>679.03</v>
      </c>
      <c r="G639" s="3">
        <v>0.2</v>
      </c>
      <c r="H639" s="4">
        <v>137.19999999999999</v>
      </c>
    </row>
    <row r="640" spans="1:8" x14ac:dyDescent="0.3">
      <c r="A640" s="1" t="s">
        <v>936</v>
      </c>
      <c r="B640" s="2">
        <v>45412</v>
      </c>
      <c r="C640" s="1" t="s">
        <v>605</v>
      </c>
      <c r="D640" s="1" t="s">
        <v>226</v>
      </c>
      <c r="E640">
        <v>4</v>
      </c>
      <c r="F640" s="4">
        <v>1675.85</v>
      </c>
      <c r="G640" s="3">
        <v>0</v>
      </c>
      <c r="H640" s="4">
        <v>270.05</v>
      </c>
    </row>
    <row r="641" spans="1:8" x14ac:dyDescent="0.3">
      <c r="A641" s="1" t="s">
        <v>937</v>
      </c>
      <c r="B641" s="2">
        <v>44687</v>
      </c>
      <c r="C641" s="1" t="s">
        <v>27</v>
      </c>
      <c r="D641" s="1" t="s">
        <v>341</v>
      </c>
      <c r="E641">
        <v>5</v>
      </c>
      <c r="F641" s="4">
        <v>634.89</v>
      </c>
      <c r="G641" s="3">
        <v>0.1</v>
      </c>
      <c r="H641" s="4">
        <v>149.58000000000001</v>
      </c>
    </row>
    <row r="642" spans="1:8" x14ac:dyDescent="0.3">
      <c r="A642" s="1" t="s">
        <v>938</v>
      </c>
      <c r="B642" s="2">
        <v>44695</v>
      </c>
      <c r="C642" s="1" t="s">
        <v>244</v>
      </c>
      <c r="D642" s="1" t="s">
        <v>92</v>
      </c>
      <c r="E642">
        <v>4</v>
      </c>
      <c r="F642" s="4">
        <v>1758.23</v>
      </c>
      <c r="G642" s="3">
        <v>0.1</v>
      </c>
      <c r="H642" s="4">
        <v>188.28</v>
      </c>
    </row>
    <row r="643" spans="1:8" x14ac:dyDescent="0.3">
      <c r="A643" s="1" t="s">
        <v>939</v>
      </c>
      <c r="B643" s="2">
        <v>44612</v>
      </c>
      <c r="C643" s="1" t="s">
        <v>526</v>
      </c>
      <c r="D643" s="1" t="s">
        <v>139</v>
      </c>
      <c r="E643">
        <v>5</v>
      </c>
      <c r="F643" s="4">
        <v>313.89999999999998</v>
      </c>
      <c r="G643" s="3">
        <v>0.3</v>
      </c>
      <c r="H643" s="4">
        <v>20.28</v>
      </c>
    </row>
    <row r="644" spans="1:8" x14ac:dyDescent="0.3">
      <c r="A644" s="1" t="s">
        <v>940</v>
      </c>
      <c r="B644" s="2">
        <v>45297</v>
      </c>
      <c r="C644" s="1" t="s">
        <v>121</v>
      </c>
      <c r="D644" s="1" t="s">
        <v>603</v>
      </c>
      <c r="E644">
        <v>5</v>
      </c>
      <c r="F644" s="4">
        <v>1437</v>
      </c>
      <c r="G644" s="3">
        <v>0.1</v>
      </c>
      <c r="H644" s="4">
        <v>179.6</v>
      </c>
    </row>
    <row r="645" spans="1:8" x14ac:dyDescent="0.3">
      <c r="A645" s="1" t="s">
        <v>941</v>
      </c>
      <c r="B645" s="2">
        <v>45421</v>
      </c>
      <c r="C645" s="1" t="s">
        <v>442</v>
      </c>
      <c r="D645" s="1" t="s">
        <v>13</v>
      </c>
      <c r="E645">
        <v>3</v>
      </c>
      <c r="F645" s="4">
        <v>1127.33</v>
      </c>
      <c r="G645" s="3">
        <v>0</v>
      </c>
      <c r="H645" s="4">
        <v>190.04</v>
      </c>
    </row>
    <row r="646" spans="1:8" x14ac:dyDescent="0.3">
      <c r="A646" s="1" t="s">
        <v>942</v>
      </c>
      <c r="B646" s="2">
        <v>44970</v>
      </c>
      <c r="C646" s="1" t="s">
        <v>607</v>
      </c>
      <c r="D646" s="1" t="s">
        <v>296</v>
      </c>
      <c r="E646">
        <v>5</v>
      </c>
      <c r="F646" s="4">
        <v>283.42</v>
      </c>
      <c r="G646" s="3">
        <v>0.1</v>
      </c>
      <c r="H646" s="4">
        <v>26.08</v>
      </c>
    </row>
    <row r="647" spans="1:8" x14ac:dyDescent="0.3">
      <c r="A647" s="1" t="s">
        <v>943</v>
      </c>
      <c r="B647" s="2">
        <v>44680</v>
      </c>
      <c r="C647" s="1" t="s">
        <v>74</v>
      </c>
      <c r="D647" s="1" t="s">
        <v>451</v>
      </c>
      <c r="E647">
        <v>2</v>
      </c>
      <c r="F647" s="4">
        <v>559.6</v>
      </c>
      <c r="G647" s="3">
        <v>0.3</v>
      </c>
      <c r="H647" s="4">
        <v>77.62</v>
      </c>
    </row>
    <row r="648" spans="1:8" x14ac:dyDescent="0.3">
      <c r="A648" s="1" t="s">
        <v>944</v>
      </c>
      <c r="B648" s="2">
        <v>45080</v>
      </c>
      <c r="C648" s="1" t="s">
        <v>145</v>
      </c>
      <c r="D648" s="1" t="s">
        <v>364</v>
      </c>
      <c r="E648">
        <v>3</v>
      </c>
      <c r="F648" s="4">
        <v>123.57</v>
      </c>
      <c r="G648" s="3">
        <v>0.3</v>
      </c>
      <c r="H648" s="4">
        <v>18.53</v>
      </c>
    </row>
    <row r="649" spans="1:8" x14ac:dyDescent="0.3">
      <c r="A649" s="1" t="s">
        <v>945</v>
      </c>
      <c r="B649" s="2">
        <v>45187</v>
      </c>
      <c r="C649" s="1" t="s">
        <v>946</v>
      </c>
      <c r="D649" s="1" t="s">
        <v>72</v>
      </c>
      <c r="E649">
        <v>5</v>
      </c>
      <c r="F649" s="4">
        <v>990.66</v>
      </c>
      <c r="G649" s="3">
        <v>0</v>
      </c>
      <c r="H649" s="4">
        <v>63.75</v>
      </c>
    </row>
    <row r="650" spans="1:8" x14ac:dyDescent="0.3">
      <c r="A650" s="1" t="s">
        <v>947</v>
      </c>
      <c r="B650" s="2">
        <v>44791</v>
      </c>
      <c r="C650" s="1" t="s">
        <v>406</v>
      </c>
      <c r="D650" s="1" t="s">
        <v>59</v>
      </c>
      <c r="E650">
        <v>1</v>
      </c>
      <c r="F650" s="4">
        <v>672.4</v>
      </c>
      <c r="G650" s="3">
        <v>0.2</v>
      </c>
      <c r="H650" s="4">
        <v>131.66999999999999</v>
      </c>
    </row>
    <row r="651" spans="1:8" x14ac:dyDescent="0.3">
      <c r="A651" s="1" t="s">
        <v>948</v>
      </c>
      <c r="B651" s="2">
        <v>45095</v>
      </c>
      <c r="C651" s="1" t="s">
        <v>129</v>
      </c>
      <c r="D651" s="1" t="s">
        <v>239</v>
      </c>
      <c r="E651">
        <v>2</v>
      </c>
      <c r="F651" s="4">
        <v>1236.8800000000001</v>
      </c>
      <c r="G651" s="3">
        <v>0.1</v>
      </c>
      <c r="H651" s="4">
        <v>335.3</v>
      </c>
    </row>
    <row r="652" spans="1:8" x14ac:dyDescent="0.3">
      <c r="A652" s="1" t="s">
        <v>949</v>
      </c>
      <c r="B652" s="2">
        <v>44983</v>
      </c>
      <c r="C652" s="1" t="s">
        <v>388</v>
      </c>
      <c r="D652" s="1" t="s">
        <v>226</v>
      </c>
      <c r="E652">
        <v>2</v>
      </c>
      <c r="F652" s="4">
        <v>664.75</v>
      </c>
      <c r="G652" s="3">
        <v>0.3</v>
      </c>
      <c r="H652" s="4">
        <v>58.46</v>
      </c>
    </row>
    <row r="653" spans="1:8" x14ac:dyDescent="0.3">
      <c r="A653" s="1" t="s">
        <v>950</v>
      </c>
      <c r="B653" s="2">
        <v>45228</v>
      </c>
      <c r="C653" s="1" t="s">
        <v>360</v>
      </c>
      <c r="D653" s="1" t="s">
        <v>34</v>
      </c>
      <c r="E653">
        <v>2</v>
      </c>
      <c r="F653" s="4">
        <v>669.85</v>
      </c>
      <c r="G653" s="3">
        <v>0.1</v>
      </c>
      <c r="H653" s="4">
        <v>133.6</v>
      </c>
    </row>
    <row r="654" spans="1:8" x14ac:dyDescent="0.3">
      <c r="A654" s="1" t="s">
        <v>951</v>
      </c>
      <c r="B654" s="2">
        <v>45240</v>
      </c>
      <c r="C654" s="1" t="s">
        <v>526</v>
      </c>
      <c r="D654" s="1" t="s">
        <v>341</v>
      </c>
      <c r="E654">
        <v>3</v>
      </c>
      <c r="F654" s="4">
        <v>1512.07</v>
      </c>
      <c r="G654" s="3">
        <v>0.1</v>
      </c>
      <c r="H654" s="4">
        <v>326.89</v>
      </c>
    </row>
    <row r="655" spans="1:8" x14ac:dyDescent="0.3">
      <c r="A655" s="1" t="s">
        <v>952</v>
      </c>
      <c r="B655" s="2">
        <v>45131</v>
      </c>
      <c r="C655" s="1" t="s">
        <v>347</v>
      </c>
      <c r="D655" s="1" t="s">
        <v>16</v>
      </c>
      <c r="E655">
        <v>5</v>
      </c>
      <c r="F655" s="4">
        <v>191.47</v>
      </c>
      <c r="G655" s="3">
        <v>0.2</v>
      </c>
      <c r="H655" s="4">
        <v>29.65</v>
      </c>
    </row>
    <row r="656" spans="1:8" x14ac:dyDescent="0.3">
      <c r="A656" s="1" t="s">
        <v>953</v>
      </c>
      <c r="B656" s="2">
        <v>44989</v>
      </c>
      <c r="C656" s="1" t="s">
        <v>671</v>
      </c>
      <c r="D656" s="1" t="s">
        <v>458</v>
      </c>
      <c r="E656">
        <v>5</v>
      </c>
      <c r="F656" s="4">
        <v>1815.5</v>
      </c>
      <c r="G656" s="3">
        <v>0.3</v>
      </c>
      <c r="H656" s="4">
        <v>408.99</v>
      </c>
    </row>
    <row r="657" spans="1:8" x14ac:dyDescent="0.3">
      <c r="A657" s="1" t="s">
        <v>954</v>
      </c>
      <c r="B657" s="2">
        <v>45082</v>
      </c>
      <c r="C657" s="1" t="s">
        <v>380</v>
      </c>
      <c r="D657" s="1" t="s">
        <v>201</v>
      </c>
      <c r="E657">
        <v>1</v>
      </c>
      <c r="F657" s="4">
        <v>1719.3</v>
      </c>
      <c r="G657" s="3">
        <v>0.1</v>
      </c>
      <c r="H657" s="4">
        <v>262.51</v>
      </c>
    </row>
    <row r="658" spans="1:8" x14ac:dyDescent="0.3">
      <c r="A658" s="1" t="s">
        <v>955</v>
      </c>
      <c r="B658" s="2">
        <v>45345</v>
      </c>
      <c r="C658" s="1" t="s">
        <v>526</v>
      </c>
      <c r="D658" s="1" t="s">
        <v>309</v>
      </c>
      <c r="E658">
        <v>1</v>
      </c>
      <c r="F658" s="4">
        <v>1368.83</v>
      </c>
      <c r="G658" s="3">
        <v>0.3</v>
      </c>
      <c r="H658" s="4">
        <v>241.13</v>
      </c>
    </row>
    <row r="659" spans="1:8" x14ac:dyDescent="0.3">
      <c r="A659" s="1" t="s">
        <v>956</v>
      </c>
      <c r="B659" s="2">
        <v>44891</v>
      </c>
      <c r="C659" s="1" t="s">
        <v>53</v>
      </c>
      <c r="D659" s="1" t="s">
        <v>275</v>
      </c>
      <c r="E659">
        <v>2</v>
      </c>
      <c r="F659" s="4">
        <v>1227.1199999999999</v>
      </c>
      <c r="G659" s="3">
        <v>0</v>
      </c>
      <c r="H659" s="4">
        <v>63.61</v>
      </c>
    </row>
    <row r="660" spans="1:8" x14ac:dyDescent="0.3">
      <c r="A660" s="1" t="s">
        <v>957</v>
      </c>
      <c r="B660" s="2">
        <v>44889</v>
      </c>
      <c r="C660" s="1" t="s">
        <v>69</v>
      </c>
      <c r="D660" s="1" t="s">
        <v>669</v>
      </c>
      <c r="E660">
        <v>1</v>
      </c>
      <c r="F660" s="4">
        <v>1795.37</v>
      </c>
      <c r="G660" s="3">
        <v>0</v>
      </c>
      <c r="H660" s="4">
        <v>400.24</v>
      </c>
    </row>
    <row r="661" spans="1:8" x14ac:dyDescent="0.3">
      <c r="A661" s="1" t="s">
        <v>958</v>
      </c>
      <c r="B661" s="2">
        <v>45308</v>
      </c>
      <c r="C661" s="1" t="s">
        <v>927</v>
      </c>
      <c r="D661" s="1" t="s">
        <v>107</v>
      </c>
      <c r="E661">
        <v>3</v>
      </c>
      <c r="F661" s="4">
        <v>452.13</v>
      </c>
      <c r="G661" s="3">
        <v>0.1</v>
      </c>
      <c r="H661" s="4">
        <v>97.36</v>
      </c>
    </row>
    <row r="662" spans="1:8" x14ac:dyDescent="0.3">
      <c r="A662" s="1" t="s">
        <v>959</v>
      </c>
      <c r="B662" s="2">
        <v>45143</v>
      </c>
      <c r="C662" s="1" t="s">
        <v>169</v>
      </c>
      <c r="D662" s="1" t="s">
        <v>107</v>
      </c>
      <c r="E662">
        <v>5</v>
      </c>
      <c r="F662" s="4">
        <v>250.04</v>
      </c>
      <c r="G662" s="3">
        <v>0.3</v>
      </c>
      <c r="H662" s="4">
        <v>14.9</v>
      </c>
    </row>
    <row r="663" spans="1:8" x14ac:dyDescent="0.3">
      <c r="A663" s="1" t="s">
        <v>960</v>
      </c>
      <c r="B663" s="2">
        <v>44962</v>
      </c>
      <c r="C663" s="1" t="s">
        <v>248</v>
      </c>
      <c r="D663" s="1" t="s">
        <v>119</v>
      </c>
      <c r="E663">
        <v>2</v>
      </c>
      <c r="F663" s="4">
        <v>555.07000000000005</v>
      </c>
      <c r="G663" s="3">
        <v>0.1</v>
      </c>
      <c r="H663" s="4">
        <v>78.849999999999994</v>
      </c>
    </row>
    <row r="664" spans="1:8" x14ac:dyDescent="0.3">
      <c r="A664" s="1" t="s">
        <v>961</v>
      </c>
      <c r="B664" s="2">
        <v>45146</v>
      </c>
      <c r="C664" s="1" t="s">
        <v>334</v>
      </c>
      <c r="D664" s="1" t="s">
        <v>10</v>
      </c>
      <c r="E664">
        <v>1</v>
      </c>
      <c r="F664" s="4">
        <v>1609.7</v>
      </c>
      <c r="G664" s="3">
        <v>0.3</v>
      </c>
      <c r="H664" s="4">
        <v>474.47</v>
      </c>
    </row>
    <row r="665" spans="1:8" x14ac:dyDescent="0.3">
      <c r="A665" s="1" t="s">
        <v>962</v>
      </c>
      <c r="B665" s="2">
        <v>45055</v>
      </c>
      <c r="C665" s="1" t="s">
        <v>475</v>
      </c>
      <c r="D665" s="1" t="s">
        <v>296</v>
      </c>
      <c r="E665">
        <v>3</v>
      </c>
      <c r="F665" s="4">
        <v>165.87</v>
      </c>
      <c r="G665" s="3">
        <v>0.3</v>
      </c>
      <c r="H665" s="4">
        <v>25.74</v>
      </c>
    </row>
    <row r="666" spans="1:8" x14ac:dyDescent="0.3">
      <c r="A666" s="1" t="s">
        <v>963</v>
      </c>
      <c r="B666" s="2">
        <v>45215</v>
      </c>
      <c r="C666" s="1" t="s">
        <v>126</v>
      </c>
      <c r="D666" s="1" t="s">
        <v>660</v>
      </c>
      <c r="E666">
        <v>3</v>
      </c>
      <c r="F666" s="4">
        <v>1207.33</v>
      </c>
      <c r="G666" s="3">
        <v>0.2</v>
      </c>
      <c r="H666" s="4">
        <v>211.87</v>
      </c>
    </row>
    <row r="667" spans="1:8" x14ac:dyDescent="0.3">
      <c r="A667" s="1" t="s">
        <v>964</v>
      </c>
      <c r="B667" s="2">
        <v>45333</v>
      </c>
      <c r="C667" s="1" t="s">
        <v>524</v>
      </c>
      <c r="D667" s="1" t="s">
        <v>195</v>
      </c>
      <c r="E667">
        <v>1</v>
      </c>
      <c r="F667" s="4">
        <v>1991.33</v>
      </c>
      <c r="G667" s="3">
        <v>0.2</v>
      </c>
      <c r="H667" s="4">
        <v>552.55999999999995</v>
      </c>
    </row>
    <row r="668" spans="1:8" x14ac:dyDescent="0.3">
      <c r="A668" s="1" t="s">
        <v>965</v>
      </c>
      <c r="B668" s="2">
        <v>44585</v>
      </c>
      <c r="C668" s="1" t="s">
        <v>468</v>
      </c>
      <c r="D668" s="1" t="s">
        <v>372</v>
      </c>
      <c r="E668">
        <v>5</v>
      </c>
      <c r="F668" s="4">
        <v>1725.82</v>
      </c>
      <c r="G668" s="3">
        <v>0.2</v>
      </c>
      <c r="H668" s="4">
        <v>395.76</v>
      </c>
    </row>
    <row r="669" spans="1:8" x14ac:dyDescent="0.3">
      <c r="A669" s="1" t="s">
        <v>966</v>
      </c>
      <c r="B669" s="2">
        <v>44997</v>
      </c>
      <c r="C669" s="1" t="s">
        <v>332</v>
      </c>
      <c r="D669" s="1" t="s">
        <v>341</v>
      </c>
      <c r="E669">
        <v>1</v>
      </c>
      <c r="F669" s="4">
        <v>1090.75</v>
      </c>
      <c r="G669" s="3">
        <v>0.1</v>
      </c>
      <c r="H669" s="4">
        <v>213.26</v>
      </c>
    </row>
    <row r="670" spans="1:8" x14ac:dyDescent="0.3">
      <c r="A670" s="1" t="s">
        <v>967</v>
      </c>
      <c r="B670" s="2">
        <v>44976</v>
      </c>
      <c r="C670" s="1" t="s">
        <v>42</v>
      </c>
      <c r="D670" s="1" t="s">
        <v>226</v>
      </c>
      <c r="E670">
        <v>2</v>
      </c>
      <c r="F670" s="4">
        <v>220.92</v>
      </c>
      <c r="G670" s="3">
        <v>0.2</v>
      </c>
      <c r="H670" s="4">
        <v>55.11</v>
      </c>
    </row>
    <row r="671" spans="1:8" x14ac:dyDescent="0.3">
      <c r="A671" s="1" t="s">
        <v>968</v>
      </c>
      <c r="B671" s="2">
        <v>45181</v>
      </c>
      <c r="C671" s="1" t="s">
        <v>53</v>
      </c>
      <c r="D671" s="1" t="s">
        <v>669</v>
      </c>
      <c r="E671">
        <v>1</v>
      </c>
      <c r="F671" s="4">
        <v>1679.61</v>
      </c>
      <c r="G671" s="3">
        <v>0.2</v>
      </c>
      <c r="H671" s="4">
        <v>446.93</v>
      </c>
    </row>
    <row r="672" spans="1:8" x14ac:dyDescent="0.3">
      <c r="A672" s="1" t="s">
        <v>969</v>
      </c>
      <c r="B672" s="2">
        <v>44599</v>
      </c>
      <c r="C672" s="1" t="s">
        <v>533</v>
      </c>
      <c r="D672" s="1" t="s">
        <v>13</v>
      </c>
      <c r="E672">
        <v>3</v>
      </c>
      <c r="F672" s="4">
        <v>1238.06</v>
      </c>
      <c r="G672" s="3">
        <v>0</v>
      </c>
      <c r="H672" s="4">
        <v>203.32</v>
      </c>
    </row>
    <row r="673" spans="1:8" x14ac:dyDescent="0.3">
      <c r="A673" s="1" t="s">
        <v>970</v>
      </c>
      <c r="B673" s="2">
        <v>45409</v>
      </c>
      <c r="C673" s="1" t="s">
        <v>482</v>
      </c>
      <c r="D673" s="1" t="s">
        <v>45</v>
      </c>
      <c r="E673">
        <v>1</v>
      </c>
      <c r="F673" s="4">
        <v>318.37</v>
      </c>
      <c r="G673" s="3">
        <v>0.3</v>
      </c>
      <c r="H673" s="4">
        <v>53.73</v>
      </c>
    </row>
    <row r="674" spans="1:8" x14ac:dyDescent="0.3">
      <c r="A674" s="1" t="s">
        <v>971</v>
      </c>
      <c r="B674" s="2">
        <v>45434</v>
      </c>
      <c r="C674" s="1" t="s">
        <v>220</v>
      </c>
      <c r="D674" s="1" t="s">
        <v>288</v>
      </c>
      <c r="E674">
        <v>5</v>
      </c>
      <c r="F674" s="4">
        <v>278.33</v>
      </c>
      <c r="G674" s="3">
        <v>0.3</v>
      </c>
      <c r="H674" s="4">
        <v>40.78</v>
      </c>
    </row>
    <row r="675" spans="1:8" x14ac:dyDescent="0.3">
      <c r="A675" s="1" t="s">
        <v>972</v>
      </c>
      <c r="B675" s="2">
        <v>45198</v>
      </c>
      <c r="C675" s="1" t="s">
        <v>39</v>
      </c>
      <c r="D675" s="1" t="s">
        <v>660</v>
      </c>
      <c r="E675">
        <v>4</v>
      </c>
      <c r="F675" s="4">
        <v>1828.29</v>
      </c>
      <c r="G675" s="3">
        <v>0.2</v>
      </c>
      <c r="H675" s="4">
        <v>533.27</v>
      </c>
    </row>
    <row r="676" spans="1:8" x14ac:dyDescent="0.3">
      <c r="A676" s="1" t="s">
        <v>973</v>
      </c>
      <c r="B676" s="2">
        <v>44946</v>
      </c>
      <c r="C676" s="1" t="s">
        <v>21</v>
      </c>
      <c r="D676" s="1" t="s">
        <v>258</v>
      </c>
      <c r="E676">
        <v>1</v>
      </c>
      <c r="F676" s="4">
        <v>1371.48</v>
      </c>
      <c r="G676" s="3">
        <v>0.3</v>
      </c>
      <c r="H676" s="4">
        <v>307.61</v>
      </c>
    </row>
    <row r="677" spans="1:8" x14ac:dyDescent="0.3">
      <c r="A677" s="1" t="s">
        <v>974</v>
      </c>
      <c r="B677" s="2">
        <v>45104</v>
      </c>
      <c r="C677" s="1" t="s">
        <v>277</v>
      </c>
      <c r="D677" s="1" t="s">
        <v>296</v>
      </c>
      <c r="E677">
        <v>5</v>
      </c>
      <c r="F677" s="4">
        <v>1675.64</v>
      </c>
      <c r="G677" s="3">
        <v>0</v>
      </c>
      <c r="H677" s="4">
        <v>118.64</v>
      </c>
    </row>
    <row r="678" spans="1:8" x14ac:dyDescent="0.3">
      <c r="A678" s="1" t="s">
        <v>975</v>
      </c>
      <c r="B678" s="2">
        <v>44616</v>
      </c>
      <c r="C678" s="1" t="s">
        <v>344</v>
      </c>
      <c r="D678" s="1" t="s">
        <v>372</v>
      </c>
      <c r="E678">
        <v>5</v>
      </c>
      <c r="F678" s="4">
        <v>1770.06</v>
      </c>
      <c r="G678" s="3">
        <v>0</v>
      </c>
      <c r="H678" s="4">
        <v>470.38</v>
      </c>
    </row>
    <row r="679" spans="1:8" x14ac:dyDescent="0.3">
      <c r="A679" s="1" t="s">
        <v>976</v>
      </c>
      <c r="B679" s="2">
        <v>44776</v>
      </c>
      <c r="C679" s="1" t="s">
        <v>18</v>
      </c>
      <c r="D679" s="1" t="s">
        <v>37</v>
      </c>
      <c r="E679">
        <v>3</v>
      </c>
      <c r="F679" s="4">
        <v>1186.3699999999999</v>
      </c>
      <c r="G679" s="3">
        <v>0.2</v>
      </c>
      <c r="H679" s="4">
        <v>201.85</v>
      </c>
    </row>
    <row r="680" spans="1:8" x14ac:dyDescent="0.3">
      <c r="A680" s="1" t="s">
        <v>977</v>
      </c>
      <c r="B680" s="2">
        <v>45140</v>
      </c>
      <c r="C680" s="1" t="s">
        <v>978</v>
      </c>
      <c r="D680" s="1" t="s">
        <v>669</v>
      </c>
      <c r="E680">
        <v>5</v>
      </c>
      <c r="F680" s="4">
        <v>1083.1500000000001</v>
      </c>
      <c r="G680" s="3">
        <v>0</v>
      </c>
      <c r="H680" s="4">
        <v>72.78</v>
      </c>
    </row>
    <row r="681" spans="1:8" x14ac:dyDescent="0.3">
      <c r="A681" s="1" t="s">
        <v>979</v>
      </c>
      <c r="B681" s="2">
        <v>44976</v>
      </c>
      <c r="C681" s="1" t="s">
        <v>980</v>
      </c>
      <c r="D681" s="1" t="s">
        <v>249</v>
      </c>
      <c r="E681">
        <v>5</v>
      </c>
      <c r="F681" s="4">
        <v>917.81</v>
      </c>
      <c r="G681" s="3">
        <v>0.3</v>
      </c>
      <c r="H681" s="4">
        <v>172.02</v>
      </c>
    </row>
    <row r="682" spans="1:8" x14ac:dyDescent="0.3">
      <c r="A682" s="1" t="s">
        <v>981</v>
      </c>
      <c r="B682" s="2">
        <v>44686</v>
      </c>
      <c r="C682" s="1" t="s">
        <v>306</v>
      </c>
      <c r="D682" s="1" t="s">
        <v>770</v>
      </c>
      <c r="E682">
        <v>5</v>
      </c>
      <c r="F682" s="4">
        <v>702.2</v>
      </c>
      <c r="G682" s="3">
        <v>0.1</v>
      </c>
      <c r="H682" s="4">
        <v>108.34</v>
      </c>
    </row>
    <row r="683" spans="1:8" x14ac:dyDescent="0.3">
      <c r="A683" s="1" t="s">
        <v>982</v>
      </c>
      <c r="B683" s="2">
        <v>45125</v>
      </c>
      <c r="C683" s="1" t="s">
        <v>657</v>
      </c>
      <c r="D683" s="1" t="s">
        <v>186</v>
      </c>
      <c r="E683">
        <v>5</v>
      </c>
      <c r="F683" s="4">
        <v>925.73</v>
      </c>
      <c r="G683" s="3">
        <v>0.3</v>
      </c>
      <c r="H683" s="4">
        <v>249.43</v>
      </c>
    </row>
    <row r="684" spans="1:8" x14ac:dyDescent="0.3">
      <c r="A684" s="1" t="s">
        <v>983</v>
      </c>
      <c r="B684" s="2">
        <v>44720</v>
      </c>
      <c r="C684" s="1" t="s">
        <v>33</v>
      </c>
      <c r="D684" s="1" t="s">
        <v>161</v>
      </c>
      <c r="E684">
        <v>2</v>
      </c>
      <c r="F684" s="4">
        <v>1570.37</v>
      </c>
      <c r="G684" s="3">
        <v>0.1</v>
      </c>
      <c r="H684" s="4">
        <v>158.61000000000001</v>
      </c>
    </row>
    <row r="685" spans="1:8" x14ac:dyDescent="0.3">
      <c r="A685" s="1" t="s">
        <v>984</v>
      </c>
      <c r="B685" s="2">
        <v>44702</v>
      </c>
      <c r="C685" s="1" t="s">
        <v>21</v>
      </c>
      <c r="D685" s="1" t="s">
        <v>369</v>
      </c>
      <c r="E685">
        <v>2</v>
      </c>
      <c r="F685" s="4">
        <v>1243.6500000000001</v>
      </c>
      <c r="G685" s="3">
        <v>0.2</v>
      </c>
      <c r="H685" s="4">
        <v>319.14</v>
      </c>
    </row>
    <row r="686" spans="1:8" x14ac:dyDescent="0.3">
      <c r="A686" s="1" t="s">
        <v>985</v>
      </c>
      <c r="B686" s="2">
        <v>44565</v>
      </c>
      <c r="C686" s="1" t="s">
        <v>946</v>
      </c>
      <c r="D686" s="1" t="s">
        <v>239</v>
      </c>
      <c r="E686">
        <v>3</v>
      </c>
      <c r="F686" s="4">
        <v>1795.79</v>
      </c>
      <c r="G686" s="3">
        <v>0.1</v>
      </c>
      <c r="H686" s="4">
        <v>340.16</v>
      </c>
    </row>
    <row r="687" spans="1:8" x14ac:dyDescent="0.3">
      <c r="A687" s="1" t="s">
        <v>986</v>
      </c>
      <c r="B687" s="2">
        <v>44586</v>
      </c>
      <c r="C687" s="1" t="s">
        <v>510</v>
      </c>
      <c r="D687" s="1" t="s">
        <v>186</v>
      </c>
      <c r="E687">
        <v>1</v>
      </c>
      <c r="F687" s="4">
        <v>942.42</v>
      </c>
      <c r="G687" s="3">
        <v>0</v>
      </c>
      <c r="H687" s="4">
        <v>59.99</v>
      </c>
    </row>
    <row r="688" spans="1:8" x14ac:dyDescent="0.3">
      <c r="A688" s="1" t="s">
        <v>987</v>
      </c>
      <c r="B688" s="2">
        <v>44747</v>
      </c>
      <c r="C688" s="1" t="s">
        <v>96</v>
      </c>
      <c r="D688" s="1" t="s">
        <v>727</v>
      </c>
      <c r="E688">
        <v>5</v>
      </c>
      <c r="F688" s="4">
        <v>1253.47</v>
      </c>
      <c r="G688" s="3">
        <v>0.3</v>
      </c>
      <c r="H688" s="4">
        <v>367.22</v>
      </c>
    </row>
    <row r="689" spans="1:8" x14ac:dyDescent="0.3">
      <c r="A689" s="1" t="s">
        <v>988</v>
      </c>
      <c r="B689" s="2">
        <v>44615</v>
      </c>
      <c r="C689" s="1" t="s">
        <v>697</v>
      </c>
      <c r="D689" s="1" t="s">
        <v>258</v>
      </c>
      <c r="E689">
        <v>1</v>
      </c>
      <c r="F689" s="4">
        <v>1299.48</v>
      </c>
      <c r="G689" s="3">
        <v>0.1</v>
      </c>
      <c r="H689" s="4">
        <v>231.51</v>
      </c>
    </row>
    <row r="690" spans="1:8" x14ac:dyDescent="0.3">
      <c r="A690" s="1" t="s">
        <v>989</v>
      </c>
      <c r="B690" s="2">
        <v>45187</v>
      </c>
      <c r="C690" s="1" t="s">
        <v>129</v>
      </c>
      <c r="D690" s="1" t="s">
        <v>226</v>
      </c>
      <c r="E690">
        <v>1</v>
      </c>
      <c r="F690" s="4">
        <v>1224.22</v>
      </c>
      <c r="G690" s="3">
        <v>0.3</v>
      </c>
      <c r="H690" s="4">
        <v>150.24</v>
      </c>
    </row>
    <row r="691" spans="1:8" x14ac:dyDescent="0.3">
      <c r="A691" s="1" t="s">
        <v>990</v>
      </c>
      <c r="B691" s="2">
        <v>45055</v>
      </c>
      <c r="C691" s="1" t="s">
        <v>285</v>
      </c>
      <c r="D691" s="1" t="s">
        <v>89</v>
      </c>
      <c r="E691">
        <v>3</v>
      </c>
      <c r="F691" s="4">
        <v>1435</v>
      </c>
      <c r="G691" s="3">
        <v>0.2</v>
      </c>
      <c r="H691" s="4">
        <v>240.15</v>
      </c>
    </row>
    <row r="692" spans="1:8" x14ac:dyDescent="0.3">
      <c r="A692" s="1" t="s">
        <v>991</v>
      </c>
      <c r="B692" s="2">
        <v>45285</v>
      </c>
      <c r="C692" s="1" t="s">
        <v>238</v>
      </c>
      <c r="D692" s="1" t="s">
        <v>397</v>
      </c>
      <c r="E692">
        <v>5</v>
      </c>
      <c r="F692" s="4">
        <v>551.12</v>
      </c>
      <c r="G692" s="3">
        <v>0.2</v>
      </c>
      <c r="H692" s="4">
        <v>145.75</v>
      </c>
    </row>
    <row r="693" spans="1:8" x14ac:dyDescent="0.3">
      <c r="A693" s="1" t="s">
        <v>992</v>
      </c>
      <c r="B693" s="2">
        <v>44600</v>
      </c>
      <c r="C693" s="1" t="s">
        <v>300</v>
      </c>
      <c r="D693" s="1" t="s">
        <v>309</v>
      </c>
      <c r="E693">
        <v>5</v>
      </c>
      <c r="F693" s="4">
        <v>1073.49</v>
      </c>
      <c r="G693" s="3">
        <v>0</v>
      </c>
      <c r="H693" s="4">
        <v>135.5</v>
      </c>
    </row>
    <row r="694" spans="1:8" x14ac:dyDescent="0.3">
      <c r="A694" s="1" t="s">
        <v>993</v>
      </c>
      <c r="B694" s="2">
        <v>44752</v>
      </c>
      <c r="C694" s="1" t="s">
        <v>338</v>
      </c>
      <c r="D694" s="1" t="s">
        <v>275</v>
      </c>
      <c r="E694">
        <v>4</v>
      </c>
      <c r="F694" s="4">
        <v>298.02999999999997</v>
      </c>
      <c r="G694" s="3">
        <v>0.2</v>
      </c>
      <c r="H694" s="4">
        <v>29.26</v>
      </c>
    </row>
    <row r="695" spans="1:8" x14ac:dyDescent="0.3">
      <c r="A695" s="1" t="s">
        <v>994</v>
      </c>
      <c r="B695" s="2">
        <v>45416</v>
      </c>
      <c r="C695" s="1" t="s">
        <v>174</v>
      </c>
      <c r="D695" s="1" t="s">
        <v>92</v>
      </c>
      <c r="E695">
        <v>1</v>
      </c>
      <c r="F695" s="4">
        <v>830.57</v>
      </c>
      <c r="G695" s="3">
        <v>0.1</v>
      </c>
      <c r="H695" s="4">
        <v>68.33</v>
      </c>
    </row>
    <row r="696" spans="1:8" x14ac:dyDescent="0.3">
      <c r="A696" s="1" t="s">
        <v>995</v>
      </c>
      <c r="B696" s="2">
        <v>45089</v>
      </c>
      <c r="C696" s="1" t="s">
        <v>308</v>
      </c>
      <c r="D696" s="1" t="s">
        <v>195</v>
      </c>
      <c r="E696">
        <v>1</v>
      </c>
      <c r="F696" s="4">
        <v>1026.57</v>
      </c>
      <c r="G696" s="3">
        <v>0.2</v>
      </c>
      <c r="H696" s="4">
        <v>127.77</v>
      </c>
    </row>
    <row r="697" spans="1:8" x14ac:dyDescent="0.3">
      <c r="A697" s="1" t="s">
        <v>996</v>
      </c>
      <c r="B697" s="2">
        <v>44663</v>
      </c>
      <c r="C697" s="1" t="s">
        <v>622</v>
      </c>
      <c r="D697" s="1" t="s">
        <v>283</v>
      </c>
      <c r="E697">
        <v>2</v>
      </c>
      <c r="F697" s="4">
        <v>1339.23</v>
      </c>
      <c r="G697" s="3">
        <v>0</v>
      </c>
      <c r="H697" s="4">
        <v>328.13</v>
      </c>
    </row>
    <row r="698" spans="1:8" x14ac:dyDescent="0.3">
      <c r="A698" s="1" t="s">
        <v>997</v>
      </c>
      <c r="B698" s="2">
        <v>44887</v>
      </c>
      <c r="C698" s="1" t="s">
        <v>33</v>
      </c>
      <c r="D698" s="1" t="s">
        <v>455</v>
      </c>
      <c r="E698">
        <v>4</v>
      </c>
      <c r="F698" s="4">
        <v>1906.01</v>
      </c>
      <c r="G698" s="3">
        <v>0.3</v>
      </c>
      <c r="H698" s="4">
        <v>320.02999999999997</v>
      </c>
    </row>
    <row r="699" spans="1:8" x14ac:dyDescent="0.3">
      <c r="A699" s="1" t="s">
        <v>998</v>
      </c>
      <c r="B699" s="2">
        <v>45189</v>
      </c>
      <c r="C699" s="1" t="s">
        <v>121</v>
      </c>
      <c r="D699" s="1" t="s">
        <v>727</v>
      </c>
      <c r="E699">
        <v>2</v>
      </c>
      <c r="F699" s="4">
        <v>1241.24</v>
      </c>
      <c r="G699" s="3">
        <v>0.3</v>
      </c>
      <c r="H699" s="4">
        <v>132.65</v>
      </c>
    </row>
    <row r="700" spans="1:8" x14ac:dyDescent="0.3">
      <c r="A700" s="1" t="s">
        <v>999</v>
      </c>
      <c r="B700" s="2">
        <v>44594</v>
      </c>
      <c r="C700" s="1" t="s">
        <v>308</v>
      </c>
      <c r="D700" s="1" t="s">
        <v>67</v>
      </c>
      <c r="E700">
        <v>2</v>
      </c>
      <c r="F700" s="4">
        <v>1512.83</v>
      </c>
      <c r="G700" s="3">
        <v>0.2</v>
      </c>
      <c r="H700" s="4">
        <v>138.49</v>
      </c>
    </row>
    <row r="701" spans="1:8" x14ac:dyDescent="0.3">
      <c r="A701" s="1" t="s">
        <v>1000</v>
      </c>
      <c r="B701" s="2">
        <v>44973</v>
      </c>
      <c r="C701" s="1" t="s">
        <v>121</v>
      </c>
      <c r="D701" s="1" t="s">
        <v>397</v>
      </c>
      <c r="E701">
        <v>2</v>
      </c>
      <c r="F701" s="4">
        <v>1061.9100000000001</v>
      </c>
      <c r="G701" s="3">
        <v>0.1</v>
      </c>
      <c r="H701" s="4">
        <v>141.43</v>
      </c>
    </row>
    <row r="702" spans="1:8" x14ac:dyDescent="0.3">
      <c r="A702" s="1" t="s">
        <v>1001</v>
      </c>
      <c r="B702" s="2">
        <v>44932</v>
      </c>
      <c r="C702" s="1" t="s">
        <v>102</v>
      </c>
      <c r="D702" s="1" t="s">
        <v>147</v>
      </c>
      <c r="E702">
        <v>3</v>
      </c>
      <c r="F702" s="4">
        <v>1304.8</v>
      </c>
      <c r="G702" s="3">
        <v>0</v>
      </c>
      <c r="H702" s="4">
        <v>371.84</v>
      </c>
    </row>
    <row r="703" spans="1:8" x14ac:dyDescent="0.3">
      <c r="A703" s="1" t="s">
        <v>1002</v>
      </c>
      <c r="B703" s="2">
        <v>44614</v>
      </c>
      <c r="C703" s="1" t="s">
        <v>396</v>
      </c>
      <c r="D703" s="1" t="s">
        <v>13</v>
      </c>
      <c r="E703">
        <v>3</v>
      </c>
      <c r="F703" s="4">
        <v>234.77</v>
      </c>
      <c r="G703" s="3">
        <v>0.1</v>
      </c>
      <c r="H703" s="4">
        <v>31.87</v>
      </c>
    </row>
    <row r="704" spans="1:8" x14ac:dyDescent="0.3">
      <c r="A704" s="1" t="s">
        <v>1003</v>
      </c>
      <c r="B704" s="2">
        <v>44907</v>
      </c>
      <c r="C704" s="1" t="s">
        <v>36</v>
      </c>
      <c r="D704" s="1" t="s">
        <v>283</v>
      </c>
      <c r="E704">
        <v>2</v>
      </c>
      <c r="F704" s="4">
        <v>583.34</v>
      </c>
      <c r="G704" s="3">
        <v>0</v>
      </c>
      <c r="H704" s="4">
        <v>173.27</v>
      </c>
    </row>
    <row r="705" spans="1:8" x14ac:dyDescent="0.3">
      <c r="A705" s="1" t="s">
        <v>1004</v>
      </c>
      <c r="B705" s="2">
        <v>45396</v>
      </c>
      <c r="C705" s="1" t="s">
        <v>729</v>
      </c>
      <c r="D705" s="1" t="s">
        <v>296</v>
      </c>
      <c r="E705">
        <v>4</v>
      </c>
      <c r="F705" s="4">
        <v>787.52</v>
      </c>
      <c r="G705" s="3">
        <v>0.2</v>
      </c>
      <c r="H705" s="4">
        <v>134.91</v>
      </c>
    </row>
    <row r="706" spans="1:8" x14ac:dyDescent="0.3">
      <c r="A706" s="1" t="s">
        <v>1005</v>
      </c>
      <c r="B706" s="2">
        <v>45057</v>
      </c>
      <c r="C706" s="1" t="s">
        <v>190</v>
      </c>
      <c r="D706" s="1" t="s">
        <v>221</v>
      </c>
      <c r="E706">
        <v>1</v>
      </c>
      <c r="F706" s="4">
        <v>997.74</v>
      </c>
      <c r="G706" s="3">
        <v>0</v>
      </c>
      <c r="H706" s="4">
        <v>94.58</v>
      </c>
    </row>
    <row r="707" spans="1:8" x14ac:dyDescent="0.3">
      <c r="A707" s="1" t="s">
        <v>1006</v>
      </c>
      <c r="B707" s="2">
        <v>45456</v>
      </c>
      <c r="C707" s="1" t="s">
        <v>777</v>
      </c>
      <c r="D707" s="1" t="s">
        <v>37</v>
      </c>
      <c r="E707">
        <v>4</v>
      </c>
      <c r="F707" s="4">
        <v>186.73</v>
      </c>
      <c r="G707" s="3">
        <v>0</v>
      </c>
      <c r="H707" s="4">
        <v>50.94</v>
      </c>
    </row>
    <row r="708" spans="1:8" x14ac:dyDescent="0.3">
      <c r="A708" s="1" t="s">
        <v>1007</v>
      </c>
      <c r="B708" s="2">
        <v>45239</v>
      </c>
      <c r="C708" s="1" t="s">
        <v>434</v>
      </c>
      <c r="D708" s="1" t="s">
        <v>147</v>
      </c>
      <c r="E708">
        <v>5</v>
      </c>
      <c r="F708" s="4">
        <v>366.05</v>
      </c>
      <c r="G708" s="3">
        <v>0.2</v>
      </c>
      <c r="H708" s="4">
        <v>60.43</v>
      </c>
    </row>
    <row r="709" spans="1:8" x14ac:dyDescent="0.3">
      <c r="A709" s="1" t="s">
        <v>1008</v>
      </c>
      <c r="B709" s="2">
        <v>44990</v>
      </c>
      <c r="C709" s="1" t="s">
        <v>280</v>
      </c>
      <c r="D709" s="1" t="s">
        <v>195</v>
      </c>
      <c r="E709">
        <v>3</v>
      </c>
      <c r="F709" s="4">
        <v>625.95000000000005</v>
      </c>
      <c r="G709" s="3">
        <v>0.1</v>
      </c>
      <c r="H709" s="4">
        <v>142.35</v>
      </c>
    </row>
    <row r="710" spans="1:8" x14ac:dyDescent="0.3">
      <c r="A710" s="1" t="s">
        <v>1009</v>
      </c>
      <c r="B710" s="2">
        <v>44700</v>
      </c>
      <c r="C710" s="1" t="s">
        <v>559</v>
      </c>
      <c r="D710" s="1" t="s">
        <v>253</v>
      </c>
      <c r="E710">
        <v>1</v>
      </c>
      <c r="F710" s="4">
        <v>1945.91</v>
      </c>
      <c r="G710" s="3">
        <v>0.2</v>
      </c>
      <c r="H710" s="4">
        <v>575.85</v>
      </c>
    </row>
    <row r="711" spans="1:8" x14ac:dyDescent="0.3">
      <c r="A711" s="1" t="s">
        <v>1010</v>
      </c>
      <c r="B711" s="2">
        <v>45202</v>
      </c>
      <c r="C711" s="1" t="s">
        <v>282</v>
      </c>
      <c r="D711" s="1" t="s">
        <v>34</v>
      </c>
      <c r="E711">
        <v>1</v>
      </c>
      <c r="F711" s="4">
        <v>729.56</v>
      </c>
      <c r="G711" s="3">
        <v>0</v>
      </c>
      <c r="H711" s="4">
        <v>45.63</v>
      </c>
    </row>
    <row r="712" spans="1:8" x14ac:dyDescent="0.3">
      <c r="A712" s="1" t="s">
        <v>1011</v>
      </c>
      <c r="B712" s="2">
        <v>45328</v>
      </c>
      <c r="C712" s="1" t="s">
        <v>344</v>
      </c>
      <c r="D712" s="1" t="s">
        <v>177</v>
      </c>
      <c r="E712">
        <v>5</v>
      </c>
      <c r="F712" s="4">
        <v>1015.88</v>
      </c>
      <c r="G712" s="3">
        <v>0.2</v>
      </c>
      <c r="H712" s="4">
        <v>75.349999999999994</v>
      </c>
    </row>
    <row r="713" spans="1:8" x14ac:dyDescent="0.3">
      <c r="A713" s="1" t="s">
        <v>1012</v>
      </c>
      <c r="B713" s="2">
        <v>45436</v>
      </c>
      <c r="C713" s="1" t="s">
        <v>208</v>
      </c>
      <c r="D713" s="1" t="s">
        <v>296</v>
      </c>
      <c r="E713">
        <v>5</v>
      </c>
      <c r="F713" s="4">
        <v>472.59</v>
      </c>
      <c r="G713" s="3">
        <v>0</v>
      </c>
      <c r="H713" s="4">
        <v>108.75</v>
      </c>
    </row>
    <row r="714" spans="1:8" x14ac:dyDescent="0.3">
      <c r="A714" s="1" t="s">
        <v>1013</v>
      </c>
      <c r="B714" s="2">
        <v>44777</v>
      </c>
      <c r="C714" s="1" t="s">
        <v>468</v>
      </c>
      <c r="D714" s="1" t="s">
        <v>215</v>
      </c>
      <c r="E714">
        <v>2</v>
      </c>
      <c r="F714" s="4">
        <v>1260.48</v>
      </c>
      <c r="G714" s="3">
        <v>0.2</v>
      </c>
      <c r="H714" s="4">
        <v>151.83000000000001</v>
      </c>
    </row>
    <row r="715" spans="1:8" x14ac:dyDescent="0.3">
      <c r="A715" s="1" t="s">
        <v>1014</v>
      </c>
      <c r="B715" s="2">
        <v>45089</v>
      </c>
      <c r="C715" s="1" t="s">
        <v>220</v>
      </c>
      <c r="D715" s="1" t="s">
        <v>378</v>
      </c>
      <c r="E715">
        <v>3</v>
      </c>
      <c r="F715" s="4">
        <v>633.29999999999995</v>
      </c>
      <c r="G715" s="3">
        <v>0.3</v>
      </c>
      <c r="H715" s="4">
        <v>60.84</v>
      </c>
    </row>
    <row r="716" spans="1:8" x14ac:dyDescent="0.3">
      <c r="A716" s="1" t="s">
        <v>1015</v>
      </c>
      <c r="B716" s="2">
        <v>44585</v>
      </c>
      <c r="C716" s="1" t="s">
        <v>99</v>
      </c>
      <c r="D716" s="1" t="s">
        <v>139</v>
      </c>
      <c r="E716">
        <v>3</v>
      </c>
      <c r="F716" s="4">
        <v>493.29</v>
      </c>
      <c r="G716" s="3">
        <v>0.3</v>
      </c>
      <c r="H716" s="4">
        <v>29.52</v>
      </c>
    </row>
    <row r="717" spans="1:8" x14ac:dyDescent="0.3">
      <c r="A717" s="1" t="s">
        <v>1016</v>
      </c>
      <c r="B717" s="2">
        <v>45416</v>
      </c>
      <c r="C717" s="1" t="s">
        <v>58</v>
      </c>
      <c r="D717" s="1" t="s">
        <v>275</v>
      </c>
      <c r="E717">
        <v>4</v>
      </c>
      <c r="F717" s="4">
        <v>1081.49</v>
      </c>
      <c r="G717" s="3">
        <v>0.2</v>
      </c>
      <c r="H717" s="4">
        <v>59.98</v>
      </c>
    </row>
    <row r="718" spans="1:8" x14ac:dyDescent="0.3">
      <c r="A718" s="1" t="s">
        <v>1017</v>
      </c>
      <c r="B718" s="2">
        <v>44777</v>
      </c>
      <c r="C718" s="1" t="s">
        <v>182</v>
      </c>
      <c r="D718" s="1" t="s">
        <v>61</v>
      </c>
      <c r="E718">
        <v>2</v>
      </c>
      <c r="F718" s="4">
        <v>110.46</v>
      </c>
      <c r="G718" s="3">
        <v>0.1</v>
      </c>
      <c r="H718" s="4">
        <v>26.91</v>
      </c>
    </row>
    <row r="719" spans="1:8" x14ac:dyDescent="0.3">
      <c r="A719" s="1" t="s">
        <v>1018</v>
      </c>
      <c r="B719" s="2">
        <v>45230</v>
      </c>
      <c r="C719" s="1" t="s">
        <v>80</v>
      </c>
      <c r="D719" s="1" t="s">
        <v>143</v>
      </c>
      <c r="E719">
        <v>2</v>
      </c>
      <c r="F719" s="4">
        <v>114.56</v>
      </c>
      <c r="G719" s="3">
        <v>0</v>
      </c>
      <c r="H719" s="4">
        <v>9.58</v>
      </c>
    </row>
    <row r="720" spans="1:8" x14ac:dyDescent="0.3">
      <c r="A720" s="1" t="s">
        <v>1019</v>
      </c>
      <c r="B720" s="2">
        <v>44932</v>
      </c>
      <c r="C720" s="1" t="s">
        <v>200</v>
      </c>
      <c r="D720" s="1" t="s">
        <v>603</v>
      </c>
      <c r="E720">
        <v>2</v>
      </c>
      <c r="F720" s="4">
        <v>516.23</v>
      </c>
      <c r="G720" s="3">
        <v>0.3</v>
      </c>
      <c r="H720" s="4">
        <v>86.17</v>
      </c>
    </row>
    <row r="721" spans="1:8" x14ac:dyDescent="0.3">
      <c r="A721" s="1" t="s">
        <v>1020</v>
      </c>
      <c r="B721" s="2">
        <v>45391</v>
      </c>
      <c r="C721" s="1" t="s">
        <v>225</v>
      </c>
      <c r="D721" s="1" t="s">
        <v>294</v>
      </c>
      <c r="E721">
        <v>2</v>
      </c>
      <c r="F721" s="4">
        <v>169.77</v>
      </c>
      <c r="G721" s="3">
        <v>0.1</v>
      </c>
      <c r="H721" s="4">
        <v>34.200000000000003</v>
      </c>
    </row>
    <row r="722" spans="1:8" x14ac:dyDescent="0.3">
      <c r="A722" s="1" t="s">
        <v>1021</v>
      </c>
      <c r="B722" s="2">
        <v>44718</v>
      </c>
      <c r="C722" s="1" t="s">
        <v>598</v>
      </c>
      <c r="D722" s="1" t="s">
        <v>400</v>
      </c>
      <c r="E722">
        <v>3</v>
      </c>
      <c r="F722" s="4">
        <v>305.25</v>
      </c>
      <c r="G722" s="3">
        <v>0</v>
      </c>
      <c r="H722" s="4">
        <v>47.95</v>
      </c>
    </row>
    <row r="723" spans="1:8" x14ac:dyDescent="0.3">
      <c r="A723" s="1" t="s">
        <v>1022</v>
      </c>
      <c r="B723" s="2">
        <v>44812</v>
      </c>
      <c r="C723" s="1" t="s">
        <v>77</v>
      </c>
      <c r="D723" s="1" t="s">
        <v>143</v>
      </c>
      <c r="E723">
        <v>3</v>
      </c>
      <c r="F723" s="4">
        <v>743.84</v>
      </c>
      <c r="G723" s="3">
        <v>0.3</v>
      </c>
      <c r="H723" s="4">
        <v>42.23</v>
      </c>
    </row>
    <row r="724" spans="1:8" x14ac:dyDescent="0.3">
      <c r="A724" s="1" t="s">
        <v>1023</v>
      </c>
      <c r="B724" s="2">
        <v>45136</v>
      </c>
      <c r="C724" s="1" t="s">
        <v>102</v>
      </c>
      <c r="D724" s="1" t="s">
        <v>502</v>
      </c>
      <c r="E724">
        <v>2</v>
      </c>
      <c r="F724" s="4">
        <v>1624.91</v>
      </c>
      <c r="G724" s="3">
        <v>0.3</v>
      </c>
      <c r="H724" s="4">
        <v>399.53</v>
      </c>
    </row>
    <row r="725" spans="1:8" x14ac:dyDescent="0.3">
      <c r="A725" s="1" t="s">
        <v>1024</v>
      </c>
      <c r="B725" s="2">
        <v>45365</v>
      </c>
      <c r="C725" s="1" t="s">
        <v>800</v>
      </c>
      <c r="D725" s="1" t="s">
        <v>323</v>
      </c>
      <c r="E725">
        <v>4</v>
      </c>
      <c r="F725" s="4">
        <v>1186.8900000000001</v>
      </c>
      <c r="G725" s="3">
        <v>0.2</v>
      </c>
      <c r="H725" s="4">
        <v>62.46</v>
      </c>
    </row>
    <row r="726" spans="1:8" x14ac:dyDescent="0.3">
      <c r="A726" s="1" t="s">
        <v>1025</v>
      </c>
      <c r="B726" s="2">
        <v>45010</v>
      </c>
      <c r="C726" s="1" t="s">
        <v>380</v>
      </c>
      <c r="D726" s="1" t="s">
        <v>116</v>
      </c>
      <c r="E726">
        <v>1</v>
      </c>
      <c r="F726" s="4">
        <v>1074.07</v>
      </c>
      <c r="G726" s="3">
        <v>0</v>
      </c>
      <c r="H726" s="4">
        <v>258.27999999999997</v>
      </c>
    </row>
    <row r="727" spans="1:8" x14ac:dyDescent="0.3">
      <c r="A727" s="1" t="s">
        <v>1026</v>
      </c>
      <c r="B727" s="2">
        <v>44694</v>
      </c>
      <c r="C727" s="1" t="s">
        <v>468</v>
      </c>
      <c r="D727" s="1" t="s">
        <v>304</v>
      </c>
      <c r="E727">
        <v>1</v>
      </c>
      <c r="F727" s="4">
        <v>657.63</v>
      </c>
      <c r="G727" s="3">
        <v>0.1</v>
      </c>
      <c r="H727" s="4">
        <v>179.75</v>
      </c>
    </row>
    <row r="728" spans="1:8" x14ac:dyDescent="0.3">
      <c r="A728" s="1" t="s">
        <v>1027</v>
      </c>
      <c r="B728" s="2">
        <v>44919</v>
      </c>
      <c r="C728" s="1" t="s">
        <v>336</v>
      </c>
      <c r="D728" s="1" t="s">
        <v>372</v>
      </c>
      <c r="E728">
        <v>4</v>
      </c>
      <c r="F728" s="4">
        <v>1870.33</v>
      </c>
      <c r="G728" s="3">
        <v>0.1</v>
      </c>
      <c r="H728" s="4">
        <v>295.89999999999998</v>
      </c>
    </row>
    <row r="729" spans="1:8" x14ac:dyDescent="0.3">
      <c r="A729" s="1" t="s">
        <v>1028</v>
      </c>
      <c r="B729" s="2">
        <v>45213</v>
      </c>
      <c r="C729" s="1" t="s">
        <v>588</v>
      </c>
      <c r="D729" s="1" t="s">
        <v>13</v>
      </c>
      <c r="E729">
        <v>2</v>
      </c>
      <c r="F729" s="4">
        <v>854.33</v>
      </c>
      <c r="G729" s="3">
        <v>0.1</v>
      </c>
      <c r="H729" s="4">
        <v>157.1</v>
      </c>
    </row>
    <row r="730" spans="1:8" x14ac:dyDescent="0.3">
      <c r="A730" s="1" t="s">
        <v>1029</v>
      </c>
      <c r="B730" s="2">
        <v>44572</v>
      </c>
      <c r="C730" s="1" t="s">
        <v>723</v>
      </c>
      <c r="D730" s="1" t="s">
        <v>269</v>
      </c>
      <c r="E730">
        <v>3</v>
      </c>
      <c r="F730" s="4">
        <v>265.48</v>
      </c>
      <c r="G730" s="3">
        <v>0</v>
      </c>
      <c r="H730" s="4">
        <v>44.93</v>
      </c>
    </row>
    <row r="731" spans="1:8" x14ac:dyDescent="0.3">
      <c r="A731" s="1" t="s">
        <v>1030</v>
      </c>
      <c r="B731" s="2">
        <v>44736</v>
      </c>
      <c r="C731" s="1" t="s">
        <v>444</v>
      </c>
      <c r="D731" s="1" t="s">
        <v>170</v>
      </c>
      <c r="E731">
        <v>1</v>
      </c>
      <c r="F731" s="4">
        <v>1272.43</v>
      </c>
      <c r="G731" s="3">
        <v>0.1</v>
      </c>
      <c r="H731" s="4">
        <v>187.43</v>
      </c>
    </row>
    <row r="732" spans="1:8" x14ac:dyDescent="0.3">
      <c r="A732" s="1" t="s">
        <v>1031</v>
      </c>
      <c r="B732" s="2">
        <v>45028</v>
      </c>
      <c r="C732" s="1" t="s">
        <v>63</v>
      </c>
      <c r="D732" s="1" t="s">
        <v>215</v>
      </c>
      <c r="E732">
        <v>5</v>
      </c>
      <c r="F732" s="4">
        <v>316.29000000000002</v>
      </c>
      <c r="G732" s="3">
        <v>0.1</v>
      </c>
      <c r="H732" s="4">
        <v>85.99</v>
      </c>
    </row>
    <row r="733" spans="1:8" x14ac:dyDescent="0.3">
      <c r="A733" s="1" t="s">
        <v>1032</v>
      </c>
      <c r="B733" s="2">
        <v>44847</v>
      </c>
      <c r="C733" s="1" t="s">
        <v>145</v>
      </c>
      <c r="D733" s="1" t="s">
        <v>130</v>
      </c>
      <c r="E733">
        <v>5</v>
      </c>
      <c r="F733" s="4">
        <v>755.92</v>
      </c>
      <c r="G733" s="3">
        <v>0.1</v>
      </c>
      <c r="H733" s="4">
        <v>206.73</v>
      </c>
    </row>
    <row r="734" spans="1:8" x14ac:dyDescent="0.3">
      <c r="A734" s="1" t="s">
        <v>1033</v>
      </c>
      <c r="B734" s="2">
        <v>44945</v>
      </c>
      <c r="C734" s="1" t="s">
        <v>482</v>
      </c>
      <c r="D734" s="1" t="s">
        <v>288</v>
      </c>
      <c r="E734">
        <v>4</v>
      </c>
      <c r="F734" s="4">
        <v>1064.08</v>
      </c>
      <c r="G734" s="3">
        <v>0.2</v>
      </c>
      <c r="H734" s="4">
        <v>142.54</v>
      </c>
    </row>
    <row r="735" spans="1:8" x14ac:dyDescent="0.3">
      <c r="A735" s="1" t="s">
        <v>1034</v>
      </c>
      <c r="B735" s="2">
        <v>45353</v>
      </c>
      <c r="C735" s="1" t="s">
        <v>292</v>
      </c>
      <c r="D735" s="1" t="s">
        <v>263</v>
      </c>
      <c r="E735">
        <v>2</v>
      </c>
      <c r="F735" s="4">
        <v>1761.02</v>
      </c>
      <c r="G735" s="3">
        <v>0.2</v>
      </c>
      <c r="H735" s="4">
        <v>358.84</v>
      </c>
    </row>
    <row r="736" spans="1:8" x14ac:dyDescent="0.3">
      <c r="A736" s="1" t="s">
        <v>1035</v>
      </c>
      <c r="B736" s="2">
        <v>44722</v>
      </c>
      <c r="C736" s="1" t="s">
        <v>468</v>
      </c>
      <c r="D736" s="1" t="s">
        <v>263</v>
      </c>
      <c r="E736">
        <v>1</v>
      </c>
      <c r="F736" s="4">
        <v>1037.74</v>
      </c>
      <c r="G736" s="3">
        <v>0</v>
      </c>
      <c r="H736" s="4">
        <v>292.36</v>
      </c>
    </row>
    <row r="737" spans="1:8" x14ac:dyDescent="0.3">
      <c r="A737" s="1" t="s">
        <v>1036</v>
      </c>
      <c r="B737" s="2">
        <v>45174</v>
      </c>
      <c r="C737" s="1" t="s">
        <v>328</v>
      </c>
      <c r="D737" s="1" t="s">
        <v>132</v>
      </c>
      <c r="E737">
        <v>2</v>
      </c>
      <c r="F737" s="4">
        <v>1434.29</v>
      </c>
      <c r="G737" s="3">
        <v>0</v>
      </c>
      <c r="H737" s="4">
        <v>416.68</v>
      </c>
    </row>
    <row r="738" spans="1:8" x14ac:dyDescent="0.3">
      <c r="A738" s="1" t="s">
        <v>1037</v>
      </c>
      <c r="B738" s="2">
        <v>44825</v>
      </c>
      <c r="C738" s="1" t="s">
        <v>134</v>
      </c>
      <c r="D738" s="1" t="s">
        <v>54</v>
      </c>
      <c r="E738">
        <v>1</v>
      </c>
      <c r="F738" s="4">
        <v>1986.35</v>
      </c>
      <c r="G738" s="3">
        <v>0.1</v>
      </c>
      <c r="H738" s="4">
        <v>352.06</v>
      </c>
    </row>
    <row r="739" spans="1:8" x14ac:dyDescent="0.3">
      <c r="A739" s="1" t="s">
        <v>1038</v>
      </c>
      <c r="B739" s="2">
        <v>44972</v>
      </c>
      <c r="C739" s="1" t="s">
        <v>569</v>
      </c>
      <c r="D739" s="1" t="s">
        <v>309</v>
      </c>
      <c r="E739">
        <v>4</v>
      </c>
      <c r="F739" s="4">
        <v>349.83</v>
      </c>
      <c r="G739" s="3">
        <v>0.2</v>
      </c>
      <c r="H739" s="4">
        <v>57.09</v>
      </c>
    </row>
    <row r="740" spans="1:8" x14ac:dyDescent="0.3">
      <c r="A740" s="1" t="s">
        <v>1039</v>
      </c>
      <c r="B740" s="2">
        <v>45014</v>
      </c>
      <c r="C740" s="1" t="s">
        <v>391</v>
      </c>
      <c r="D740" s="1" t="s">
        <v>61</v>
      </c>
      <c r="E740">
        <v>4</v>
      </c>
      <c r="F740" s="4">
        <v>621.99</v>
      </c>
      <c r="G740" s="3">
        <v>0.3</v>
      </c>
      <c r="H740" s="4">
        <v>74.44</v>
      </c>
    </row>
    <row r="741" spans="1:8" x14ac:dyDescent="0.3">
      <c r="A741" s="1" t="s">
        <v>1040</v>
      </c>
      <c r="B741" s="2">
        <v>44685</v>
      </c>
      <c r="C741" s="1" t="s">
        <v>136</v>
      </c>
      <c r="D741" s="1" t="s">
        <v>372</v>
      </c>
      <c r="E741">
        <v>5</v>
      </c>
      <c r="F741" s="4">
        <v>849.69</v>
      </c>
      <c r="G741" s="3">
        <v>0.3</v>
      </c>
      <c r="H741" s="4">
        <v>246.17</v>
      </c>
    </row>
    <row r="742" spans="1:8" x14ac:dyDescent="0.3">
      <c r="A742" s="1" t="s">
        <v>1041</v>
      </c>
      <c r="B742" s="2">
        <v>44852</v>
      </c>
      <c r="C742" s="1" t="s">
        <v>228</v>
      </c>
      <c r="D742" s="1" t="s">
        <v>83</v>
      </c>
      <c r="E742">
        <v>2</v>
      </c>
      <c r="F742" s="4">
        <v>901.47</v>
      </c>
      <c r="G742" s="3">
        <v>0.1</v>
      </c>
      <c r="H742" s="4">
        <v>77.260000000000005</v>
      </c>
    </row>
    <row r="743" spans="1:8" x14ac:dyDescent="0.3">
      <c r="A743" s="1" t="s">
        <v>1042</v>
      </c>
      <c r="B743" s="2">
        <v>44909</v>
      </c>
      <c r="C743" s="1" t="s">
        <v>1043</v>
      </c>
      <c r="D743" s="1" t="s">
        <v>34</v>
      </c>
      <c r="E743">
        <v>5</v>
      </c>
      <c r="F743" s="4">
        <v>880.94</v>
      </c>
      <c r="G743" s="3">
        <v>0.1</v>
      </c>
      <c r="H743" s="4">
        <v>171.75</v>
      </c>
    </row>
    <row r="744" spans="1:8" x14ac:dyDescent="0.3">
      <c r="A744" s="1" t="s">
        <v>1044</v>
      </c>
      <c r="B744" s="2">
        <v>45277</v>
      </c>
      <c r="C744" s="1" t="s">
        <v>88</v>
      </c>
      <c r="D744" s="1" t="s">
        <v>143</v>
      </c>
      <c r="E744">
        <v>2</v>
      </c>
      <c r="F744" s="4">
        <v>1824.46</v>
      </c>
      <c r="G744" s="3">
        <v>0.2</v>
      </c>
      <c r="H744" s="4">
        <v>220.1</v>
      </c>
    </row>
    <row r="745" spans="1:8" x14ac:dyDescent="0.3">
      <c r="A745" s="1" t="s">
        <v>1045</v>
      </c>
      <c r="B745" s="2">
        <v>45028</v>
      </c>
      <c r="C745" s="1" t="s">
        <v>167</v>
      </c>
      <c r="D745" s="1" t="s">
        <v>156</v>
      </c>
      <c r="E745">
        <v>5</v>
      </c>
      <c r="F745" s="4">
        <v>1456.66</v>
      </c>
      <c r="G745" s="3">
        <v>0.2</v>
      </c>
      <c r="H745" s="4">
        <v>174.44</v>
      </c>
    </row>
    <row r="746" spans="1:8" x14ac:dyDescent="0.3">
      <c r="A746" s="1" t="s">
        <v>1046</v>
      </c>
      <c r="B746" s="2">
        <v>44705</v>
      </c>
      <c r="C746" s="1" t="s">
        <v>158</v>
      </c>
      <c r="D746" s="1" t="s">
        <v>309</v>
      </c>
      <c r="E746">
        <v>3</v>
      </c>
      <c r="F746" s="4">
        <v>1255.02</v>
      </c>
      <c r="G746" s="3">
        <v>0.2</v>
      </c>
      <c r="H746" s="4">
        <v>189.81</v>
      </c>
    </row>
    <row r="747" spans="1:8" x14ac:dyDescent="0.3">
      <c r="A747" s="1" t="s">
        <v>1047</v>
      </c>
      <c r="B747" s="2">
        <v>44768</v>
      </c>
      <c r="C747" s="1" t="s">
        <v>30</v>
      </c>
      <c r="D747" s="1" t="s">
        <v>585</v>
      </c>
      <c r="E747">
        <v>3</v>
      </c>
      <c r="F747" s="4">
        <v>687.81</v>
      </c>
      <c r="G747" s="3">
        <v>0</v>
      </c>
      <c r="H747" s="4">
        <v>206.14</v>
      </c>
    </row>
    <row r="748" spans="1:8" x14ac:dyDescent="0.3">
      <c r="A748" s="1" t="s">
        <v>1048</v>
      </c>
      <c r="B748" s="2">
        <v>44906</v>
      </c>
      <c r="C748" s="1" t="s">
        <v>697</v>
      </c>
      <c r="D748" s="1" t="s">
        <v>34</v>
      </c>
      <c r="E748">
        <v>3</v>
      </c>
      <c r="F748" s="4">
        <v>1665.2</v>
      </c>
      <c r="G748" s="3">
        <v>0</v>
      </c>
      <c r="H748" s="4">
        <v>106.14</v>
      </c>
    </row>
    <row r="749" spans="1:8" x14ac:dyDescent="0.3">
      <c r="A749" s="1" t="s">
        <v>1049</v>
      </c>
      <c r="B749" s="2">
        <v>44925</v>
      </c>
      <c r="C749" s="1" t="s">
        <v>271</v>
      </c>
      <c r="D749" s="1" t="s">
        <v>86</v>
      </c>
      <c r="E749">
        <v>3</v>
      </c>
      <c r="F749" s="4">
        <v>1914.61</v>
      </c>
      <c r="G749" s="3">
        <v>0.1</v>
      </c>
      <c r="H749" s="4">
        <v>372.65</v>
      </c>
    </row>
    <row r="750" spans="1:8" x14ac:dyDescent="0.3">
      <c r="A750" s="1" t="s">
        <v>1050</v>
      </c>
      <c r="B750" s="2">
        <v>45031</v>
      </c>
      <c r="C750" s="1" t="s">
        <v>338</v>
      </c>
      <c r="D750" s="1" t="s">
        <v>455</v>
      </c>
      <c r="E750">
        <v>1</v>
      </c>
      <c r="F750" s="4">
        <v>1660.28</v>
      </c>
      <c r="G750" s="3">
        <v>0</v>
      </c>
      <c r="H750" s="4">
        <v>117.29</v>
      </c>
    </row>
    <row r="751" spans="1:8" x14ac:dyDescent="0.3">
      <c r="A751" s="1" t="s">
        <v>1051</v>
      </c>
      <c r="B751" s="2">
        <v>45407</v>
      </c>
      <c r="C751" s="1" t="s">
        <v>154</v>
      </c>
      <c r="D751" s="1" t="s">
        <v>43</v>
      </c>
      <c r="E751">
        <v>3</v>
      </c>
      <c r="F751" s="4">
        <v>102.97</v>
      </c>
      <c r="G751" s="3">
        <v>0.2</v>
      </c>
      <c r="H751" s="4">
        <v>9.1300000000000008</v>
      </c>
    </row>
    <row r="752" spans="1:8" x14ac:dyDescent="0.3">
      <c r="A752" s="1" t="s">
        <v>1052</v>
      </c>
      <c r="B752" s="2">
        <v>44619</v>
      </c>
      <c r="C752" s="1" t="s">
        <v>671</v>
      </c>
      <c r="D752" s="1" t="s">
        <v>10</v>
      </c>
      <c r="E752">
        <v>4</v>
      </c>
      <c r="F752" s="4">
        <v>1309.1600000000001</v>
      </c>
      <c r="G752" s="3">
        <v>0.2</v>
      </c>
      <c r="H752" s="4">
        <v>209.32</v>
      </c>
    </row>
    <row r="753" spans="1:8" x14ac:dyDescent="0.3">
      <c r="A753" s="1" t="s">
        <v>1053</v>
      </c>
      <c r="B753" s="2">
        <v>45248</v>
      </c>
      <c r="C753" s="1" t="s">
        <v>678</v>
      </c>
      <c r="D753" s="1" t="s">
        <v>22</v>
      </c>
      <c r="E753">
        <v>4</v>
      </c>
      <c r="F753" s="4">
        <v>197.16</v>
      </c>
      <c r="G753" s="3">
        <v>0</v>
      </c>
      <c r="H753" s="4">
        <v>35.020000000000003</v>
      </c>
    </row>
    <row r="754" spans="1:8" x14ac:dyDescent="0.3">
      <c r="A754" s="1" t="s">
        <v>1054</v>
      </c>
      <c r="B754" s="2">
        <v>45344</v>
      </c>
      <c r="C754" s="1" t="s">
        <v>27</v>
      </c>
      <c r="D754" s="1" t="s">
        <v>37</v>
      </c>
      <c r="E754">
        <v>1</v>
      </c>
      <c r="F754" s="4">
        <v>589.45000000000005</v>
      </c>
      <c r="G754" s="3">
        <v>0.3</v>
      </c>
      <c r="H754" s="4">
        <v>67.61</v>
      </c>
    </row>
    <row r="755" spans="1:8" x14ac:dyDescent="0.3">
      <c r="A755" s="1" t="s">
        <v>1055</v>
      </c>
      <c r="B755" s="2">
        <v>44654</v>
      </c>
      <c r="C755" s="1" t="s">
        <v>1056</v>
      </c>
      <c r="D755" s="1" t="s">
        <v>130</v>
      </c>
      <c r="E755">
        <v>3</v>
      </c>
      <c r="F755" s="4">
        <v>213.1</v>
      </c>
      <c r="G755" s="3">
        <v>0.1</v>
      </c>
      <c r="H755" s="4">
        <v>27.51</v>
      </c>
    </row>
    <row r="756" spans="1:8" x14ac:dyDescent="0.3">
      <c r="A756" s="1" t="s">
        <v>1057</v>
      </c>
      <c r="B756" s="2">
        <v>45310</v>
      </c>
      <c r="C756" s="1" t="s">
        <v>1056</v>
      </c>
      <c r="D756" s="1" t="s">
        <v>67</v>
      </c>
      <c r="E756">
        <v>3</v>
      </c>
      <c r="F756" s="4">
        <v>1247.21</v>
      </c>
      <c r="G756" s="3">
        <v>0.3</v>
      </c>
      <c r="H756" s="4">
        <v>89.48</v>
      </c>
    </row>
    <row r="757" spans="1:8" x14ac:dyDescent="0.3">
      <c r="A757" s="1" t="s">
        <v>1058</v>
      </c>
      <c r="B757" s="2">
        <v>44628</v>
      </c>
      <c r="C757" s="1" t="s">
        <v>777</v>
      </c>
      <c r="D757" s="1" t="s">
        <v>64</v>
      </c>
      <c r="E757">
        <v>3</v>
      </c>
      <c r="F757" s="4">
        <v>1404.52</v>
      </c>
      <c r="G757" s="3">
        <v>0.1</v>
      </c>
      <c r="H757" s="4">
        <v>176.7</v>
      </c>
    </row>
    <row r="758" spans="1:8" x14ac:dyDescent="0.3">
      <c r="A758" s="1" t="s">
        <v>1059</v>
      </c>
      <c r="B758" s="2">
        <v>44749</v>
      </c>
      <c r="C758" s="1" t="s">
        <v>172</v>
      </c>
      <c r="D758" s="1" t="s">
        <v>186</v>
      </c>
      <c r="E758">
        <v>5</v>
      </c>
      <c r="F758" s="4">
        <v>317.52999999999997</v>
      </c>
      <c r="G758" s="3">
        <v>0.3</v>
      </c>
      <c r="H758" s="4">
        <v>92.6</v>
      </c>
    </row>
    <row r="759" spans="1:8" x14ac:dyDescent="0.3">
      <c r="A759" s="1" t="s">
        <v>1060</v>
      </c>
      <c r="B759" s="2">
        <v>44938</v>
      </c>
      <c r="C759" s="1" t="s">
        <v>1061</v>
      </c>
      <c r="D759" s="1" t="s">
        <v>269</v>
      </c>
      <c r="E759">
        <v>2</v>
      </c>
      <c r="F759" s="4">
        <v>829.29</v>
      </c>
      <c r="G759" s="3">
        <v>0</v>
      </c>
      <c r="H759" s="4">
        <v>237.32</v>
      </c>
    </row>
    <row r="760" spans="1:8" x14ac:dyDescent="0.3">
      <c r="A760" s="1" t="s">
        <v>1062</v>
      </c>
      <c r="B760" s="2">
        <v>45460</v>
      </c>
      <c r="C760" s="1" t="s">
        <v>268</v>
      </c>
      <c r="D760" s="1" t="s">
        <v>37</v>
      </c>
      <c r="E760">
        <v>5</v>
      </c>
      <c r="F760" s="4">
        <v>966.85</v>
      </c>
      <c r="G760" s="3">
        <v>0.1</v>
      </c>
      <c r="H760" s="4">
        <v>129.29</v>
      </c>
    </row>
    <row r="761" spans="1:8" x14ac:dyDescent="0.3">
      <c r="A761" s="1" t="s">
        <v>1063</v>
      </c>
      <c r="B761" s="2">
        <v>45422</v>
      </c>
      <c r="C761" s="1" t="s">
        <v>338</v>
      </c>
      <c r="D761" s="1" t="s">
        <v>369</v>
      </c>
      <c r="E761">
        <v>2</v>
      </c>
      <c r="F761" s="4">
        <v>801.2</v>
      </c>
      <c r="G761" s="3">
        <v>0.1</v>
      </c>
      <c r="H761" s="4">
        <v>154.4</v>
      </c>
    </row>
    <row r="762" spans="1:8" x14ac:dyDescent="0.3">
      <c r="A762" s="1" t="s">
        <v>1064</v>
      </c>
      <c r="B762" s="2">
        <v>44736</v>
      </c>
      <c r="C762" s="1" t="s">
        <v>99</v>
      </c>
      <c r="D762" s="1" t="s">
        <v>10</v>
      </c>
      <c r="E762">
        <v>3</v>
      </c>
      <c r="F762" s="4">
        <v>329.95</v>
      </c>
      <c r="G762" s="3">
        <v>0.1</v>
      </c>
      <c r="H762" s="4">
        <v>91.53</v>
      </c>
    </row>
    <row r="763" spans="1:8" x14ac:dyDescent="0.3">
      <c r="A763" s="1" t="s">
        <v>1065</v>
      </c>
      <c r="B763" s="2">
        <v>45451</v>
      </c>
      <c r="C763" s="1" t="s">
        <v>246</v>
      </c>
      <c r="D763" s="1" t="s">
        <v>147</v>
      </c>
      <c r="E763">
        <v>3</v>
      </c>
      <c r="F763" s="4">
        <v>896</v>
      </c>
      <c r="G763" s="3">
        <v>0.2</v>
      </c>
      <c r="H763" s="4">
        <v>46.19</v>
      </c>
    </row>
    <row r="764" spans="1:8" x14ac:dyDescent="0.3">
      <c r="A764" s="1" t="s">
        <v>1066</v>
      </c>
      <c r="B764" s="2">
        <v>44798</v>
      </c>
      <c r="C764" s="1" t="s">
        <v>425</v>
      </c>
      <c r="D764" s="1" t="s">
        <v>111</v>
      </c>
      <c r="E764">
        <v>5</v>
      </c>
      <c r="F764" s="4">
        <v>1527.24</v>
      </c>
      <c r="G764" s="3">
        <v>0.2</v>
      </c>
      <c r="H764" s="4">
        <v>385.89</v>
      </c>
    </row>
    <row r="765" spans="1:8" x14ac:dyDescent="0.3">
      <c r="A765" s="1" t="s">
        <v>1067</v>
      </c>
      <c r="B765" s="2">
        <v>45049</v>
      </c>
      <c r="C765" s="1" t="s">
        <v>27</v>
      </c>
      <c r="D765" s="1" t="s">
        <v>304</v>
      </c>
      <c r="E765">
        <v>5</v>
      </c>
      <c r="F765" s="4">
        <v>234.91</v>
      </c>
      <c r="G765" s="3">
        <v>0.3</v>
      </c>
      <c r="H765" s="4">
        <v>67.44</v>
      </c>
    </row>
    <row r="766" spans="1:8" x14ac:dyDescent="0.3">
      <c r="A766" s="1" t="s">
        <v>1068</v>
      </c>
      <c r="B766" s="2">
        <v>45116</v>
      </c>
      <c r="C766" s="1" t="s">
        <v>145</v>
      </c>
      <c r="D766" s="1" t="s">
        <v>314</v>
      </c>
      <c r="E766">
        <v>2</v>
      </c>
      <c r="F766" s="4">
        <v>252.34</v>
      </c>
      <c r="G766" s="3">
        <v>0</v>
      </c>
      <c r="H766" s="4">
        <v>18.38</v>
      </c>
    </row>
    <row r="767" spans="1:8" x14ac:dyDescent="0.3">
      <c r="A767" s="1" t="s">
        <v>1069</v>
      </c>
      <c r="B767" s="2">
        <v>45196</v>
      </c>
      <c r="C767" s="1" t="s">
        <v>396</v>
      </c>
      <c r="D767" s="1" t="s">
        <v>256</v>
      </c>
      <c r="E767">
        <v>4</v>
      </c>
      <c r="F767" s="4">
        <v>774.07</v>
      </c>
      <c r="G767" s="3">
        <v>0.2</v>
      </c>
      <c r="H767" s="4">
        <v>69.95</v>
      </c>
    </row>
    <row r="768" spans="1:8" x14ac:dyDescent="0.3">
      <c r="A768" s="1" t="s">
        <v>1070</v>
      </c>
      <c r="B768" s="2">
        <v>44925</v>
      </c>
      <c r="C768" s="1" t="s">
        <v>380</v>
      </c>
      <c r="D768" s="1" t="s">
        <v>127</v>
      </c>
      <c r="E768">
        <v>2</v>
      </c>
      <c r="F768" s="4">
        <v>1889.28</v>
      </c>
      <c r="G768" s="3">
        <v>0.1</v>
      </c>
      <c r="H768" s="4">
        <v>548.24</v>
      </c>
    </row>
    <row r="769" spans="1:8" x14ac:dyDescent="0.3">
      <c r="A769" s="1" t="s">
        <v>1071</v>
      </c>
      <c r="B769" s="2">
        <v>44782</v>
      </c>
      <c r="C769" s="1" t="s">
        <v>102</v>
      </c>
      <c r="D769" s="1" t="s">
        <v>314</v>
      </c>
      <c r="E769">
        <v>5</v>
      </c>
      <c r="F769" s="4">
        <v>1370.29</v>
      </c>
      <c r="G769" s="3">
        <v>0.2</v>
      </c>
      <c r="H769" s="4">
        <v>252.66</v>
      </c>
    </row>
    <row r="770" spans="1:8" x14ac:dyDescent="0.3">
      <c r="A770" s="1" t="s">
        <v>1072</v>
      </c>
      <c r="B770" s="2">
        <v>44599</v>
      </c>
      <c r="C770" s="1" t="s">
        <v>444</v>
      </c>
      <c r="D770" s="1" t="s">
        <v>455</v>
      </c>
      <c r="E770">
        <v>5</v>
      </c>
      <c r="F770" s="4">
        <v>1389.47</v>
      </c>
      <c r="G770" s="3">
        <v>0</v>
      </c>
      <c r="H770" s="4">
        <v>74.400000000000006</v>
      </c>
    </row>
    <row r="771" spans="1:8" x14ac:dyDescent="0.3">
      <c r="A771" s="1" t="s">
        <v>1073</v>
      </c>
      <c r="B771" s="2">
        <v>44688</v>
      </c>
      <c r="C771" s="1" t="s">
        <v>321</v>
      </c>
      <c r="D771" s="1" t="s">
        <v>37</v>
      </c>
      <c r="E771">
        <v>1</v>
      </c>
      <c r="F771" s="4">
        <v>787.65</v>
      </c>
      <c r="G771" s="3">
        <v>0.2</v>
      </c>
      <c r="H771" s="4">
        <v>90.11</v>
      </c>
    </row>
    <row r="772" spans="1:8" x14ac:dyDescent="0.3">
      <c r="A772" s="1" t="s">
        <v>1074</v>
      </c>
      <c r="B772" s="2">
        <v>44625</v>
      </c>
      <c r="C772" s="1" t="s">
        <v>622</v>
      </c>
      <c r="D772" s="1" t="s">
        <v>603</v>
      </c>
      <c r="E772">
        <v>5</v>
      </c>
      <c r="F772" s="4">
        <v>1227.96</v>
      </c>
      <c r="G772" s="3">
        <v>0.1</v>
      </c>
      <c r="H772" s="4">
        <v>199.53</v>
      </c>
    </row>
    <row r="773" spans="1:8" x14ac:dyDescent="0.3">
      <c r="A773" s="1" t="s">
        <v>1075</v>
      </c>
      <c r="B773" s="2">
        <v>44683</v>
      </c>
      <c r="C773" s="1" t="s">
        <v>598</v>
      </c>
      <c r="D773" s="1" t="s">
        <v>170</v>
      </c>
      <c r="E773">
        <v>1</v>
      </c>
      <c r="F773" s="4">
        <v>119.25</v>
      </c>
      <c r="G773" s="3">
        <v>0.3</v>
      </c>
      <c r="H773" s="4">
        <v>26.62</v>
      </c>
    </row>
    <row r="774" spans="1:8" x14ac:dyDescent="0.3">
      <c r="A774" s="1" t="s">
        <v>1076</v>
      </c>
      <c r="B774" s="2">
        <v>44647</v>
      </c>
      <c r="C774" s="1" t="s">
        <v>434</v>
      </c>
      <c r="D774" s="1" t="s">
        <v>341</v>
      </c>
      <c r="E774">
        <v>4</v>
      </c>
      <c r="F774" s="4">
        <v>1308.58</v>
      </c>
      <c r="G774" s="3">
        <v>0.1</v>
      </c>
      <c r="H774" s="4">
        <v>305.27999999999997</v>
      </c>
    </row>
    <row r="775" spans="1:8" x14ac:dyDescent="0.3">
      <c r="A775" s="1" t="s">
        <v>1077</v>
      </c>
      <c r="B775" s="2">
        <v>45235</v>
      </c>
      <c r="C775" s="1" t="s">
        <v>330</v>
      </c>
      <c r="D775" s="1" t="s">
        <v>75</v>
      </c>
      <c r="E775">
        <v>2</v>
      </c>
      <c r="F775" s="4">
        <v>1835.25</v>
      </c>
      <c r="G775" s="3">
        <v>0</v>
      </c>
      <c r="H775" s="4">
        <v>548.47</v>
      </c>
    </row>
    <row r="776" spans="1:8" x14ac:dyDescent="0.3">
      <c r="A776" s="1" t="s">
        <v>1078</v>
      </c>
      <c r="B776" s="2">
        <v>44743</v>
      </c>
      <c r="C776" s="1" t="s">
        <v>39</v>
      </c>
      <c r="D776" s="1" t="s">
        <v>34</v>
      </c>
      <c r="E776">
        <v>2</v>
      </c>
      <c r="F776" s="4">
        <v>1263.8900000000001</v>
      </c>
      <c r="G776" s="3">
        <v>0.3</v>
      </c>
      <c r="H776" s="4">
        <v>154.04</v>
      </c>
    </row>
    <row r="777" spans="1:8" x14ac:dyDescent="0.3">
      <c r="A777" s="1" t="s">
        <v>1079</v>
      </c>
      <c r="B777" s="2">
        <v>44995</v>
      </c>
      <c r="C777" s="1" t="s">
        <v>1043</v>
      </c>
      <c r="D777" s="1" t="s">
        <v>301</v>
      </c>
      <c r="E777">
        <v>1</v>
      </c>
      <c r="F777" s="4">
        <v>1760.03</v>
      </c>
      <c r="G777" s="3">
        <v>0.2</v>
      </c>
      <c r="H777" s="4">
        <v>324.82</v>
      </c>
    </row>
    <row r="778" spans="1:8" x14ac:dyDescent="0.3">
      <c r="A778" s="1" t="s">
        <v>1080</v>
      </c>
      <c r="B778" s="2">
        <v>44672</v>
      </c>
      <c r="C778" s="1" t="s">
        <v>1081</v>
      </c>
      <c r="D778" s="1" t="s">
        <v>34</v>
      </c>
      <c r="E778">
        <v>2</v>
      </c>
      <c r="F778" s="4">
        <v>1475.55</v>
      </c>
      <c r="G778" s="3">
        <v>0.2</v>
      </c>
      <c r="H778" s="4">
        <v>270.51</v>
      </c>
    </row>
    <row r="779" spans="1:8" x14ac:dyDescent="0.3">
      <c r="A779" s="1" t="s">
        <v>1082</v>
      </c>
      <c r="B779" s="2">
        <v>44574</v>
      </c>
      <c r="C779" s="1" t="s">
        <v>487</v>
      </c>
      <c r="D779" s="1" t="s">
        <v>16</v>
      </c>
      <c r="E779">
        <v>5</v>
      </c>
      <c r="F779" s="4">
        <v>329.06</v>
      </c>
      <c r="G779" s="3">
        <v>0.2</v>
      </c>
      <c r="H779" s="4">
        <v>49.82</v>
      </c>
    </row>
    <row r="780" spans="1:8" x14ac:dyDescent="0.3">
      <c r="A780" s="1" t="s">
        <v>1083</v>
      </c>
      <c r="B780" s="2">
        <v>44629</v>
      </c>
      <c r="C780" s="1" t="s">
        <v>30</v>
      </c>
      <c r="D780" s="1" t="s">
        <v>100</v>
      </c>
      <c r="E780">
        <v>3</v>
      </c>
      <c r="F780" s="4">
        <v>1814.66</v>
      </c>
      <c r="G780" s="3">
        <v>0.3</v>
      </c>
      <c r="H780" s="4">
        <v>167.48</v>
      </c>
    </row>
    <row r="781" spans="1:8" x14ac:dyDescent="0.3">
      <c r="A781" s="1" t="s">
        <v>1084</v>
      </c>
      <c r="B781" s="2">
        <v>45140</v>
      </c>
      <c r="C781" s="1" t="s">
        <v>273</v>
      </c>
      <c r="D781" s="1" t="s">
        <v>242</v>
      </c>
      <c r="E781">
        <v>1</v>
      </c>
      <c r="F781" s="4">
        <v>226.24</v>
      </c>
      <c r="G781" s="3">
        <v>0.1</v>
      </c>
      <c r="H781" s="4">
        <v>66.599999999999994</v>
      </c>
    </row>
    <row r="782" spans="1:8" x14ac:dyDescent="0.3">
      <c r="A782" s="1" t="s">
        <v>1085</v>
      </c>
      <c r="B782" s="2">
        <v>45003</v>
      </c>
      <c r="C782" s="1" t="s">
        <v>529</v>
      </c>
      <c r="D782" s="1" t="s">
        <v>92</v>
      </c>
      <c r="E782">
        <v>2</v>
      </c>
      <c r="F782" s="4">
        <v>1114.54</v>
      </c>
      <c r="G782" s="3">
        <v>0.3</v>
      </c>
      <c r="H782" s="4">
        <v>293.49</v>
      </c>
    </row>
    <row r="783" spans="1:8" x14ac:dyDescent="0.3">
      <c r="A783" s="1" t="s">
        <v>1086</v>
      </c>
      <c r="B783" s="2">
        <v>45195</v>
      </c>
      <c r="C783" s="1" t="s">
        <v>388</v>
      </c>
      <c r="D783" s="1" t="s">
        <v>242</v>
      </c>
      <c r="E783">
        <v>1</v>
      </c>
      <c r="F783" s="4">
        <v>370.06</v>
      </c>
      <c r="G783" s="3">
        <v>0.3</v>
      </c>
      <c r="H783" s="4">
        <v>64.61</v>
      </c>
    </row>
    <row r="784" spans="1:8" x14ac:dyDescent="0.3">
      <c r="A784" s="1" t="s">
        <v>1087</v>
      </c>
      <c r="B784" s="2">
        <v>44957</v>
      </c>
      <c r="C784" s="1" t="s">
        <v>91</v>
      </c>
      <c r="D784" s="1" t="s">
        <v>119</v>
      </c>
      <c r="E784">
        <v>1</v>
      </c>
      <c r="F784" s="4">
        <v>122.24</v>
      </c>
      <c r="G784" s="3">
        <v>0</v>
      </c>
      <c r="H784" s="4">
        <v>24.55</v>
      </c>
    </row>
    <row r="785" spans="1:8" x14ac:dyDescent="0.3">
      <c r="A785" s="1" t="s">
        <v>1088</v>
      </c>
      <c r="B785" s="2">
        <v>45300</v>
      </c>
      <c r="C785" s="1" t="s">
        <v>526</v>
      </c>
      <c r="D785" s="1" t="s">
        <v>201</v>
      </c>
      <c r="E785">
        <v>3</v>
      </c>
      <c r="F785" s="4">
        <v>901.87</v>
      </c>
      <c r="G785" s="3">
        <v>0.3</v>
      </c>
      <c r="H785" s="4">
        <v>96.33</v>
      </c>
    </row>
    <row r="786" spans="1:8" x14ac:dyDescent="0.3">
      <c r="A786" s="1" t="s">
        <v>1089</v>
      </c>
      <c r="B786" s="2">
        <v>44662</v>
      </c>
      <c r="C786" s="1" t="s">
        <v>978</v>
      </c>
      <c r="D786" s="1" t="s">
        <v>86</v>
      </c>
      <c r="E786">
        <v>5</v>
      </c>
      <c r="F786" s="4">
        <v>660.58</v>
      </c>
      <c r="G786" s="3">
        <v>0.2</v>
      </c>
      <c r="H786" s="4">
        <v>122.83</v>
      </c>
    </row>
    <row r="787" spans="1:8" x14ac:dyDescent="0.3">
      <c r="A787" s="1" t="s">
        <v>1090</v>
      </c>
      <c r="B787" s="2">
        <v>44616</v>
      </c>
      <c r="C787" s="1" t="s">
        <v>179</v>
      </c>
      <c r="D787" s="1" t="s">
        <v>61</v>
      </c>
      <c r="E787">
        <v>1</v>
      </c>
      <c r="F787" s="4">
        <v>1023.4</v>
      </c>
      <c r="G787" s="3">
        <v>0.1</v>
      </c>
      <c r="H787" s="4">
        <v>228.98</v>
      </c>
    </row>
    <row r="788" spans="1:8" x14ac:dyDescent="0.3">
      <c r="A788" s="1" t="s">
        <v>1091</v>
      </c>
      <c r="B788" s="2">
        <v>45419</v>
      </c>
      <c r="C788" s="1" t="s">
        <v>192</v>
      </c>
      <c r="D788" s="1" t="s">
        <v>40</v>
      </c>
      <c r="E788">
        <v>2</v>
      </c>
      <c r="F788" s="4">
        <v>1196.68</v>
      </c>
      <c r="G788" s="3">
        <v>0.1</v>
      </c>
      <c r="H788" s="4">
        <v>213.96</v>
      </c>
    </row>
    <row r="789" spans="1:8" x14ac:dyDescent="0.3">
      <c r="A789" s="1" t="s">
        <v>1092</v>
      </c>
      <c r="B789" s="2">
        <v>44961</v>
      </c>
      <c r="C789" s="1" t="s">
        <v>1093</v>
      </c>
      <c r="D789" s="1" t="s">
        <v>369</v>
      </c>
      <c r="E789">
        <v>4</v>
      </c>
      <c r="F789" s="4">
        <v>183.1</v>
      </c>
      <c r="G789" s="3">
        <v>0.1</v>
      </c>
      <c r="H789" s="4">
        <v>54.49</v>
      </c>
    </row>
    <row r="790" spans="1:8" x14ac:dyDescent="0.3">
      <c r="A790" s="1" t="s">
        <v>1094</v>
      </c>
      <c r="B790" s="2">
        <v>44729</v>
      </c>
      <c r="C790" s="1" t="s">
        <v>179</v>
      </c>
      <c r="D790" s="1" t="s">
        <v>301</v>
      </c>
      <c r="E790">
        <v>1</v>
      </c>
      <c r="F790" s="4">
        <v>333.71</v>
      </c>
      <c r="G790" s="3">
        <v>0.2</v>
      </c>
      <c r="H790" s="4">
        <v>67.69</v>
      </c>
    </row>
    <row r="791" spans="1:8" x14ac:dyDescent="0.3">
      <c r="A791" s="1" t="s">
        <v>1095</v>
      </c>
      <c r="B791" s="2">
        <v>44617</v>
      </c>
      <c r="C791" s="1" t="s">
        <v>729</v>
      </c>
      <c r="D791" s="1" t="s">
        <v>226</v>
      </c>
      <c r="E791">
        <v>1</v>
      </c>
      <c r="F791" s="4">
        <v>1161.42</v>
      </c>
      <c r="G791" s="3">
        <v>0.2</v>
      </c>
      <c r="H791" s="4">
        <v>165.79</v>
      </c>
    </row>
    <row r="792" spans="1:8" x14ac:dyDescent="0.3">
      <c r="A792" s="1" t="s">
        <v>1096</v>
      </c>
      <c r="B792" s="2">
        <v>44694</v>
      </c>
      <c r="C792" s="1" t="s">
        <v>15</v>
      </c>
      <c r="D792" s="1" t="s">
        <v>100</v>
      </c>
      <c r="E792">
        <v>3</v>
      </c>
      <c r="F792" s="4">
        <v>752.02</v>
      </c>
      <c r="G792" s="3">
        <v>0.2</v>
      </c>
      <c r="H792" s="4">
        <v>182.77</v>
      </c>
    </row>
    <row r="793" spans="1:8" x14ac:dyDescent="0.3">
      <c r="A793" s="1" t="s">
        <v>1097</v>
      </c>
      <c r="B793" s="2">
        <v>45205</v>
      </c>
      <c r="C793" s="1" t="s">
        <v>607</v>
      </c>
      <c r="D793" s="1" t="s">
        <v>147</v>
      </c>
      <c r="E793">
        <v>5</v>
      </c>
      <c r="F793" s="4">
        <v>1485.43</v>
      </c>
      <c r="G793" s="3">
        <v>0.2</v>
      </c>
      <c r="H793" s="4">
        <v>137.57</v>
      </c>
    </row>
    <row r="794" spans="1:8" x14ac:dyDescent="0.3">
      <c r="A794" s="1" t="s">
        <v>1098</v>
      </c>
      <c r="B794" s="2">
        <v>45206</v>
      </c>
      <c r="C794" s="1" t="s">
        <v>576</v>
      </c>
      <c r="D794" s="1" t="s">
        <v>34</v>
      </c>
      <c r="E794">
        <v>4</v>
      </c>
      <c r="F794" s="4">
        <v>1339.35</v>
      </c>
      <c r="G794" s="3">
        <v>0.2</v>
      </c>
      <c r="H794" s="4">
        <v>195.72</v>
      </c>
    </row>
    <row r="795" spans="1:8" x14ac:dyDescent="0.3">
      <c r="A795" s="1" t="s">
        <v>1099</v>
      </c>
      <c r="B795" s="2">
        <v>44974</v>
      </c>
      <c r="C795" s="1" t="s">
        <v>406</v>
      </c>
      <c r="D795" s="1" t="s">
        <v>275</v>
      </c>
      <c r="E795">
        <v>2</v>
      </c>
      <c r="F795" s="4">
        <v>1706.65</v>
      </c>
      <c r="G795" s="3">
        <v>0.3</v>
      </c>
      <c r="H795" s="4">
        <v>233.37</v>
      </c>
    </row>
    <row r="796" spans="1:8" x14ac:dyDescent="0.3">
      <c r="A796" s="1" t="s">
        <v>1100</v>
      </c>
      <c r="B796" s="2">
        <v>45303</v>
      </c>
      <c r="C796" s="1" t="s">
        <v>282</v>
      </c>
      <c r="D796" s="1" t="s">
        <v>132</v>
      </c>
      <c r="E796">
        <v>4</v>
      </c>
      <c r="F796" s="4">
        <v>1415.74</v>
      </c>
      <c r="G796" s="3">
        <v>0.2</v>
      </c>
      <c r="H796" s="4">
        <v>223.62</v>
      </c>
    </row>
    <row r="797" spans="1:8" x14ac:dyDescent="0.3">
      <c r="A797" s="1" t="s">
        <v>1101</v>
      </c>
      <c r="B797" s="2">
        <v>45238</v>
      </c>
      <c r="C797" s="1" t="s">
        <v>683</v>
      </c>
      <c r="D797" s="1" t="s">
        <v>143</v>
      </c>
      <c r="E797">
        <v>2</v>
      </c>
      <c r="F797" s="4">
        <v>916.87</v>
      </c>
      <c r="G797" s="3">
        <v>0.2</v>
      </c>
      <c r="H797" s="4">
        <v>225.04</v>
      </c>
    </row>
    <row r="798" spans="1:8" x14ac:dyDescent="0.3">
      <c r="A798" s="1" t="s">
        <v>1102</v>
      </c>
      <c r="B798" s="2">
        <v>44573</v>
      </c>
      <c r="C798" s="1" t="s">
        <v>927</v>
      </c>
      <c r="D798" s="1" t="s">
        <v>70</v>
      </c>
      <c r="E798">
        <v>5</v>
      </c>
      <c r="F798" s="4">
        <v>1378.64</v>
      </c>
      <c r="G798" s="3">
        <v>0.2</v>
      </c>
      <c r="H798" s="4">
        <v>235.81</v>
      </c>
    </row>
    <row r="799" spans="1:8" x14ac:dyDescent="0.3">
      <c r="A799" s="1" t="s">
        <v>1103</v>
      </c>
      <c r="B799" s="2">
        <v>44709</v>
      </c>
      <c r="C799" s="1" t="s">
        <v>691</v>
      </c>
      <c r="D799" s="1" t="s">
        <v>97</v>
      </c>
      <c r="E799">
        <v>2</v>
      </c>
      <c r="F799" s="4">
        <v>623.22</v>
      </c>
      <c r="G799" s="3">
        <v>0.2</v>
      </c>
      <c r="H799" s="4">
        <v>154.87</v>
      </c>
    </row>
    <row r="800" spans="1:8" x14ac:dyDescent="0.3">
      <c r="A800" s="1" t="s">
        <v>1104</v>
      </c>
      <c r="B800" s="2">
        <v>45243</v>
      </c>
      <c r="C800" s="1" t="s">
        <v>150</v>
      </c>
      <c r="D800" s="1" t="s">
        <v>40</v>
      </c>
      <c r="E800">
        <v>3</v>
      </c>
      <c r="F800" s="4">
        <v>682</v>
      </c>
      <c r="G800" s="3">
        <v>0.1</v>
      </c>
      <c r="H800" s="4">
        <v>132.38999999999999</v>
      </c>
    </row>
    <row r="801" spans="1:8" x14ac:dyDescent="0.3">
      <c r="A801" s="1" t="s">
        <v>1105</v>
      </c>
      <c r="B801" s="2">
        <v>45316</v>
      </c>
      <c r="C801" s="1" t="s">
        <v>436</v>
      </c>
      <c r="D801" s="1" t="s">
        <v>177</v>
      </c>
      <c r="E801">
        <v>3</v>
      </c>
      <c r="F801" s="4">
        <v>1599.07</v>
      </c>
      <c r="G801" s="3">
        <v>0.2</v>
      </c>
      <c r="H801" s="4">
        <v>216.7</v>
      </c>
    </row>
    <row r="802" spans="1:8" x14ac:dyDescent="0.3">
      <c r="A802" s="1" t="s">
        <v>1106</v>
      </c>
      <c r="B802" s="2">
        <v>44567</v>
      </c>
      <c r="C802" s="1" t="s">
        <v>21</v>
      </c>
      <c r="D802" s="1" t="s">
        <v>239</v>
      </c>
      <c r="E802">
        <v>3</v>
      </c>
      <c r="F802" s="4">
        <v>948.2</v>
      </c>
      <c r="G802" s="3">
        <v>0.3</v>
      </c>
      <c r="H802" s="4">
        <v>239.42</v>
      </c>
    </row>
    <row r="803" spans="1:8" x14ac:dyDescent="0.3">
      <c r="A803" s="1" t="s">
        <v>1107</v>
      </c>
      <c r="B803" s="2">
        <v>45268</v>
      </c>
      <c r="C803" s="1" t="s">
        <v>442</v>
      </c>
      <c r="D803" s="1" t="s">
        <v>757</v>
      </c>
      <c r="E803">
        <v>3</v>
      </c>
      <c r="F803" s="4">
        <v>1616.92</v>
      </c>
      <c r="G803" s="3">
        <v>0.3</v>
      </c>
      <c r="H803" s="4">
        <v>177.17</v>
      </c>
    </row>
    <row r="804" spans="1:8" x14ac:dyDescent="0.3">
      <c r="A804" s="1" t="s">
        <v>1108</v>
      </c>
      <c r="B804" s="2">
        <v>44856</v>
      </c>
      <c r="C804" s="1" t="s">
        <v>104</v>
      </c>
      <c r="D804" s="1" t="s">
        <v>283</v>
      </c>
      <c r="E804">
        <v>4</v>
      </c>
      <c r="F804" s="4">
        <v>1662.6</v>
      </c>
      <c r="G804" s="3">
        <v>0.3</v>
      </c>
      <c r="H804" s="4">
        <v>176.39</v>
      </c>
    </row>
    <row r="805" spans="1:8" x14ac:dyDescent="0.3">
      <c r="A805" s="1" t="s">
        <v>1109</v>
      </c>
      <c r="B805" s="2">
        <v>44997</v>
      </c>
      <c r="C805" s="1" t="s">
        <v>475</v>
      </c>
      <c r="D805" s="1" t="s">
        <v>10</v>
      </c>
      <c r="E805">
        <v>5</v>
      </c>
      <c r="F805" s="4">
        <v>1729.37</v>
      </c>
      <c r="G805" s="3">
        <v>0</v>
      </c>
      <c r="H805" s="4">
        <v>304.58999999999997</v>
      </c>
    </row>
    <row r="806" spans="1:8" x14ac:dyDescent="0.3">
      <c r="A806" s="1" t="s">
        <v>1110</v>
      </c>
      <c r="B806" s="2">
        <v>44881</v>
      </c>
      <c r="C806" s="1" t="s">
        <v>282</v>
      </c>
      <c r="D806" s="1" t="s">
        <v>92</v>
      </c>
      <c r="E806">
        <v>2</v>
      </c>
      <c r="F806" s="4">
        <v>1841.61</v>
      </c>
      <c r="G806" s="3">
        <v>0.1</v>
      </c>
      <c r="H806" s="4">
        <v>212.18</v>
      </c>
    </row>
    <row r="807" spans="1:8" x14ac:dyDescent="0.3">
      <c r="A807" s="1" t="s">
        <v>1111</v>
      </c>
      <c r="B807" s="2">
        <v>45348</v>
      </c>
      <c r="C807" s="1" t="s">
        <v>1093</v>
      </c>
      <c r="D807" s="1" t="s">
        <v>13</v>
      </c>
      <c r="E807">
        <v>2</v>
      </c>
      <c r="F807" s="4">
        <v>918.87</v>
      </c>
      <c r="G807" s="3">
        <v>0.2</v>
      </c>
      <c r="H807" s="4">
        <v>48.03</v>
      </c>
    </row>
    <row r="808" spans="1:8" x14ac:dyDescent="0.3">
      <c r="A808" s="1" t="s">
        <v>1112</v>
      </c>
      <c r="B808" s="2">
        <v>44693</v>
      </c>
      <c r="C808" s="1" t="s">
        <v>321</v>
      </c>
      <c r="D808" s="1" t="s">
        <v>341</v>
      </c>
      <c r="E808">
        <v>3</v>
      </c>
      <c r="F808" s="4">
        <v>705.85</v>
      </c>
      <c r="G808" s="3">
        <v>0</v>
      </c>
      <c r="H808" s="4">
        <v>149.69</v>
      </c>
    </row>
    <row r="809" spans="1:8" x14ac:dyDescent="0.3">
      <c r="A809" s="1" t="s">
        <v>1113</v>
      </c>
      <c r="B809" s="2">
        <v>45196</v>
      </c>
      <c r="C809" s="1" t="s">
        <v>579</v>
      </c>
      <c r="D809" s="1" t="s">
        <v>89</v>
      </c>
      <c r="E809">
        <v>3</v>
      </c>
      <c r="F809" s="4">
        <v>1206.18</v>
      </c>
      <c r="G809" s="3">
        <v>0.2</v>
      </c>
      <c r="H809" s="4">
        <v>214.43</v>
      </c>
    </row>
    <row r="810" spans="1:8" x14ac:dyDescent="0.3">
      <c r="A810" s="1" t="s">
        <v>1114</v>
      </c>
      <c r="B810" s="2">
        <v>45037</v>
      </c>
      <c r="C810" s="1" t="s">
        <v>58</v>
      </c>
      <c r="D810" s="1" t="s">
        <v>22</v>
      </c>
      <c r="E810">
        <v>1</v>
      </c>
      <c r="F810" s="4">
        <v>805.23</v>
      </c>
      <c r="G810" s="3">
        <v>0</v>
      </c>
      <c r="H810" s="4">
        <v>129.94999999999999</v>
      </c>
    </row>
    <row r="811" spans="1:8" x14ac:dyDescent="0.3">
      <c r="A811" s="1" t="s">
        <v>1115</v>
      </c>
      <c r="B811" s="2">
        <v>44696</v>
      </c>
      <c r="C811" s="1" t="s">
        <v>697</v>
      </c>
      <c r="D811" s="1" t="s">
        <v>141</v>
      </c>
      <c r="E811">
        <v>5</v>
      </c>
      <c r="F811" s="4">
        <v>1242.04</v>
      </c>
      <c r="G811" s="3">
        <v>0</v>
      </c>
      <c r="H811" s="4">
        <v>362.36</v>
      </c>
    </row>
    <row r="812" spans="1:8" x14ac:dyDescent="0.3">
      <c r="A812" s="1" t="s">
        <v>1116</v>
      </c>
      <c r="B812" s="2">
        <v>45308</v>
      </c>
      <c r="C812" s="1" t="s">
        <v>244</v>
      </c>
      <c r="D812" s="1" t="s">
        <v>188</v>
      </c>
      <c r="E812">
        <v>4</v>
      </c>
      <c r="F812" s="4">
        <v>1440.61</v>
      </c>
      <c r="G812" s="3">
        <v>0.3</v>
      </c>
      <c r="H812" s="4">
        <v>277.75</v>
      </c>
    </row>
    <row r="813" spans="1:8" x14ac:dyDescent="0.3">
      <c r="A813" s="1" t="s">
        <v>1117</v>
      </c>
      <c r="B813" s="2">
        <v>44639</v>
      </c>
      <c r="C813" s="1" t="s">
        <v>691</v>
      </c>
      <c r="D813" s="1" t="s">
        <v>61</v>
      </c>
      <c r="E813">
        <v>2</v>
      </c>
      <c r="F813" s="4">
        <v>1407.97</v>
      </c>
      <c r="G813" s="3">
        <v>0.3</v>
      </c>
      <c r="H813" s="4">
        <v>374.32</v>
      </c>
    </row>
    <row r="814" spans="1:8" x14ac:dyDescent="0.3">
      <c r="A814" s="1" t="s">
        <v>1118</v>
      </c>
      <c r="B814" s="2">
        <v>45343</v>
      </c>
      <c r="C814" s="1" t="s">
        <v>334</v>
      </c>
      <c r="D814" s="1" t="s">
        <v>234</v>
      </c>
      <c r="E814">
        <v>1</v>
      </c>
      <c r="F814" s="4">
        <v>811.65</v>
      </c>
      <c r="G814" s="3">
        <v>0</v>
      </c>
      <c r="H814" s="4">
        <v>68.88</v>
      </c>
    </row>
    <row r="815" spans="1:8" x14ac:dyDescent="0.3">
      <c r="A815" s="1" t="s">
        <v>1119</v>
      </c>
      <c r="B815" s="2">
        <v>45338</v>
      </c>
      <c r="C815" s="1" t="s">
        <v>647</v>
      </c>
      <c r="D815" s="1" t="s">
        <v>34</v>
      </c>
      <c r="E815">
        <v>1</v>
      </c>
      <c r="F815" s="4">
        <v>417.03</v>
      </c>
      <c r="G815" s="3">
        <v>0.3</v>
      </c>
      <c r="H815" s="4">
        <v>80.2</v>
      </c>
    </row>
    <row r="816" spans="1:8" x14ac:dyDescent="0.3">
      <c r="A816" s="1" t="s">
        <v>1120</v>
      </c>
      <c r="B816" s="2">
        <v>45371</v>
      </c>
      <c r="C816" s="1" t="s">
        <v>520</v>
      </c>
      <c r="D816" s="1" t="s">
        <v>304</v>
      </c>
      <c r="E816">
        <v>2</v>
      </c>
      <c r="F816" s="4">
        <v>918.01</v>
      </c>
      <c r="G816" s="3">
        <v>0</v>
      </c>
      <c r="H816" s="4">
        <v>245.1</v>
      </c>
    </row>
    <row r="817" spans="1:8" x14ac:dyDescent="0.3">
      <c r="A817" s="1" t="s">
        <v>1121</v>
      </c>
      <c r="B817" s="2">
        <v>45285</v>
      </c>
      <c r="C817" s="1" t="s">
        <v>77</v>
      </c>
      <c r="D817" s="1" t="s">
        <v>364</v>
      </c>
      <c r="E817">
        <v>4</v>
      </c>
      <c r="F817" s="4">
        <v>370.93</v>
      </c>
      <c r="G817" s="3">
        <v>0.1</v>
      </c>
      <c r="H817" s="4">
        <v>72.62</v>
      </c>
    </row>
    <row r="818" spans="1:8" x14ac:dyDescent="0.3">
      <c r="A818" s="1" t="s">
        <v>1122</v>
      </c>
      <c r="B818" s="2">
        <v>44964</v>
      </c>
      <c r="C818" s="1" t="s">
        <v>102</v>
      </c>
      <c r="D818" s="1" t="s">
        <v>195</v>
      </c>
      <c r="E818">
        <v>1</v>
      </c>
      <c r="F818" s="4">
        <v>1791.18</v>
      </c>
      <c r="G818" s="3">
        <v>0.3</v>
      </c>
      <c r="H818" s="4">
        <v>411.08</v>
      </c>
    </row>
    <row r="819" spans="1:8" x14ac:dyDescent="0.3">
      <c r="A819" s="1" t="s">
        <v>1123</v>
      </c>
      <c r="B819" s="2">
        <v>44783</v>
      </c>
      <c r="C819" s="1" t="s">
        <v>406</v>
      </c>
      <c r="D819" s="1" t="s">
        <v>263</v>
      </c>
      <c r="E819">
        <v>1</v>
      </c>
      <c r="F819" s="4">
        <v>757.17</v>
      </c>
      <c r="G819" s="3">
        <v>0.3</v>
      </c>
      <c r="H819" s="4">
        <v>108.28</v>
      </c>
    </row>
    <row r="820" spans="1:8" x14ac:dyDescent="0.3">
      <c r="A820" s="1" t="s">
        <v>1124</v>
      </c>
      <c r="B820" s="2">
        <v>44650</v>
      </c>
      <c r="C820" s="1" t="s">
        <v>18</v>
      </c>
      <c r="D820" s="1" t="s">
        <v>361</v>
      </c>
      <c r="E820">
        <v>5</v>
      </c>
      <c r="F820" s="4">
        <v>393.47</v>
      </c>
      <c r="G820" s="3">
        <v>0.3</v>
      </c>
      <c r="H820" s="4">
        <v>28.77</v>
      </c>
    </row>
    <row r="821" spans="1:8" x14ac:dyDescent="0.3">
      <c r="A821" s="1" t="s">
        <v>1125</v>
      </c>
      <c r="B821" s="2">
        <v>45128</v>
      </c>
      <c r="C821" s="1" t="s">
        <v>482</v>
      </c>
      <c r="D821" s="1" t="s">
        <v>119</v>
      </c>
      <c r="E821">
        <v>4</v>
      </c>
      <c r="F821" s="4">
        <v>148.35</v>
      </c>
      <c r="G821" s="3">
        <v>0.1</v>
      </c>
      <c r="H821" s="4">
        <v>24.4</v>
      </c>
    </row>
    <row r="822" spans="1:8" x14ac:dyDescent="0.3">
      <c r="A822" s="1" t="s">
        <v>1126</v>
      </c>
      <c r="B822" s="2">
        <v>45303</v>
      </c>
      <c r="C822" s="1" t="s">
        <v>134</v>
      </c>
      <c r="D822" s="1" t="s">
        <v>13</v>
      </c>
      <c r="E822">
        <v>1</v>
      </c>
      <c r="F822" s="4">
        <v>1327.06</v>
      </c>
      <c r="G822" s="3">
        <v>0</v>
      </c>
      <c r="H822" s="4">
        <v>197.23</v>
      </c>
    </row>
    <row r="823" spans="1:8" x14ac:dyDescent="0.3">
      <c r="A823" s="1" t="s">
        <v>1127</v>
      </c>
      <c r="B823" s="2">
        <v>44734</v>
      </c>
      <c r="C823" s="1" t="s">
        <v>1061</v>
      </c>
      <c r="D823" s="1" t="s">
        <v>451</v>
      </c>
      <c r="E823">
        <v>4</v>
      </c>
      <c r="F823" s="4">
        <v>1310.1099999999999</v>
      </c>
      <c r="G823" s="3">
        <v>0.2</v>
      </c>
      <c r="H823" s="4">
        <v>349.49</v>
      </c>
    </row>
    <row r="824" spans="1:8" x14ac:dyDescent="0.3">
      <c r="A824" s="1" t="s">
        <v>1128</v>
      </c>
      <c r="B824" s="2">
        <v>45027</v>
      </c>
      <c r="C824" s="1" t="s">
        <v>843</v>
      </c>
      <c r="D824" s="1" t="s">
        <v>97</v>
      </c>
      <c r="E824">
        <v>2</v>
      </c>
      <c r="F824" s="4">
        <v>747.15</v>
      </c>
      <c r="G824" s="3">
        <v>0.3</v>
      </c>
      <c r="H824" s="4">
        <v>82.93</v>
      </c>
    </row>
    <row r="825" spans="1:8" x14ac:dyDescent="0.3">
      <c r="A825" s="1" t="s">
        <v>1129</v>
      </c>
      <c r="B825" s="2">
        <v>44821</v>
      </c>
      <c r="C825" s="1" t="s">
        <v>21</v>
      </c>
      <c r="D825" s="1" t="s">
        <v>119</v>
      </c>
      <c r="E825">
        <v>3</v>
      </c>
      <c r="F825" s="4">
        <v>236.25</v>
      </c>
      <c r="G825" s="3">
        <v>0</v>
      </c>
      <c r="H825" s="4">
        <v>68.91</v>
      </c>
    </row>
    <row r="826" spans="1:8" x14ac:dyDescent="0.3">
      <c r="A826" s="1" t="s">
        <v>1130</v>
      </c>
      <c r="B826" s="2">
        <v>45356</v>
      </c>
      <c r="C826" s="1" t="s">
        <v>88</v>
      </c>
      <c r="D826" s="1" t="s">
        <v>679</v>
      </c>
      <c r="E826">
        <v>1</v>
      </c>
      <c r="F826" s="4">
        <v>878.29</v>
      </c>
      <c r="G826" s="3">
        <v>0.1</v>
      </c>
      <c r="H826" s="4">
        <v>254.3</v>
      </c>
    </row>
    <row r="827" spans="1:8" x14ac:dyDescent="0.3">
      <c r="A827" s="1" t="s">
        <v>1131</v>
      </c>
      <c r="B827" s="2">
        <v>45239</v>
      </c>
      <c r="C827" s="1" t="s">
        <v>520</v>
      </c>
      <c r="D827" s="1" t="s">
        <v>660</v>
      </c>
      <c r="E827">
        <v>5</v>
      </c>
      <c r="F827" s="4">
        <v>691.31</v>
      </c>
      <c r="G827" s="3">
        <v>0.2</v>
      </c>
      <c r="H827" s="4">
        <v>77.36</v>
      </c>
    </row>
    <row r="828" spans="1:8" x14ac:dyDescent="0.3">
      <c r="A828" s="1" t="s">
        <v>1132</v>
      </c>
      <c r="B828" s="2">
        <v>44685</v>
      </c>
      <c r="C828" s="1" t="s">
        <v>1061</v>
      </c>
      <c r="D828" s="1" t="s">
        <v>170</v>
      </c>
      <c r="E828">
        <v>2</v>
      </c>
      <c r="F828" s="4">
        <v>1386.53</v>
      </c>
      <c r="G828" s="3">
        <v>0.3</v>
      </c>
      <c r="H828" s="4">
        <v>189.97</v>
      </c>
    </row>
    <row r="829" spans="1:8" x14ac:dyDescent="0.3">
      <c r="A829" s="1" t="s">
        <v>1133</v>
      </c>
      <c r="B829" s="2">
        <v>45352</v>
      </c>
      <c r="C829" s="1" t="s">
        <v>371</v>
      </c>
      <c r="D829" s="1" t="s">
        <v>13</v>
      </c>
      <c r="E829">
        <v>4</v>
      </c>
      <c r="F829" s="4">
        <v>1250.98</v>
      </c>
      <c r="G829" s="3">
        <v>0.1</v>
      </c>
      <c r="H829" s="4">
        <v>342.63</v>
      </c>
    </row>
    <row r="830" spans="1:8" x14ac:dyDescent="0.3">
      <c r="A830" s="1" t="s">
        <v>1134</v>
      </c>
      <c r="B830" s="2">
        <v>45235</v>
      </c>
      <c r="C830" s="1" t="s">
        <v>559</v>
      </c>
      <c r="D830" s="1" t="s">
        <v>119</v>
      </c>
      <c r="E830">
        <v>2</v>
      </c>
      <c r="F830" s="4">
        <v>792.73</v>
      </c>
      <c r="G830" s="3">
        <v>0.1</v>
      </c>
      <c r="H830" s="4">
        <v>231.2</v>
      </c>
    </row>
    <row r="831" spans="1:8" x14ac:dyDescent="0.3">
      <c r="A831" s="1" t="s">
        <v>1135</v>
      </c>
      <c r="B831" s="2">
        <v>44790</v>
      </c>
      <c r="C831" s="1" t="s">
        <v>220</v>
      </c>
      <c r="D831" s="1" t="s">
        <v>156</v>
      </c>
      <c r="E831">
        <v>1</v>
      </c>
      <c r="F831" s="4">
        <v>514</v>
      </c>
      <c r="G831" s="3">
        <v>0.2</v>
      </c>
      <c r="H831" s="4">
        <v>82.68</v>
      </c>
    </row>
    <row r="832" spans="1:8" x14ac:dyDescent="0.3">
      <c r="A832" s="1" t="s">
        <v>1136</v>
      </c>
      <c r="B832" s="2">
        <v>45367</v>
      </c>
      <c r="C832" s="1" t="s">
        <v>505</v>
      </c>
      <c r="D832" s="1" t="s">
        <v>89</v>
      </c>
      <c r="E832">
        <v>4</v>
      </c>
      <c r="F832" s="4">
        <v>1977.27</v>
      </c>
      <c r="G832" s="3">
        <v>0</v>
      </c>
      <c r="H832" s="4">
        <v>257.54000000000002</v>
      </c>
    </row>
    <row r="833" spans="1:8" x14ac:dyDescent="0.3">
      <c r="A833" s="1" t="s">
        <v>1137</v>
      </c>
      <c r="B833" s="2">
        <v>44871</v>
      </c>
      <c r="C833" s="1" t="s">
        <v>220</v>
      </c>
      <c r="D833" s="1" t="s">
        <v>211</v>
      </c>
      <c r="E833">
        <v>3</v>
      </c>
      <c r="F833" s="4">
        <v>962.6</v>
      </c>
      <c r="G833" s="3">
        <v>0.3</v>
      </c>
      <c r="H833" s="4">
        <v>174.73</v>
      </c>
    </row>
    <row r="834" spans="1:8" x14ac:dyDescent="0.3">
      <c r="A834" s="1" t="s">
        <v>1138</v>
      </c>
      <c r="B834" s="2">
        <v>45251</v>
      </c>
      <c r="C834" s="1" t="s">
        <v>422</v>
      </c>
      <c r="D834" s="1" t="s">
        <v>61</v>
      </c>
      <c r="E834">
        <v>2</v>
      </c>
      <c r="F834" s="4">
        <v>1407.72</v>
      </c>
      <c r="G834" s="3">
        <v>0.3</v>
      </c>
      <c r="H834" s="4">
        <v>312.43</v>
      </c>
    </row>
    <row r="835" spans="1:8" x14ac:dyDescent="0.3">
      <c r="A835" s="1" t="s">
        <v>1139</v>
      </c>
      <c r="B835" s="2">
        <v>44606</v>
      </c>
      <c r="C835" s="1" t="s">
        <v>1061</v>
      </c>
      <c r="D835" s="1" t="s">
        <v>75</v>
      </c>
      <c r="E835">
        <v>1</v>
      </c>
      <c r="F835" s="4">
        <v>367.05</v>
      </c>
      <c r="G835" s="3">
        <v>0</v>
      </c>
      <c r="H835" s="4">
        <v>43.45</v>
      </c>
    </row>
    <row r="836" spans="1:8" x14ac:dyDescent="0.3">
      <c r="A836" s="1" t="s">
        <v>1140</v>
      </c>
      <c r="B836" s="2">
        <v>45015</v>
      </c>
      <c r="C836" s="1" t="s">
        <v>260</v>
      </c>
      <c r="D836" s="1" t="s">
        <v>361</v>
      </c>
      <c r="E836">
        <v>5</v>
      </c>
      <c r="F836" s="4">
        <v>1022.62</v>
      </c>
      <c r="G836" s="3">
        <v>0</v>
      </c>
      <c r="H836" s="4">
        <v>239.41</v>
      </c>
    </row>
    <row r="837" spans="1:8" x14ac:dyDescent="0.3">
      <c r="A837" s="1" t="s">
        <v>1141</v>
      </c>
      <c r="B837" s="2">
        <v>45150</v>
      </c>
      <c r="C837" s="1" t="s">
        <v>723</v>
      </c>
      <c r="D837" s="1" t="s">
        <v>242</v>
      </c>
      <c r="E837">
        <v>4</v>
      </c>
      <c r="F837" s="4">
        <v>152.32</v>
      </c>
      <c r="G837" s="3">
        <v>0</v>
      </c>
      <c r="H837" s="4">
        <v>9.58</v>
      </c>
    </row>
    <row r="838" spans="1:8" x14ac:dyDescent="0.3">
      <c r="A838" s="1" t="s">
        <v>1142</v>
      </c>
      <c r="B838" s="2">
        <v>44754</v>
      </c>
      <c r="C838" s="1" t="s">
        <v>1143</v>
      </c>
      <c r="D838" s="1" t="s">
        <v>253</v>
      </c>
      <c r="E838">
        <v>2</v>
      </c>
      <c r="F838" s="4">
        <v>1060.3599999999999</v>
      </c>
      <c r="G838" s="3">
        <v>0.2</v>
      </c>
      <c r="H838" s="4">
        <v>66.09</v>
      </c>
    </row>
    <row r="839" spans="1:8" x14ac:dyDescent="0.3">
      <c r="A839" s="1" t="s">
        <v>1144</v>
      </c>
      <c r="B839" s="2">
        <v>44917</v>
      </c>
      <c r="C839" s="1" t="s">
        <v>56</v>
      </c>
      <c r="D839" s="1" t="s">
        <v>34</v>
      </c>
      <c r="E839">
        <v>2</v>
      </c>
      <c r="F839" s="4">
        <v>1931.63</v>
      </c>
      <c r="G839" s="3">
        <v>0.2</v>
      </c>
      <c r="H839" s="4">
        <v>283.12</v>
      </c>
    </row>
    <row r="840" spans="1:8" x14ac:dyDescent="0.3">
      <c r="A840" s="1" t="s">
        <v>1145</v>
      </c>
      <c r="B840" s="2">
        <v>44963</v>
      </c>
      <c r="C840" s="1" t="s">
        <v>344</v>
      </c>
      <c r="D840" s="1" t="s">
        <v>397</v>
      </c>
      <c r="E840">
        <v>3</v>
      </c>
      <c r="F840" s="4">
        <v>829.99</v>
      </c>
      <c r="G840" s="3">
        <v>0.3</v>
      </c>
      <c r="H840" s="4">
        <v>114.84</v>
      </c>
    </row>
    <row r="841" spans="1:8" x14ac:dyDescent="0.3">
      <c r="A841" s="1" t="s">
        <v>1146</v>
      </c>
      <c r="B841" s="2">
        <v>44928</v>
      </c>
      <c r="C841" s="1" t="s">
        <v>167</v>
      </c>
      <c r="D841" s="1" t="s">
        <v>455</v>
      </c>
      <c r="E841">
        <v>3</v>
      </c>
      <c r="F841" s="4">
        <v>174.09</v>
      </c>
      <c r="G841" s="3">
        <v>0.2</v>
      </c>
      <c r="H841" s="4">
        <v>22.44</v>
      </c>
    </row>
    <row r="842" spans="1:8" x14ac:dyDescent="0.3">
      <c r="A842" s="1" t="s">
        <v>1147</v>
      </c>
      <c r="B842" s="2">
        <v>45122</v>
      </c>
      <c r="C842" s="1" t="s">
        <v>637</v>
      </c>
      <c r="D842" s="1" t="s">
        <v>141</v>
      </c>
      <c r="E842">
        <v>5</v>
      </c>
      <c r="F842" s="4">
        <v>158.82</v>
      </c>
      <c r="G842" s="3">
        <v>0.1</v>
      </c>
      <c r="H842" s="4">
        <v>27.44</v>
      </c>
    </row>
    <row r="843" spans="1:8" x14ac:dyDescent="0.3">
      <c r="A843" s="1" t="s">
        <v>1148</v>
      </c>
      <c r="B843" s="2">
        <v>45388</v>
      </c>
      <c r="C843" s="1" t="s">
        <v>225</v>
      </c>
      <c r="D843" s="1" t="s">
        <v>122</v>
      </c>
      <c r="E843">
        <v>5</v>
      </c>
      <c r="F843" s="4">
        <v>837.17</v>
      </c>
      <c r="G843" s="3">
        <v>0.3</v>
      </c>
      <c r="H843" s="4">
        <v>108.99</v>
      </c>
    </row>
    <row r="844" spans="1:8" x14ac:dyDescent="0.3">
      <c r="A844" s="1" t="s">
        <v>1149</v>
      </c>
      <c r="B844" s="2">
        <v>44813</v>
      </c>
      <c r="C844" s="1" t="s">
        <v>1143</v>
      </c>
      <c r="D844" s="1" t="s">
        <v>378</v>
      </c>
      <c r="E844">
        <v>1</v>
      </c>
      <c r="F844" s="4">
        <v>404.05</v>
      </c>
      <c r="G844" s="3">
        <v>0.2</v>
      </c>
      <c r="H844" s="4">
        <v>39.619999999999997</v>
      </c>
    </row>
    <row r="845" spans="1:8" x14ac:dyDescent="0.3">
      <c r="A845" s="1" t="s">
        <v>1150</v>
      </c>
      <c r="B845" s="2">
        <v>45409</v>
      </c>
      <c r="C845" s="1" t="s">
        <v>834</v>
      </c>
      <c r="D845" s="1" t="s">
        <v>296</v>
      </c>
      <c r="E845">
        <v>1</v>
      </c>
      <c r="F845" s="4">
        <v>144.37</v>
      </c>
      <c r="G845" s="3">
        <v>0</v>
      </c>
      <c r="H845" s="4">
        <v>18.39</v>
      </c>
    </row>
    <row r="846" spans="1:8" x14ac:dyDescent="0.3">
      <c r="A846" s="1" t="s">
        <v>1151</v>
      </c>
      <c r="B846" s="2">
        <v>45204</v>
      </c>
      <c r="C846" s="1" t="s">
        <v>662</v>
      </c>
      <c r="D846" s="1" t="s">
        <v>242</v>
      </c>
      <c r="E846">
        <v>5</v>
      </c>
      <c r="F846" s="4">
        <v>1536.81</v>
      </c>
      <c r="G846" s="3">
        <v>0.1</v>
      </c>
      <c r="H846" s="4">
        <v>451.4</v>
      </c>
    </row>
    <row r="847" spans="1:8" x14ac:dyDescent="0.3">
      <c r="A847" s="1" t="s">
        <v>1152</v>
      </c>
      <c r="B847" s="2">
        <v>45149</v>
      </c>
      <c r="C847" s="1" t="s">
        <v>588</v>
      </c>
      <c r="D847" s="1" t="s">
        <v>170</v>
      </c>
      <c r="E847">
        <v>5</v>
      </c>
      <c r="F847" s="4">
        <v>971.19</v>
      </c>
      <c r="G847" s="3">
        <v>0</v>
      </c>
      <c r="H847" s="4">
        <v>148.38</v>
      </c>
    </row>
    <row r="848" spans="1:8" x14ac:dyDescent="0.3">
      <c r="A848" s="1" t="s">
        <v>1153</v>
      </c>
      <c r="B848" s="2">
        <v>44663</v>
      </c>
      <c r="C848" s="1" t="s">
        <v>174</v>
      </c>
      <c r="D848" s="1" t="s">
        <v>249</v>
      </c>
      <c r="E848">
        <v>4</v>
      </c>
      <c r="F848" s="4">
        <v>649.57000000000005</v>
      </c>
      <c r="G848" s="3">
        <v>0.3</v>
      </c>
      <c r="H848" s="4">
        <v>104.7</v>
      </c>
    </row>
    <row r="849" spans="1:8" x14ac:dyDescent="0.3">
      <c r="A849" s="1" t="s">
        <v>1154</v>
      </c>
      <c r="B849" s="2">
        <v>45132</v>
      </c>
      <c r="C849" s="1" t="s">
        <v>80</v>
      </c>
      <c r="D849" s="1" t="s">
        <v>119</v>
      </c>
      <c r="E849">
        <v>3</v>
      </c>
      <c r="F849" s="4">
        <v>1810.16</v>
      </c>
      <c r="G849" s="3">
        <v>0</v>
      </c>
      <c r="H849" s="4">
        <v>351.42</v>
      </c>
    </row>
    <row r="850" spans="1:8" x14ac:dyDescent="0.3">
      <c r="A850" s="1" t="s">
        <v>1155</v>
      </c>
      <c r="B850" s="2">
        <v>44692</v>
      </c>
      <c r="C850" s="1" t="s">
        <v>77</v>
      </c>
      <c r="D850" s="1" t="s">
        <v>54</v>
      </c>
      <c r="E850">
        <v>1</v>
      </c>
      <c r="F850" s="4">
        <v>320.66000000000003</v>
      </c>
      <c r="G850" s="3">
        <v>0.2</v>
      </c>
      <c r="H850" s="4">
        <v>94.86</v>
      </c>
    </row>
    <row r="851" spans="1:8" x14ac:dyDescent="0.3">
      <c r="A851" s="1" t="s">
        <v>1156</v>
      </c>
      <c r="B851" s="2">
        <v>45225</v>
      </c>
      <c r="C851" s="1" t="s">
        <v>468</v>
      </c>
      <c r="D851" s="1" t="s">
        <v>397</v>
      </c>
      <c r="E851">
        <v>3</v>
      </c>
      <c r="F851" s="4">
        <v>1916.25</v>
      </c>
      <c r="G851" s="3">
        <v>0.2</v>
      </c>
      <c r="H851" s="4">
        <v>211.55</v>
      </c>
    </row>
    <row r="852" spans="1:8" x14ac:dyDescent="0.3">
      <c r="A852" s="1" t="s">
        <v>1157</v>
      </c>
      <c r="B852" s="2">
        <v>44576</v>
      </c>
      <c r="C852" s="1" t="s">
        <v>576</v>
      </c>
      <c r="D852" s="1" t="s">
        <v>180</v>
      </c>
      <c r="E852">
        <v>3</v>
      </c>
      <c r="F852" s="4">
        <v>696.54</v>
      </c>
      <c r="G852" s="3">
        <v>0.3</v>
      </c>
      <c r="H852" s="4">
        <v>153.46</v>
      </c>
    </row>
    <row r="853" spans="1:8" x14ac:dyDescent="0.3">
      <c r="A853" s="1" t="s">
        <v>1158</v>
      </c>
      <c r="B853" s="2">
        <v>44948</v>
      </c>
      <c r="C853" s="1" t="s">
        <v>709</v>
      </c>
      <c r="D853" s="1" t="s">
        <v>25</v>
      </c>
      <c r="E853">
        <v>5</v>
      </c>
      <c r="F853" s="4">
        <v>1787.97</v>
      </c>
      <c r="G853" s="3">
        <v>0</v>
      </c>
      <c r="H853" s="4">
        <v>409.44</v>
      </c>
    </row>
    <row r="854" spans="1:8" x14ac:dyDescent="0.3">
      <c r="A854" s="1" t="s">
        <v>1159</v>
      </c>
      <c r="B854" s="2">
        <v>44643</v>
      </c>
      <c r="C854" s="1" t="s">
        <v>542</v>
      </c>
      <c r="D854" s="1" t="s">
        <v>603</v>
      </c>
      <c r="E854">
        <v>4</v>
      </c>
      <c r="F854" s="4">
        <v>1245.5899999999999</v>
      </c>
      <c r="G854" s="3">
        <v>0.3</v>
      </c>
      <c r="H854" s="4">
        <v>251.4</v>
      </c>
    </row>
    <row r="855" spans="1:8" x14ac:dyDescent="0.3">
      <c r="A855" s="1" t="s">
        <v>1160</v>
      </c>
      <c r="B855" s="2">
        <v>44801</v>
      </c>
      <c r="C855" s="1" t="s">
        <v>673</v>
      </c>
      <c r="D855" s="1" t="s">
        <v>301</v>
      </c>
      <c r="E855">
        <v>2</v>
      </c>
      <c r="F855" s="4">
        <v>1670.74</v>
      </c>
      <c r="G855" s="3">
        <v>0</v>
      </c>
      <c r="H855" s="4">
        <v>120.53</v>
      </c>
    </row>
    <row r="856" spans="1:8" x14ac:dyDescent="0.3">
      <c r="A856" s="1" t="s">
        <v>1161</v>
      </c>
      <c r="B856" s="2">
        <v>45451</v>
      </c>
      <c r="C856" s="1" t="s">
        <v>12</v>
      </c>
      <c r="D856" s="1" t="s">
        <v>161</v>
      </c>
      <c r="E856">
        <v>4</v>
      </c>
      <c r="F856" s="4">
        <v>1969.63</v>
      </c>
      <c r="G856" s="3">
        <v>0.1</v>
      </c>
      <c r="H856" s="4">
        <v>431.78</v>
      </c>
    </row>
    <row r="857" spans="1:8" x14ac:dyDescent="0.3">
      <c r="A857" s="1" t="s">
        <v>1162</v>
      </c>
      <c r="B857" s="2">
        <v>44643</v>
      </c>
      <c r="C857" s="1" t="s">
        <v>834</v>
      </c>
      <c r="D857" s="1" t="s">
        <v>143</v>
      </c>
      <c r="E857">
        <v>4</v>
      </c>
      <c r="F857" s="4">
        <v>647.97</v>
      </c>
      <c r="G857" s="3">
        <v>0.2</v>
      </c>
      <c r="H857" s="4">
        <v>42.78</v>
      </c>
    </row>
    <row r="858" spans="1:8" x14ac:dyDescent="0.3">
      <c r="A858" s="1" t="s">
        <v>1163</v>
      </c>
      <c r="B858" s="2">
        <v>44645</v>
      </c>
      <c r="C858" s="1" t="s">
        <v>843</v>
      </c>
      <c r="D858" s="1" t="s">
        <v>16</v>
      </c>
      <c r="E858">
        <v>3</v>
      </c>
      <c r="F858" s="4">
        <v>1926.16</v>
      </c>
      <c r="G858" s="3">
        <v>0.3</v>
      </c>
      <c r="H858" s="4">
        <v>383.37</v>
      </c>
    </row>
    <row r="859" spans="1:8" x14ac:dyDescent="0.3">
      <c r="A859" s="1" t="s">
        <v>1164</v>
      </c>
      <c r="B859" s="2">
        <v>44617</v>
      </c>
      <c r="C859" s="1" t="s">
        <v>739</v>
      </c>
      <c r="D859" s="1" t="s">
        <v>211</v>
      </c>
      <c r="E859">
        <v>4</v>
      </c>
      <c r="F859" s="4">
        <v>840.02</v>
      </c>
      <c r="G859" s="3">
        <v>0.1</v>
      </c>
      <c r="H859" s="4">
        <v>197.32</v>
      </c>
    </row>
    <row r="860" spans="1:8" x14ac:dyDescent="0.3">
      <c r="A860" s="1" t="s">
        <v>1165</v>
      </c>
      <c r="B860" s="2">
        <v>44765</v>
      </c>
      <c r="C860" s="1" t="s">
        <v>246</v>
      </c>
      <c r="D860" s="1" t="s">
        <v>218</v>
      </c>
      <c r="E860">
        <v>1</v>
      </c>
      <c r="F860" s="4">
        <v>832.47</v>
      </c>
      <c r="G860" s="3">
        <v>0.1</v>
      </c>
      <c r="H860" s="4">
        <v>85.53</v>
      </c>
    </row>
    <row r="861" spans="1:8" x14ac:dyDescent="0.3">
      <c r="A861" s="1" t="s">
        <v>1166</v>
      </c>
      <c r="B861" s="2">
        <v>44726</v>
      </c>
      <c r="C861" s="1" t="s">
        <v>464</v>
      </c>
      <c r="D861" s="1" t="s">
        <v>378</v>
      </c>
      <c r="E861">
        <v>3</v>
      </c>
      <c r="F861" s="4">
        <v>746.74</v>
      </c>
      <c r="G861" s="3">
        <v>0.3</v>
      </c>
      <c r="H861" s="4">
        <v>194.46</v>
      </c>
    </row>
    <row r="862" spans="1:8" x14ac:dyDescent="0.3">
      <c r="A862" s="1" t="s">
        <v>1167</v>
      </c>
      <c r="B862" s="2">
        <v>44903</v>
      </c>
      <c r="C862" s="1" t="s">
        <v>30</v>
      </c>
      <c r="D862" s="1" t="s">
        <v>323</v>
      </c>
      <c r="E862">
        <v>1</v>
      </c>
      <c r="F862" s="4">
        <v>1128.67</v>
      </c>
      <c r="G862" s="3">
        <v>0.3</v>
      </c>
      <c r="H862" s="4">
        <v>65</v>
      </c>
    </row>
    <row r="863" spans="1:8" x14ac:dyDescent="0.3">
      <c r="A863" s="1" t="s">
        <v>1168</v>
      </c>
      <c r="B863" s="2">
        <v>44675</v>
      </c>
      <c r="C863" s="1" t="s">
        <v>248</v>
      </c>
      <c r="D863" s="1" t="s">
        <v>34</v>
      </c>
      <c r="E863">
        <v>2</v>
      </c>
      <c r="F863" s="4">
        <v>392.88</v>
      </c>
      <c r="G863" s="3">
        <v>0.1</v>
      </c>
      <c r="H863" s="4">
        <v>102.52</v>
      </c>
    </row>
    <row r="864" spans="1:8" x14ac:dyDescent="0.3">
      <c r="A864" s="1" t="s">
        <v>1169</v>
      </c>
      <c r="B864" s="2">
        <v>44668</v>
      </c>
      <c r="C864" s="1" t="s">
        <v>371</v>
      </c>
      <c r="D864" s="1" t="s">
        <v>288</v>
      </c>
      <c r="E864">
        <v>3</v>
      </c>
      <c r="F864" s="4">
        <v>1152.05</v>
      </c>
      <c r="G864" s="3">
        <v>0</v>
      </c>
      <c r="H864" s="4">
        <v>190.18</v>
      </c>
    </row>
    <row r="865" spans="1:8" x14ac:dyDescent="0.3">
      <c r="A865" s="1" t="s">
        <v>1170</v>
      </c>
      <c r="B865" s="2">
        <v>45411</v>
      </c>
      <c r="C865" s="1" t="s">
        <v>678</v>
      </c>
      <c r="D865" s="1" t="s">
        <v>100</v>
      </c>
      <c r="E865">
        <v>2</v>
      </c>
      <c r="F865" s="4">
        <v>1129.24</v>
      </c>
      <c r="G865" s="3">
        <v>0.1</v>
      </c>
      <c r="H865" s="4">
        <v>117.89</v>
      </c>
    </row>
    <row r="866" spans="1:8" x14ac:dyDescent="0.3">
      <c r="A866" s="1" t="s">
        <v>1171</v>
      </c>
      <c r="B866" s="2">
        <v>44636</v>
      </c>
      <c r="C866" s="1" t="s">
        <v>203</v>
      </c>
      <c r="D866" s="1" t="s">
        <v>660</v>
      </c>
      <c r="E866">
        <v>3</v>
      </c>
      <c r="F866" s="4">
        <v>1547.61</v>
      </c>
      <c r="G866" s="3">
        <v>0.3</v>
      </c>
      <c r="H866" s="4">
        <v>129.13999999999999</v>
      </c>
    </row>
    <row r="867" spans="1:8" x14ac:dyDescent="0.3">
      <c r="A867" s="1" t="s">
        <v>1172</v>
      </c>
      <c r="B867" s="2">
        <v>45049</v>
      </c>
      <c r="C867" s="1" t="s">
        <v>510</v>
      </c>
      <c r="D867" s="1" t="s">
        <v>97</v>
      </c>
      <c r="E867">
        <v>5</v>
      </c>
      <c r="F867" s="4">
        <v>1683.93</v>
      </c>
      <c r="G867" s="3">
        <v>0.1</v>
      </c>
      <c r="H867" s="4">
        <v>485.52</v>
      </c>
    </row>
    <row r="868" spans="1:8" x14ac:dyDescent="0.3">
      <c r="A868" s="1" t="s">
        <v>1173</v>
      </c>
      <c r="B868" s="2">
        <v>45402</v>
      </c>
      <c r="C868" s="1" t="s">
        <v>384</v>
      </c>
      <c r="D868" s="1" t="s">
        <v>392</v>
      </c>
      <c r="E868">
        <v>4</v>
      </c>
      <c r="F868" s="4">
        <v>936.84</v>
      </c>
      <c r="G868" s="3">
        <v>0</v>
      </c>
      <c r="H868" s="4">
        <v>63.86</v>
      </c>
    </row>
    <row r="869" spans="1:8" x14ac:dyDescent="0.3">
      <c r="A869" s="1" t="s">
        <v>1174</v>
      </c>
      <c r="B869" s="2">
        <v>44938</v>
      </c>
      <c r="C869" s="1" t="s">
        <v>547</v>
      </c>
      <c r="D869" s="1" t="s">
        <v>127</v>
      </c>
      <c r="E869">
        <v>5</v>
      </c>
      <c r="F869" s="4">
        <v>674.43</v>
      </c>
      <c r="G869" s="3">
        <v>0.2</v>
      </c>
      <c r="H869" s="4">
        <v>67.290000000000006</v>
      </c>
    </row>
    <row r="870" spans="1:8" x14ac:dyDescent="0.3">
      <c r="A870" s="1" t="s">
        <v>1175</v>
      </c>
      <c r="B870" s="2">
        <v>44628</v>
      </c>
      <c r="C870" s="1" t="s">
        <v>978</v>
      </c>
      <c r="D870" s="1" t="s">
        <v>585</v>
      </c>
      <c r="E870">
        <v>2</v>
      </c>
      <c r="F870" s="4">
        <v>592.74</v>
      </c>
      <c r="G870" s="3">
        <v>0.2</v>
      </c>
      <c r="H870" s="4">
        <v>81.180000000000007</v>
      </c>
    </row>
    <row r="871" spans="1:8" x14ac:dyDescent="0.3">
      <c r="A871" s="1" t="s">
        <v>1176</v>
      </c>
      <c r="B871" s="2">
        <v>45102</v>
      </c>
      <c r="C871" s="1" t="s">
        <v>30</v>
      </c>
      <c r="D871" s="1" t="s">
        <v>209</v>
      </c>
      <c r="E871">
        <v>4</v>
      </c>
      <c r="F871" s="4">
        <v>469.79</v>
      </c>
      <c r="G871" s="3">
        <v>0.1</v>
      </c>
      <c r="H871" s="4">
        <v>96.33</v>
      </c>
    </row>
    <row r="872" spans="1:8" x14ac:dyDescent="0.3">
      <c r="A872" s="1" t="s">
        <v>1177</v>
      </c>
      <c r="B872" s="2">
        <v>45259</v>
      </c>
      <c r="C872" s="1" t="s">
        <v>233</v>
      </c>
      <c r="D872" s="1" t="s">
        <v>226</v>
      </c>
      <c r="E872">
        <v>3</v>
      </c>
      <c r="F872" s="4">
        <v>209.53</v>
      </c>
      <c r="G872" s="3">
        <v>0</v>
      </c>
      <c r="H872" s="4">
        <v>39.01</v>
      </c>
    </row>
    <row r="873" spans="1:8" x14ac:dyDescent="0.3">
      <c r="A873" s="1" t="s">
        <v>1178</v>
      </c>
      <c r="B873" s="2">
        <v>44817</v>
      </c>
      <c r="C873" s="1" t="s">
        <v>388</v>
      </c>
      <c r="D873" s="1" t="s">
        <v>397</v>
      </c>
      <c r="E873">
        <v>4</v>
      </c>
      <c r="F873" s="4">
        <v>750.65</v>
      </c>
      <c r="G873" s="3">
        <v>0.2</v>
      </c>
      <c r="H873" s="4">
        <v>61.11</v>
      </c>
    </row>
    <row r="874" spans="1:8" x14ac:dyDescent="0.3">
      <c r="A874" s="1" t="s">
        <v>1179</v>
      </c>
      <c r="B874" s="2">
        <v>44597</v>
      </c>
      <c r="C874" s="1" t="s">
        <v>927</v>
      </c>
      <c r="D874" s="1" t="s">
        <v>458</v>
      </c>
      <c r="E874">
        <v>1</v>
      </c>
      <c r="F874" s="4">
        <v>613.47</v>
      </c>
      <c r="G874" s="3">
        <v>0.1</v>
      </c>
      <c r="H874" s="4">
        <v>75.11</v>
      </c>
    </row>
    <row r="875" spans="1:8" x14ac:dyDescent="0.3">
      <c r="A875" s="1" t="s">
        <v>1180</v>
      </c>
      <c r="B875" s="2">
        <v>45072</v>
      </c>
      <c r="C875" s="1" t="s">
        <v>1181</v>
      </c>
      <c r="D875" s="1" t="s">
        <v>119</v>
      </c>
      <c r="E875">
        <v>4</v>
      </c>
      <c r="F875" s="4">
        <v>1936.19</v>
      </c>
      <c r="G875" s="3">
        <v>0.1</v>
      </c>
      <c r="H875" s="4">
        <v>212.38</v>
      </c>
    </row>
    <row r="876" spans="1:8" x14ac:dyDescent="0.3">
      <c r="A876" s="1" t="s">
        <v>1182</v>
      </c>
      <c r="B876" s="2">
        <v>44624</v>
      </c>
      <c r="C876" s="1" t="s">
        <v>353</v>
      </c>
      <c r="D876" s="1" t="s">
        <v>201</v>
      </c>
      <c r="E876">
        <v>1</v>
      </c>
      <c r="F876" s="4">
        <v>1159.6500000000001</v>
      </c>
      <c r="G876" s="3">
        <v>0</v>
      </c>
      <c r="H876" s="4">
        <v>119.89</v>
      </c>
    </row>
    <row r="877" spans="1:8" x14ac:dyDescent="0.3">
      <c r="A877" s="1" t="s">
        <v>1183</v>
      </c>
      <c r="B877" s="2">
        <v>44669</v>
      </c>
      <c r="C877" s="1" t="s">
        <v>406</v>
      </c>
      <c r="D877" s="1" t="s">
        <v>16</v>
      </c>
      <c r="E877">
        <v>4</v>
      </c>
      <c r="F877" s="4">
        <v>759.83</v>
      </c>
      <c r="G877" s="3">
        <v>0.3</v>
      </c>
      <c r="H877" s="4">
        <v>116.09</v>
      </c>
    </row>
    <row r="878" spans="1:8" x14ac:dyDescent="0.3">
      <c r="A878" s="1" t="s">
        <v>1184</v>
      </c>
      <c r="B878" s="2">
        <v>45106</v>
      </c>
      <c r="C878" s="1" t="s">
        <v>1056</v>
      </c>
      <c r="D878" s="1" t="s">
        <v>603</v>
      </c>
      <c r="E878">
        <v>1</v>
      </c>
      <c r="F878" s="4">
        <v>1202.8900000000001</v>
      </c>
      <c r="G878" s="3">
        <v>0.1</v>
      </c>
      <c r="H878" s="4">
        <v>271.86</v>
      </c>
    </row>
    <row r="879" spans="1:8" x14ac:dyDescent="0.3">
      <c r="A879" s="1" t="s">
        <v>1185</v>
      </c>
      <c r="B879" s="2">
        <v>44789</v>
      </c>
      <c r="C879" s="1" t="s">
        <v>126</v>
      </c>
      <c r="D879" s="1" t="s">
        <v>147</v>
      </c>
      <c r="E879">
        <v>2</v>
      </c>
      <c r="F879" s="4">
        <v>364.47</v>
      </c>
      <c r="G879" s="3">
        <v>0.3</v>
      </c>
      <c r="H879" s="4">
        <v>38.04</v>
      </c>
    </row>
    <row r="880" spans="1:8" x14ac:dyDescent="0.3">
      <c r="A880" s="1" t="s">
        <v>1186</v>
      </c>
      <c r="B880" s="2">
        <v>45232</v>
      </c>
      <c r="C880" s="1" t="s">
        <v>316</v>
      </c>
      <c r="D880" s="1" t="s">
        <v>242</v>
      </c>
      <c r="E880">
        <v>5</v>
      </c>
      <c r="F880" s="4">
        <v>943.68</v>
      </c>
      <c r="G880" s="3">
        <v>0.3</v>
      </c>
      <c r="H880" s="4">
        <v>133.69</v>
      </c>
    </row>
    <row r="881" spans="1:8" x14ac:dyDescent="0.3">
      <c r="A881" s="1" t="s">
        <v>1187</v>
      </c>
      <c r="B881" s="2">
        <v>44661</v>
      </c>
      <c r="C881" s="1" t="s">
        <v>834</v>
      </c>
      <c r="D881" s="1" t="s">
        <v>304</v>
      </c>
      <c r="E881">
        <v>3</v>
      </c>
      <c r="F881" s="4">
        <v>1289.8499999999999</v>
      </c>
      <c r="G881" s="3">
        <v>0.2</v>
      </c>
      <c r="H881" s="4">
        <v>190.55</v>
      </c>
    </row>
    <row r="882" spans="1:8" x14ac:dyDescent="0.3">
      <c r="A882" s="1" t="s">
        <v>1188</v>
      </c>
      <c r="B882" s="2">
        <v>44829</v>
      </c>
      <c r="C882" s="1" t="s">
        <v>74</v>
      </c>
      <c r="D882" s="1" t="s">
        <v>141</v>
      </c>
      <c r="E882">
        <v>4</v>
      </c>
      <c r="F882" s="4">
        <v>1028.9100000000001</v>
      </c>
      <c r="G882" s="3">
        <v>0.3</v>
      </c>
      <c r="H882" s="4">
        <v>302.62</v>
      </c>
    </row>
    <row r="883" spans="1:8" x14ac:dyDescent="0.3">
      <c r="A883" s="1" t="s">
        <v>1189</v>
      </c>
      <c r="B883" s="2">
        <v>44644</v>
      </c>
      <c r="C883" s="1" t="s">
        <v>468</v>
      </c>
      <c r="D883" s="1" t="s">
        <v>127</v>
      </c>
      <c r="E883">
        <v>5</v>
      </c>
      <c r="F883" s="4">
        <v>863.38</v>
      </c>
      <c r="G883" s="3">
        <v>0</v>
      </c>
      <c r="H883" s="4">
        <v>249.23</v>
      </c>
    </row>
    <row r="884" spans="1:8" x14ac:dyDescent="0.3">
      <c r="A884" s="1" t="s">
        <v>1190</v>
      </c>
      <c r="B884" s="2">
        <v>44637</v>
      </c>
      <c r="C884" s="1" t="s">
        <v>106</v>
      </c>
      <c r="D884" s="1" t="s">
        <v>209</v>
      </c>
      <c r="E884">
        <v>3</v>
      </c>
      <c r="F884" s="4">
        <v>1988.31</v>
      </c>
      <c r="G884" s="3">
        <v>0.2</v>
      </c>
      <c r="H884" s="4">
        <v>497.15</v>
      </c>
    </row>
    <row r="885" spans="1:8" x14ac:dyDescent="0.3">
      <c r="A885" s="1" t="s">
        <v>1191</v>
      </c>
      <c r="B885" s="2">
        <v>45283</v>
      </c>
      <c r="C885" s="1" t="s">
        <v>685</v>
      </c>
      <c r="D885" s="1" t="s">
        <v>757</v>
      </c>
      <c r="E885">
        <v>3</v>
      </c>
      <c r="F885" s="4">
        <v>1772.6</v>
      </c>
      <c r="G885" s="3">
        <v>0.2</v>
      </c>
      <c r="H885" s="4">
        <v>195.72</v>
      </c>
    </row>
    <row r="886" spans="1:8" x14ac:dyDescent="0.3">
      <c r="A886" s="1" t="s">
        <v>1192</v>
      </c>
      <c r="B886" s="2">
        <v>44562</v>
      </c>
      <c r="C886" s="1" t="s">
        <v>786</v>
      </c>
      <c r="D886" s="1" t="s">
        <v>70</v>
      </c>
      <c r="E886">
        <v>1</v>
      </c>
      <c r="F886" s="4">
        <v>1284.47</v>
      </c>
      <c r="G886" s="3">
        <v>0.2</v>
      </c>
      <c r="H886" s="4">
        <v>86.07</v>
      </c>
    </row>
    <row r="887" spans="1:8" x14ac:dyDescent="0.3">
      <c r="A887" s="1" t="s">
        <v>1193</v>
      </c>
      <c r="B887" s="2">
        <v>44912</v>
      </c>
      <c r="C887" s="1" t="s">
        <v>422</v>
      </c>
      <c r="D887" s="1" t="s">
        <v>283</v>
      </c>
      <c r="E887">
        <v>2</v>
      </c>
      <c r="F887" s="4">
        <v>1181.82</v>
      </c>
      <c r="G887" s="3">
        <v>0.1</v>
      </c>
      <c r="H887" s="4">
        <v>152.72</v>
      </c>
    </row>
    <row r="888" spans="1:8" x14ac:dyDescent="0.3">
      <c r="A888" s="1" t="s">
        <v>1194</v>
      </c>
      <c r="B888" s="2">
        <v>45206</v>
      </c>
      <c r="C888" s="1" t="s">
        <v>321</v>
      </c>
      <c r="D888" s="1" t="s">
        <v>218</v>
      </c>
      <c r="E888">
        <v>2</v>
      </c>
      <c r="F888" s="4">
        <v>1279.25</v>
      </c>
      <c r="G888" s="3">
        <v>0.1</v>
      </c>
      <c r="H888" s="4">
        <v>149.29</v>
      </c>
    </row>
    <row r="889" spans="1:8" x14ac:dyDescent="0.3">
      <c r="A889" s="1" t="s">
        <v>1195</v>
      </c>
      <c r="B889" s="2">
        <v>45440</v>
      </c>
      <c r="C889" s="1" t="s">
        <v>63</v>
      </c>
      <c r="D889" s="1" t="s">
        <v>177</v>
      </c>
      <c r="E889">
        <v>5</v>
      </c>
      <c r="F889" s="4">
        <v>482.49</v>
      </c>
      <c r="G889" s="3">
        <v>0.3</v>
      </c>
      <c r="H889" s="4">
        <v>85.15</v>
      </c>
    </row>
    <row r="890" spans="1:8" x14ac:dyDescent="0.3">
      <c r="A890" s="1" t="s">
        <v>1196</v>
      </c>
      <c r="B890" s="2">
        <v>45401</v>
      </c>
      <c r="C890" s="1" t="s">
        <v>344</v>
      </c>
      <c r="D890" s="1" t="s">
        <v>25</v>
      </c>
      <c r="E890">
        <v>2</v>
      </c>
      <c r="F890" s="4">
        <v>850.76</v>
      </c>
      <c r="G890" s="3">
        <v>0.2</v>
      </c>
      <c r="H890" s="4">
        <v>207.95</v>
      </c>
    </row>
    <row r="891" spans="1:8" x14ac:dyDescent="0.3">
      <c r="A891" s="1" t="s">
        <v>1197</v>
      </c>
      <c r="B891" s="2">
        <v>45339</v>
      </c>
      <c r="C891" s="1" t="s">
        <v>673</v>
      </c>
      <c r="D891" s="1" t="s">
        <v>51</v>
      </c>
      <c r="E891">
        <v>4</v>
      </c>
      <c r="F891" s="4">
        <v>174.97</v>
      </c>
      <c r="G891" s="3">
        <v>0.2</v>
      </c>
      <c r="H891" s="4">
        <v>46.29</v>
      </c>
    </row>
    <row r="892" spans="1:8" x14ac:dyDescent="0.3">
      <c r="A892" s="1" t="s">
        <v>1198</v>
      </c>
      <c r="B892" s="2">
        <v>44700</v>
      </c>
      <c r="C892" s="1" t="s">
        <v>420</v>
      </c>
      <c r="D892" s="1" t="s">
        <v>156</v>
      </c>
      <c r="E892">
        <v>2</v>
      </c>
      <c r="F892" s="4">
        <v>1003.54</v>
      </c>
      <c r="G892" s="3">
        <v>0</v>
      </c>
      <c r="H892" s="4">
        <v>262.14</v>
      </c>
    </row>
    <row r="893" spans="1:8" x14ac:dyDescent="0.3">
      <c r="A893" s="1" t="s">
        <v>1199</v>
      </c>
      <c r="B893" s="2">
        <v>45074</v>
      </c>
      <c r="C893" s="1" t="s">
        <v>1081</v>
      </c>
      <c r="D893" s="1" t="s">
        <v>603</v>
      </c>
      <c r="E893">
        <v>5</v>
      </c>
      <c r="F893" s="4">
        <v>1131.75</v>
      </c>
      <c r="G893" s="3">
        <v>0.3</v>
      </c>
      <c r="H893" s="4">
        <v>158.35</v>
      </c>
    </row>
    <row r="894" spans="1:8" x14ac:dyDescent="0.3">
      <c r="A894" s="1" t="s">
        <v>1200</v>
      </c>
      <c r="B894" s="2">
        <v>45114</v>
      </c>
      <c r="C894" s="1" t="s">
        <v>447</v>
      </c>
      <c r="D894" s="1" t="s">
        <v>141</v>
      </c>
      <c r="E894">
        <v>2</v>
      </c>
      <c r="F894" s="4">
        <v>532.72</v>
      </c>
      <c r="G894" s="3">
        <v>0</v>
      </c>
      <c r="H894" s="4">
        <v>118.16</v>
      </c>
    </row>
    <row r="895" spans="1:8" x14ac:dyDescent="0.3">
      <c r="A895" s="1" t="s">
        <v>1201</v>
      </c>
      <c r="B895" s="2">
        <v>45424</v>
      </c>
      <c r="C895" s="1" t="s">
        <v>282</v>
      </c>
      <c r="D895" s="1" t="s">
        <v>400</v>
      </c>
      <c r="E895">
        <v>4</v>
      </c>
      <c r="F895" s="4">
        <v>1931.65</v>
      </c>
      <c r="G895" s="3">
        <v>0.3</v>
      </c>
      <c r="H895" s="4">
        <v>247.65</v>
      </c>
    </row>
    <row r="896" spans="1:8" x14ac:dyDescent="0.3">
      <c r="A896" s="1" t="s">
        <v>1202</v>
      </c>
      <c r="B896" s="2">
        <v>45229</v>
      </c>
      <c r="C896" s="1" t="s">
        <v>208</v>
      </c>
      <c r="D896" s="1" t="s">
        <v>119</v>
      </c>
      <c r="E896">
        <v>1</v>
      </c>
      <c r="F896" s="4">
        <v>1827.96</v>
      </c>
      <c r="G896" s="3">
        <v>0.3</v>
      </c>
      <c r="H896" s="4">
        <v>119.23</v>
      </c>
    </row>
    <row r="897" spans="1:8" x14ac:dyDescent="0.3">
      <c r="A897" s="1" t="s">
        <v>1203</v>
      </c>
      <c r="B897" s="2">
        <v>44998</v>
      </c>
      <c r="C897" s="1" t="s">
        <v>316</v>
      </c>
      <c r="D897" s="1" t="s">
        <v>301</v>
      </c>
      <c r="E897">
        <v>5</v>
      </c>
      <c r="F897" s="4">
        <v>1472.07</v>
      </c>
      <c r="G897" s="3">
        <v>0.1</v>
      </c>
      <c r="H897" s="4">
        <v>331.79</v>
      </c>
    </row>
    <row r="898" spans="1:8" x14ac:dyDescent="0.3">
      <c r="A898" s="1" t="s">
        <v>1204</v>
      </c>
      <c r="B898" s="2">
        <v>45413</v>
      </c>
      <c r="C898" s="1" t="s">
        <v>223</v>
      </c>
      <c r="D898" s="1" t="s">
        <v>679</v>
      </c>
      <c r="E898">
        <v>1</v>
      </c>
      <c r="F898" s="4">
        <v>1113.43</v>
      </c>
      <c r="G898" s="3">
        <v>0.1</v>
      </c>
      <c r="H898" s="4">
        <v>58.41</v>
      </c>
    </row>
    <row r="899" spans="1:8" x14ac:dyDescent="0.3">
      <c r="A899" s="1" t="s">
        <v>1205</v>
      </c>
      <c r="B899" s="2">
        <v>44651</v>
      </c>
      <c r="C899" s="1" t="s">
        <v>529</v>
      </c>
      <c r="D899" s="1" t="s">
        <v>34</v>
      </c>
      <c r="E899">
        <v>1</v>
      </c>
      <c r="F899" s="4">
        <v>1752.94</v>
      </c>
      <c r="G899" s="3">
        <v>0</v>
      </c>
      <c r="H899" s="4">
        <v>266.97000000000003</v>
      </c>
    </row>
    <row r="900" spans="1:8" x14ac:dyDescent="0.3">
      <c r="A900" s="1" t="s">
        <v>1206</v>
      </c>
      <c r="B900" s="2">
        <v>45279</v>
      </c>
      <c r="C900" s="1" t="s">
        <v>325</v>
      </c>
      <c r="D900" s="1" t="s">
        <v>770</v>
      </c>
      <c r="E900">
        <v>1</v>
      </c>
      <c r="F900" s="4">
        <v>348.24</v>
      </c>
      <c r="G900" s="3">
        <v>0.3</v>
      </c>
      <c r="H900" s="4">
        <v>46.09</v>
      </c>
    </row>
    <row r="901" spans="1:8" x14ac:dyDescent="0.3">
      <c r="A901" s="1" t="s">
        <v>1207</v>
      </c>
      <c r="B901" s="2">
        <v>44838</v>
      </c>
      <c r="C901" s="1" t="s">
        <v>605</v>
      </c>
      <c r="D901" s="1" t="s">
        <v>278</v>
      </c>
      <c r="E901">
        <v>3</v>
      </c>
      <c r="F901" s="4">
        <v>1601.97</v>
      </c>
      <c r="G901" s="3">
        <v>0.2</v>
      </c>
      <c r="H901" s="4">
        <v>357.79</v>
      </c>
    </row>
    <row r="902" spans="1:8" x14ac:dyDescent="0.3">
      <c r="A902" s="1" t="s">
        <v>1208</v>
      </c>
      <c r="B902" s="2">
        <v>44934</v>
      </c>
      <c r="C902" s="1" t="s">
        <v>36</v>
      </c>
      <c r="D902" s="1" t="s">
        <v>28</v>
      </c>
      <c r="E902">
        <v>3</v>
      </c>
      <c r="F902" s="4">
        <v>337.16</v>
      </c>
      <c r="G902" s="3">
        <v>0.1</v>
      </c>
      <c r="H902" s="4">
        <v>81.44</v>
      </c>
    </row>
    <row r="903" spans="1:8" x14ac:dyDescent="0.3">
      <c r="A903" s="1" t="s">
        <v>1209</v>
      </c>
      <c r="B903" s="2">
        <v>44642</v>
      </c>
      <c r="C903" s="1" t="s">
        <v>328</v>
      </c>
      <c r="D903" s="1" t="s">
        <v>455</v>
      </c>
      <c r="E903">
        <v>1</v>
      </c>
      <c r="F903" s="4">
        <v>1609</v>
      </c>
      <c r="G903" s="3">
        <v>0.2</v>
      </c>
      <c r="H903" s="4">
        <v>202.77</v>
      </c>
    </row>
    <row r="904" spans="1:8" x14ac:dyDescent="0.3">
      <c r="A904" s="1" t="s">
        <v>1210</v>
      </c>
      <c r="B904" s="2">
        <v>45425</v>
      </c>
      <c r="C904" s="1" t="s">
        <v>18</v>
      </c>
      <c r="D904" s="1" t="s">
        <v>37</v>
      </c>
      <c r="E904">
        <v>5</v>
      </c>
      <c r="F904" s="4">
        <v>623.96</v>
      </c>
      <c r="G904" s="3">
        <v>0</v>
      </c>
      <c r="H904" s="4">
        <v>157.80000000000001</v>
      </c>
    </row>
    <row r="905" spans="1:8" x14ac:dyDescent="0.3">
      <c r="A905" s="1" t="s">
        <v>1211</v>
      </c>
      <c r="B905" s="2">
        <v>45163</v>
      </c>
      <c r="C905" s="1" t="s">
        <v>56</v>
      </c>
      <c r="D905" s="1" t="s">
        <v>177</v>
      </c>
      <c r="E905">
        <v>4</v>
      </c>
      <c r="F905" s="4">
        <v>1766.47</v>
      </c>
      <c r="G905" s="3">
        <v>0.1</v>
      </c>
      <c r="H905" s="4">
        <v>218.12</v>
      </c>
    </row>
    <row r="906" spans="1:8" x14ac:dyDescent="0.3">
      <c r="A906" s="1" t="s">
        <v>1212</v>
      </c>
      <c r="B906" s="2">
        <v>45055</v>
      </c>
      <c r="C906" s="1" t="s">
        <v>482</v>
      </c>
      <c r="D906" s="1" t="s">
        <v>323</v>
      </c>
      <c r="E906">
        <v>4</v>
      </c>
      <c r="F906" s="4">
        <v>1893.68</v>
      </c>
      <c r="G906" s="3">
        <v>0.1</v>
      </c>
      <c r="H906" s="4">
        <v>305.98</v>
      </c>
    </row>
    <row r="907" spans="1:8" x14ac:dyDescent="0.3">
      <c r="A907" s="1" t="s">
        <v>1213</v>
      </c>
      <c r="B907" s="2">
        <v>45445</v>
      </c>
      <c r="C907" s="1" t="s">
        <v>321</v>
      </c>
      <c r="D907" s="1" t="s">
        <v>211</v>
      </c>
      <c r="E907">
        <v>2</v>
      </c>
      <c r="F907" s="4">
        <v>382.71</v>
      </c>
      <c r="G907" s="3">
        <v>0.3</v>
      </c>
      <c r="H907" s="4">
        <v>88.69</v>
      </c>
    </row>
    <row r="908" spans="1:8" x14ac:dyDescent="0.3">
      <c r="A908" s="1" t="s">
        <v>1214</v>
      </c>
      <c r="B908" s="2">
        <v>45251</v>
      </c>
      <c r="C908" s="1" t="s">
        <v>360</v>
      </c>
      <c r="D908" s="1" t="s">
        <v>72</v>
      </c>
      <c r="E908">
        <v>5</v>
      </c>
      <c r="F908" s="4">
        <v>979.08</v>
      </c>
      <c r="G908" s="3">
        <v>0</v>
      </c>
      <c r="H908" s="4">
        <v>218.56</v>
      </c>
    </row>
    <row r="909" spans="1:8" x14ac:dyDescent="0.3">
      <c r="A909" s="1" t="s">
        <v>1215</v>
      </c>
      <c r="B909" s="2">
        <v>44575</v>
      </c>
      <c r="C909" s="1" t="s">
        <v>468</v>
      </c>
      <c r="D909" s="1" t="s">
        <v>54</v>
      </c>
      <c r="E909">
        <v>3</v>
      </c>
      <c r="F909" s="4">
        <v>1963.88</v>
      </c>
      <c r="G909" s="3">
        <v>0.3</v>
      </c>
      <c r="H909" s="4">
        <v>582.96</v>
      </c>
    </row>
    <row r="910" spans="1:8" x14ac:dyDescent="0.3">
      <c r="A910" s="1" t="s">
        <v>1216</v>
      </c>
      <c r="B910" s="2">
        <v>44824</v>
      </c>
      <c r="C910" s="1" t="s">
        <v>657</v>
      </c>
      <c r="D910" s="1" t="s">
        <v>22</v>
      </c>
      <c r="E910">
        <v>1</v>
      </c>
      <c r="F910" s="4">
        <v>1018.47</v>
      </c>
      <c r="G910" s="3">
        <v>0.1</v>
      </c>
      <c r="H910" s="4">
        <v>108.25</v>
      </c>
    </row>
    <row r="911" spans="1:8" x14ac:dyDescent="0.3">
      <c r="A911" s="1" t="s">
        <v>1217</v>
      </c>
      <c r="B911" s="2">
        <v>44636</v>
      </c>
      <c r="C911" s="1" t="s">
        <v>194</v>
      </c>
      <c r="D911" s="1" t="s">
        <v>119</v>
      </c>
      <c r="E911">
        <v>2</v>
      </c>
      <c r="F911" s="4">
        <v>1740.74</v>
      </c>
      <c r="G911" s="3">
        <v>0</v>
      </c>
      <c r="H911" s="4">
        <v>375.27</v>
      </c>
    </row>
    <row r="912" spans="1:8" x14ac:dyDescent="0.3">
      <c r="A912" s="1" t="s">
        <v>1218</v>
      </c>
      <c r="B912" s="2">
        <v>45185</v>
      </c>
      <c r="C912" s="1" t="s">
        <v>751</v>
      </c>
      <c r="D912" s="1" t="s">
        <v>141</v>
      </c>
      <c r="E912">
        <v>4</v>
      </c>
      <c r="F912" s="4">
        <v>1218.5899999999999</v>
      </c>
      <c r="G912" s="3">
        <v>0.1</v>
      </c>
      <c r="H912" s="4">
        <v>246.67</v>
      </c>
    </row>
    <row r="913" spans="1:8" x14ac:dyDescent="0.3">
      <c r="A913" s="1" t="s">
        <v>1219</v>
      </c>
      <c r="B913" s="2">
        <v>45294</v>
      </c>
      <c r="C913" s="1" t="s">
        <v>709</v>
      </c>
      <c r="D913" s="1" t="s">
        <v>92</v>
      </c>
      <c r="E913">
        <v>3</v>
      </c>
      <c r="F913" s="4">
        <v>813.13</v>
      </c>
      <c r="G913" s="3">
        <v>0</v>
      </c>
      <c r="H913" s="4">
        <v>226.68</v>
      </c>
    </row>
    <row r="914" spans="1:8" x14ac:dyDescent="0.3">
      <c r="A914" s="1" t="s">
        <v>1220</v>
      </c>
      <c r="B914" s="2">
        <v>45318</v>
      </c>
      <c r="C914" s="1" t="s">
        <v>231</v>
      </c>
      <c r="D914" s="1" t="s">
        <v>111</v>
      </c>
      <c r="E914">
        <v>3</v>
      </c>
      <c r="F914" s="4">
        <v>642.99</v>
      </c>
      <c r="G914" s="3">
        <v>0.1</v>
      </c>
      <c r="H914" s="4">
        <v>57.28</v>
      </c>
    </row>
    <row r="915" spans="1:8" x14ac:dyDescent="0.3">
      <c r="A915" s="1" t="s">
        <v>1221</v>
      </c>
      <c r="B915" s="2">
        <v>44723</v>
      </c>
      <c r="C915" s="1" t="s">
        <v>803</v>
      </c>
      <c r="D915" s="1" t="s">
        <v>757</v>
      </c>
      <c r="E915">
        <v>1</v>
      </c>
      <c r="F915" s="4">
        <v>486.12</v>
      </c>
      <c r="G915" s="3">
        <v>0.2</v>
      </c>
      <c r="H915" s="4">
        <v>115.67</v>
      </c>
    </row>
    <row r="916" spans="1:8" x14ac:dyDescent="0.3">
      <c r="A916" s="1" t="s">
        <v>1222</v>
      </c>
      <c r="B916" s="2">
        <v>44729</v>
      </c>
      <c r="C916" s="1" t="s">
        <v>406</v>
      </c>
      <c r="D916" s="1" t="s">
        <v>78</v>
      </c>
      <c r="E916">
        <v>4</v>
      </c>
      <c r="F916" s="4">
        <v>1547.42</v>
      </c>
      <c r="G916" s="3">
        <v>0.2</v>
      </c>
      <c r="H916" s="4">
        <v>297.20999999999998</v>
      </c>
    </row>
    <row r="917" spans="1:8" x14ac:dyDescent="0.3">
      <c r="A917" s="1" t="s">
        <v>1223</v>
      </c>
      <c r="B917" s="2">
        <v>44747</v>
      </c>
      <c r="C917" s="1" t="s">
        <v>402</v>
      </c>
      <c r="D917" s="1" t="s">
        <v>211</v>
      </c>
      <c r="E917">
        <v>5</v>
      </c>
      <c r="F917" s="4">
        <v>834.43</v>
      </c>
      <c r="G917" s="3">
        <v>0.3</v>
      </c>
      <c r="H917" s="4">
        <v>99.02</v>
      </c>
    </row>
    <row r="918" spans="1:8" x14ac:dyDescent="0.3">
      <c r="A918" s="1" t="s">
        <v>1224</v>
      </c>
      <c r="B918" s="2">
        <v>45106</v>
      </c>
      <c r="C918" s="1" t="s">
        <v>321</v>
      </c>
      <c r="D918" s="1" t="s">
        <v>51</v>
      </c>
      <c r="E918">
        <v>3</v>
      </c>
      <c r="F918" s="4">
        <v>1071.42</v>
      </c>
      <c r="G918" s="3">
        <v>0.2</v>
      </c>
      <c r="H918" s="4">
        <v>180.65</v>
      </c>
    </row>
    <row r="919" spans="1:8" x14ac:dyDescent="0.3">
      <c r="A919" s="1" t="s">
        <v>1225</v>
      </c>
      <c r="B919" s="2">
        <v>45372</v>
      </c>
      <c r="C919" s="1" t="s">
        <v>360</v>
      </c>
      <c r="D919" s="1" t="s">
        <v>132</v>
      </c>
      <c r="E919">
        <v>1</v>
      </c>
      <c r="F919" s="4">
        <v>1035.42</v>
      </c>
      <c r="G919" s="3">
        <v>0.1</v>
      </c>
      <c r="H919" s="4">
        <v>138.16999999999999</v>
      </c>
    </row>
    <row r="920" spans="1:8" x14ac:dyDescent="0.3">
      <c r="A920" s="1" t="s">
        <v>1226</v>
      </c>
      <c r="B920" s="2">
        <v>44692</v>
      </c>
      <c r="C920" s="1" t="s">
        <v>800</v>
      </c>
      <c r="D920" s="1" t="s">
        <v>37</v>
      </c>
      <c r="E920">
        <v>5</v>
      </c>
      <c r="F920" s="4">
        <v>1196.83</v>
      </c>
      <c r="G920" s="3">
        <v>0.1</v>
      </c>
      <c r="H920" s="4">
        <v>233.18</v>
      </c>
    </row>
    <row r="921" spans="1:8" x14ac:dyDescent="0.3">
      <c r="A921" s="1" t="s">
        <v>1227</v>
      </c>
      <c r="B921" s="2">
        <v>45452</v>
      </c>
      <c r="C921" s="1" t="s">
        <v>834</v>
      </c>
      <c r="D921" s="1" t="s">
        <v>275</v>
      </c>
      <c r="E921">
        <v>4</v>
      </c>
      <c r="F921" s="4">
        <v>1744.6</v>
      </c>
      <c r="G921" s="3">
        <v>0.2</v>
      </c>
      <c r="H921" s="4">
        <v>474.97</v>
      </c>
    </row>
    <row r="922" spans="1:8" x14ac:dyDescent="0.3">
      <c r="A922" s="1" t="s">
        <v>1228</v>
      </c>
      <c r="B922" s="2">
        <v>45259</v>
      </c>
      <c r="C922" s="1" t="s">
        <v>336</v>
      </c>
      <c r="D922" s="1" t="s">
        <v>186</v>
      </c>
      <c r="E922">
        <v>3</v>
      </c>
      <c r="F922" s="4">
        <v>1963.4</v>
      </c>
      <c r="G922" s="3">
        <v>0.3</v>
      </c>
      <c r="H922" s="4">
        <v>377.61</v>
      </c>
    </row>
    <row r="923" spans="1:8" x14ac:dyDescent="0.3">
      <c r="A923" s="1" t="s">
        <v>1229</v>
      </c>
      <c r="B923" s="2">
        <v>44951</v>
      </c>
      <c r="C923" s="1" t="s">
        <v>42</v>
      </c>
      <c r="D923" s="1" t="s">
        <v>22</v>
      </c>
      <c r="E923">
        <v>5</v>
      </c>
      <c r="F923" s="4">
        <v>874.41</v>
      </c>
      <c r="G923" s="3">
        <v>0.2</v>
      </c>
      <c r="H923" s="4">
        <v>181.82</v>
      </c>
    </row>
    <row r="924" spans="1:8" x14ac:dyDescent="0.3">
      <c r="A924" s="1" t="s">
        <v>1230</v>
      </c>
      <c r="B924" s="2">
        <v>44925</v>
      </c>
      <c r="C924" s="1" t="s">
        <v>442</v>
      </c>
      <c r="D924" s="1" t="s">
        <v>109</v>
      </c>
      <c r="E924">
        <v>5</v>
      </c>
      <c r="F924" s="4">
        <v>1672.29</v>
      </c>
      <c r="G924" s="3">
        <v>0</v>
      </c>
      <c r="H924" s="4">
        <v>300.49</v>
      </c>
    </row>
    <row r="925" spans="1:8" x14ac:dyDescent="0.3">
      <c r="A925" s="1" t="s">
        <v>1231</v>
      </c>
      <c r="B925" s="2">
        <v>44683</v>
      </c>
      <c r="C925" s="1" t="s">
        <v>165</v>
      </c>
      <c r="D925" s="1" t="s">
        <v>218</v>
      </c>
      <c r="E925">
        <v>5</v>
      </c>
      <c r="F925" s="4">
        <v>1552.6</v>
      </c>
      <c r="G925" s="3">
        <v>0</v>
      </c>
      <c r="H925" s="4">
        <v>97.49</v>
      </c>
    </row>
    <row r="926" spans="1:8" x14ac:dyDescent="0.3">
      <c r="A926" s="1" t="s">
        <v>1232</v>
      </c>
      <c r="B926" s="2">
        <v>45337</v>
      </c>
      <c r="C926" s="1" t="s">
        <v>252</v>
      </c>
      <c r="D926" s="1" t="s">
        <v>249</v>
      </c>
      <c r="E926">
        <v>3</v>
      </c>
      <c r="F926" s="4">
        <v>1189.71</v>
      </c>
      <c r="G926" s="3">
        <v>0</v>
      </c>
      <c r="H926" s="4">
        <v>128.74</v>
      </c>
    </row>
    <row r="927" spans="1:8" x14ac:dyDescent="0.3">
      <c r="A927" s="1" t="s">
        <v>1233</v>
      </c>
      <c r="B927" s="2">
        <v>44958</v>
      </c>
      <c r="C927" s="1" t="s">
        <v>598</v>
      </c>
      <c r="D927" s="1" t="s">
        <v>288</v>
      </c>
      <c r="E927">
        <v>3</v>
      </c>
      <c r="F927" s="4">
        <v>1916.49</v>
      </c>
      <c r="G927" s="3">
        <v>0.2</v>
      </c>
      <c r="H927" s="4">
        <v>331.55</v>
      </c>
    </row>
    <row r="928" spans="1:8" x14ac:dyDescent="0.3">
      <c r="A928" s="1" t="s">
        <v>1234</v>
      </c>
      <c r="B928" s="2">
        <v>45450</v>
      </c>
      <c r="C928" s="1" t="s">
        <v>442</v>
      </c>
      <c r="D928" s="1" t="s">
        <v>239</v>
      </c>
      <c r="E928">
        <v>2</v>
      </c>
      <c r="F928" s="4">
        <v>480.9</v>
      </c>
      <c r="G928" s="3">
        <v>0.2</v>
      </c>
      <c r="H928" s="4">
        <v>61.34</v>
      </c>
    </row>
    <row r="929" spans="1:8" x14ac:dyDescent="0.3">
      <c r="A929" s="1" t="s">
        <v>1235</v>
      </c>
      <c r="B929" s="2">
        <v>45176</v>
      </c>
      <c r="C929" s="1" t="s">
        <v>115</v>
      </c>
      <c r="D929" s="1" t="s">
        <v>130</v>
      </c>
      <c r="E929">
        <v>4</v>
      </c>
      <c r="F929" s="4">
        <v>307.60000000000002</v>
      </c>
      <c r="G929" s="3">
        <v>0.2</v>
      </c>
      <c r="H929" s="4">
        <v>29.36</v>
      </c>
    </row>
    <row r="930" spans="1:8" x14ac:dyDescent="0.3">
      <c r="A930" s="1" t="s">
        <v>1236</v>
      </c>
      <c r="B930" s="2">
        <v>45215</v>
      </c>
      <c r="C930" s="1" t="s">
        <v>77</v>
      </c>
      <c r="D930" s="1" t="s">
        <v>288</v>
      </c>
      <c r="E930">
        <v>1</v>
      </c>
      <c r="F930" s="4">
        <v>1722.53</v>
      </c>
      <c r="G930" s="3">
        <v>0</v>
      </c>
      <c r="H930" s="4">
        <v>303.22000000000003</v>
      </c>
    </row>
    <row r="931" spans="1:8" x14ac:dyDescent="0.3">
      <c r="A931" s="1" t="s">
        <v>1237</v>
      </c>
      <c r="B931" s="2">
        <v>45369</v>
      </c>
      <c r="C931" s="1" t="s">
        <v>412</v>
      </c>
      <c r="D931" s="1" t="s">
        <v>130</v>
      </c>
      <c r="E931">
        <v>5</v>
      </c>
      <c r="F931" s="4">
        <v>934.38</v>
      </c>
      <c r="G931" s="3">
        <v>0.3</v>
      </c>
      <c r="H931" s="4">
        <v>122.13</v>
      </c>
    </row>
    <row r="932" spans="1:8" x14ac:dyDescent="0.3">
      <c r="A932" s="1" t="s">
        <v>1238</v>
      </c>
      <c r="B932" s="2">
        <v>44887</v>
      </c>
      <c r="C932" s="1" t="s">
        <v>268</v>
      </c>
      <c r="D932" s="1" t="s">
        <v>209</v>
      </c>
      <c r="E932">
        <v>2</v>
      </c>
      <c r="F932" s="4">
        <v>1709.24</v>
      </c>
      <c r="G932" s="3">
        <v>0.1</v>
      </c>
      <c r="H932" s="4">
        <v>195.75</v>
      </c>
    </row>
    <row r="933" spans="1:8" x14ac:dyDescent="0.3">
      <c r="A933" s="1" t="s">
        <v>1239</v>
      </c>
      <c r="B933" s="2">
        <v>45434</v>
      </c>
      <c r="C933" s="1" t="s">
        <v>402</v>
      </c>
      <c r="D933" s="1" t="s">
        <v>147</v>
      </c>
      <c r="E933">
        <v>1</v>
      </c>
      <c r="F933" s="4">
        <v>1796.87</v>
      </c>
      <c r="G933" s="3">
        <v>0.2</v>
      </c>
      <c r="H933" s="4">
        <v>298.27</v>
      </c>
    </row>
    <row r="934" spans="1:8" x14ac:dyDescent="0.3">
      <c r="A934" s="1" t="s">
        <v>1240</v>
      </c>
      <c r="B934" s="2">
        <v>44743</v>
      </c>
      <c r="C934" s="1" t="s">
        <v>24</v>
      </c>
      <c r="D934" s="1" t="s">
        <v>22</v>
      </c>
      <c r="E934">
        <v>2</v>
      </c>
      <c r="F934" s="4">
        <v>218.67</v>
      </c>
      <c r="G934" s="3">
        <v>0.3</v>
      </c>
      <c r="H934" s="4">
        <v>18.22</v>
      </c>
    </row>
    <row r="935" spans="1:8" x14ac:dyDescent="0.3">
      <c r="A935" s="1" t="s">
        <v>1241</v>
      </c>
      <c r="B935" s="2">
        <v>44736</v>
      </c>
      <c r="C935" s="1" t="s">
        <v>319</v>
      </c>
      <c r="D935" s="1" t="s">
        <v>43</v>
      </c>
      <c r="E935">
        <v>3</v>
      </c>
      <c r="F935" s="4">
        <v>1778.58</v>
      </c>
      <c r="G935" s="3">
        <v>0.1</v>
      </c>
      <c r="H935" s="4">
        <v>501.45</v>
      </c>
    </row>
    <row r="936" spans="1:8" x14ac:dyDescent="0.3">
      <c r="A936" s="1" t="s">
        <v>1242</v>
      </c>
      <c r="B936" s="2">
        <v>44976</v>
      </c>
      <c r="C936" s="1" t="s">
        <v>99</v>
      </c>
      <c r="D936" s="1" t="s">
        <v>28</v>
      </c>
      <c r="E936">
        <v>5</v>
      </c>
      <c r="F936" s="4">
        <v>951.81</v>
      </c>
      <c r="G936" s="3">
        <v>0.1</v>
      </c>
      <c r="H936" s="4">
        <v>254.06</v>
      </c>
    </row>
    <row r="937" spans="1:8" x14ac:dyDescent="0.3">
      <c r="A937" s="1" t="s">
        <v>1243</v>
      </c>
      <c r="B937" s="2">
        <v>45388</v>
      </c>
      <c r="C937" s="1" t="s">
        <v>179</v>
      </c>
      <c r="D937" s="1" t="s">
        <v>188</v>
      </c>
      <c r="E937">
        <v>1</v>
      </c>
      <c r="F937" s="4">
        <v>1069.82</v>
      </c>
      <c r="G937" s="3">
        <v>0.1</v>
      </c>
      <c r="H937" s="4">
        <v>242.75</v>
      </c>
    </row>
    <row r="938" spans="1:8" x14ac:dyDescent="0.3">
      <c r="A938" s="1" t="s">
        <v>1244</v>
      </c>
      <c r="B938" s="2">
        <v>44762</v>
      </c>
      <c r="C938" s="1" t="s">
        <v>394</v>
      </c>
      <c r="D938" s="1" t="s">
        <v>51</v>
      </c>
      <c r="E938">
        <v>1</v>
      </c>
      <c r="F938" s="4">
        <v>1290.53</v>
      </c>
      <c r="G938" s="3">
        <v>0.3</v>
      </c>
      <c r="H938" s="4">
        <v>98.79</v>
      </c>
    </row>
    <row r="939" spans="1:8" x14ac:dyDescent="0.3">
      <c r="A939" s="1" t="s">
        <v>1245</v>
      </c>
      <c r="B939" s="2">
        <v>44597</v>
      </c>
      <c r="C939" s="1" t="s">
        <v>313</v>
      </c>
      <c r="D939" s="1" t="s">
        <v>72</v>
      </c>
      <c r="E939">
        <v>1</v>
      </c>
      <c r="F939" s="4">
        <v>1860.13</v>
      </c>
      <c r="G939" s="3">
        <v>0.3</v>
      </c>
      <c r="H939" s="4">
        <v>453.81</v>
      </c>
    </row>
    <row r="940" spans="1:8" x14ac:dyDescent="0.3">
      <c r="A940" s="1" t="s">
        <v>1246</v>
      </c>
      <c r="B940" s="2">
        <v>45083</v>
      </c>
      <c r="C940" s="1" t="s">
        <v>739</v>
      </c>
      <c r="D940" s="1" t="s">
        <v>209</v>
      </c>
      <c r="E940">
        <v>1</v>
      </c>
      <c r="F940" s="4">
        <v>136.32</v>
      </c>
      <c r="G940" s="3">
        <v>0</v>
      </c>
      <c r="H940" s="4">
        <v>34.35</v>
      </c>
    </row>
    <row r="941" spans="1:8" x14ac:dyDescent="0.3">
      <c r="A941" s="1" t="s">
        <v>1247</v>
      </c>
      <c r="B941" s="2">
        <v>45137</v>
      </c>
      <c r="C941" s="1" t="s">
        <v>200</v>
      </c>
      <c r="D941" s="1" t="s">
        <v>660</v>
      </c>
      <c r="E941">
        <v>1</v>
      </c>
      <c r="F941" s="4">
        <v>1006</v>
      </c>
      <c r="G941" s="3">
        <v>0.3</v>
      </c>
      <c r="H941" s="4">
        <v>243.39</v>
      </c>
    </row>
    <row r="942" spans="1:8" x14ac:dyDescent="0.3">
      <c r="A942" s="1" t="s">
        <v>1248</v>
      </c>
      <c r="B942" s="2">
        <v>45046</v>
      </c>
      <c r="C942" s="1" t="s">
        <v>228</v>
      </c>
      <c r="D942" s="1" t="s">
        <v>75</v>
      </c>
      <c r="E942">
        <v>2</v>
      </c>
      <c r="F942" s="4">
        <v>1406.67</v>
      </c>
      <c r="G942" s="3">
        <v>0.3</v>
      </c>
      <c r="H942" s="4">
        <v>110.41</v>
      </c>
    </row>
    <row r="943" spans="1:8" x14ac:dyDescent="0.3">
      <c r="A943" s="1" t="s">
        <v>1249</v>
      </c>
      <c r="B943" s="2">
        <v>45006</v>
      </c>
      <c r="C943" s="1" t="s">
        <v>1061</v>
      </c>
      <c r="D943" s="1" t="s">
        <v>67</v>
      </c>
      <c r="E943">
        <v>5</v>
      </c>
      <c r="F943" s="4">
        <v>1473.14</v>
      </c>
      <c r="G943" s="3">
        <v>0.3</v>
      </c>
      <c r="H943" s="4">
        <v>310.8</v>
      </c>
    </row>
    <row r="944" spans="1:8" x14ac:dyDescent="0.3">
      <c r="A944" s="1" t="s">
        <v>1250</v>
      </c>
      <c r="B944" s="2">
        <v>45456</v>
      </c>
      <c r="C944" s="1" t="s">
        <v>96</v>
      </c>
      <c r="D944" s="1" t="s">
        <v>727</v>
      </c>
      <c r="E944">
        <v>3</v>
      </c>
      <c r="F944" s="4">
        <v>1415.81</v>
      </c>
      <c r="G944" s="3">
        <v>0.1</v>
      </c>
      <c r="H944" s="4">
        <v>366.1</v>
      </c>
    </row>
    <row r="945" spans="1:8" x14ac:dyDescent="0.3">
      <c r="A945" s="1" t="s">
        <v>1251</v>
      </c>
      <c r="B945" s="2">
        <v>45271</v>
      </c>
      <c r="C945" s="1" t="s">
        <v>9</v>
      </c>
      <c r="D945" s="1" t="s">
        <v>127</v>
      </c>
      <c r="E945">
        <v>3</v>
      </c>
      <c r="F945" s="4">
        <v>355.43</v>
      </c>
      <c r="G945" s="3">
        <v>0.2</v>
      </c>
      <c r="H945" s="4">
        <v>69.069999999999993</v>
      </c>
    </row>
    <row r="946" spans="1:8" x14ac:dyDescent="0.3">
      <c r="A946" s="1" t="s">
        <v>1252</v>
      </c>
      <c r="B946" s="2">
        <v>44700</v>
      </c>
      <c r="C946" s="1" t="s">
        <v>394</v>
      </c>
      <c r="D946" s="1" t="s">
        <v>97</v>
      </c>
      <c r="E946">
        <v>3</v>
      </c>
      <c r="F946" s="4">
        <v>668.85</v>
      </c>
      <c r="G946" s="3">
        <v>0</v>
      </c>
      <c r="H946" s="4">
        <v>141.53</v>
      </c>
    </row>
    <row r="947" spans="1:8" x14ac:dyDescent="0.3">
      <c r="A947" s="1" t="s">
        <v>1253</v>
      </c>
      <c r="B947" s="2">
        <v>45015</v>
      </c>
      <c r="C947" s="1" t="s">
        <v>77</v>
      </c>
      <c r="D947" s="1" t="s">
        <v>455</v>
      </c>
      <c r="E947">
        <v>3</v>
      </c>
      <c r="F947" s="4">
        <v>781.56</v>
      </c>
      <c r="G947" s="3">
        <v>0.2</v>
      </c>
      <c r="H947" s="4">
        <v>128.63999999999999</v>
      </c>
    </row>
    <row r="948" spans="1:8" x14ac:dyDescent="0.3">
      <c r="A948" s="1" t="s">
        <v>1254</v>
      </c>
      <c r="B948" s="2">
        <v>44889</v>
      </c>
      <c r="C948" s="1" t="s">
        <v>420</v>
      </c>
      <c r="D948" s="1" t="s">
        <v>201</v>
      </c>
      <c r="E948">
        <v>2</v>
      </c>
      <c r="F948" s="4">
        <v>1628.43</v>
      </c>
      <c r="G948" s="3">
        <v>0.2</v>
      </c>
      <c r="H948" s="4">
        <v>296.66000000000003</v>
      </c>
    </row>
    <row r="949" spans="1:8" x14ac:dyDescent="0.3">
      <c r="A949" s="1" t="s">
        <v>1255</v>
      </c>
      <c r="B949" s="2">
        <v>44625</v>
      </c>
      <c r="C949" s="1" t="s">
        <v>447</v>
      </c>
      <c r="D949" s="1" t="s">
        <v>25</v>
      </c>
      <c r="E949">
        <v>4</v>
      </c>
      <c r="F949" s="4">
        <v>629.64</v>
      </c>
      <c r="G949" s="3">
        <v>0.3</v>
      </c>
      <c r="H949" s="4">
        <v>36.89</v>
      </c>
    </row>
    <row r="950" spans="1:8" x14ac:dyDescent="0.3">
      <c r="A950" s="1" t="s">
        <v>1256</v>
      </c>
      <c r="B950" s="2">
        <v>45034</v>
      </c>
      <c r="C950" s="1" t="s">
        <v>169</v>
      </c>
      <c r="D950" s="1" t="s">
        <v>180</v>
      </c>
      <c r="E950">
        <v>5</v>
      </c>
      <c r="F950" s="4">
        <v>500.34</v>
      </c>
      <c r="G950" s="3">
        <v>0</v>
      </c>
      <c r="H950" s="4">
        <v>104.94</v>
      </c>
    </row>
    <row r="951" spans="1:8" x14ac:dyDescent="0.3">
      <c r="A951" s="1" t="s">
        <v>1257</v>
      </c>
      <c r="B951" s="2">
        <v>45210</v>
      </c>
      <c r="C951" s="1" t="s">
        <v>723</v>
      </c>
      <c r="D951" s="1" t="s">
        <v>314</v>
      </c>
      <c r="E951">
        <v>1</v>
      </c>
      <c r="F951" s="4">
        <v>1919.15</v>
      </c>
      <c r="G951" s="3">
        <v>0.2</v>
      </c>
      <c r="H951" s="4">
        <v>135.03</v>
      </c>
    </row>
    <row r="952" spans="1:8" x14ac:dyDescent="0.3">
      <c r="A952" s="1" t="s">
        <v>1258</v>
      </c>
      <c r="B952" s="2">
        <v>44812</v>
      </c>
      <c r="C952" s="1" t="s">
        <v>316</v>
      </c>
      <c r="D952" s="1" t="s">
        <v>301</v>
      </c>
      <c r="E952">
        <v>4</v>
      </c>
      <c r="F952" s="4">
        <v>116.84</v>
      </c>
      <c r="G952" s="3">
        <v>0.2</v>
      </c>
      <c r="H952" s="4">
        <v>18.55</v>
      </c>
    </row>
    <row r="953" spans="1:8" x14ac:dyDescent="0.3">
      <c r="A953" s="1" t="s">
        <v>1259</v>
      </c>
      <c r="B953" s="2">
        <v>44685</v>
      </c>
      <c r="C953" s="1" t="s">
        <v>709</v>
      </c>
      <c r="D953" s="1" t="s">
        <v>372</v>
      </c>
      <c r="E953">
        <v>3</v>
      </c>
      <c r="F953" s="4">
        <v>1995.86</v>
      </c>
      <c r="G953" s="3">
        <v>0</v>
      </c>
      <c r="H953" s="4">
        <v>245.82</v>
      </c>
    </row>
    <row r="954" spans="1:8" x14ac:dyDescent="0.3">
      <c r="A954" s="1" t="s">
        <v>1260</v>
      </c>
      <c r="B954" s="2">
        <v>44978</v>
      </c>
      <c r="C954" s="1" t="s">
        <v>683</v>
      </c>
      <c r="D954" s="1" t="s">
        <v>400</v>
      </c>
      <c r="E954">
        <v>4</v>
      </c>
      <c r="F954" s="4">
        <v>1385.96</v>
      </c>
      <c r="G954" s="3">
        <v>0.3</v>
      </c>
      <c r="H954" s="4">
        <v>258.27999999999997</v>
      </c>
    </row>
    <row r="955" spans="1:8" x14ac:dyDescent="0.3">
      <c r="A955" s="1" t="s">
        <v>1261</v>
      </c>
      <c r="B955" s="2">
        <v>44693</v>
      </c>
      <c r="C955" s="1" t="s">
        <v>338</v>
      </c>
      <c r="D955" s="1" t="s">
        <v>163</v>
      </c>
      <c r="E955">
        <v>5</v>
      </c>
      <c r="F955" s="4">
        <v>1674.09</v>
      </c>
      <c r="G955" s="3">
        <v>0.2</v>
      </c>
      <c r="H955" s="4">
        <v>139.54</v>
      </c>
    </row>
    <row r="956" spans="1:8" x14ac:dyDescent="0.3">
      <c r="A956" s="1" t="s">
        <v>1262</v>
      </c>
      <c r="B956" s="2">
        <v>45419</v>
      </c>
      <c r="C956" s="1" t="s">
        <v>482</v>
      </c>
      <c r="D956" s="1" t="s">
        <v>341</v>
      </c>
      <c r="E956">
        <v>1</v>
      </c>
      <c r="F956" s="4">
        <v>659.78</v>
      </c>
      <c r="G956" s="3">
        <v>0.1</v>
      </c>
      <c r="H956" s="4">
        <v>147.07</v>
      </c>
    </row>
    <row r="957" spans="1:8" x14ac:dyDescent="0.3">
      <c r="A957" s="1" t="s">
        <v>1263</v>
      </c>
      <c r="B957" s="2">
        <v>45186</v>
      </c>
      <c r="C957" s="1" t="s">
        <v>657</v>
      </c>
      <c r="D957" s="1" t="s">
        <v>51</v>
      </c>
      <c r="E957">
        <v>1</v>
      </c>
      <c r="F957" s="4">
        <v>127.2</v>
      </c>
      <c r="G957" s="3">
        <v>0.2</v>
      </c>
      <c r="H957" s="4">
        <v>31.64</v>
      </c>
    </row>
    <row r="958" spans="1:8" x14ac:dyDescent="0.3">
      <c r="A958" s="1" t="s">
        <v>1264</v>
      </c>
      <c r="B958" s="2">
        <v>45293</v>
      </c>
      <c r="C958" s="1" t="s">
        <v>542</v>
      </c>
      <c r="D958" s="1" t="s">
        <v>161</v>
      </c>
      <c r="E958">
        <v>5</v>
      </c>
      <c r="F958" s="4">
        <v>1501.95</v>
      </c>
      <c r="G958" s="3">
        <v>0.1</v>
      </c>
      <c r="H958" s="4">
        <v>136.44</v>
      </c>
    </row>
    <row r="959" spans="1:8" x14ac:dyDescent="0.3">
      <c r="A959" s="1" t="s">
        <v>1265</v>
      </c>
      <c r="B959" s="2">
        <v>44958</v>
      </c>
      <c r="C959" s="1" t="s">
        <v>744</v>
      </c>
      <c r="D959" s="1" t="s">
        <v>215</v>
      </c>
      <c r="E959">
        <v>5</v>
      </c>
      <c r="F959" s="4">
        <v>1684.87</v>
      </c>
      <c r="G959" s="3">
        <v>0.3</v>
      </c>
      <c r="H959" s="4">
        <v>128.18</v>
      </c>
    </row>
    <row r="960" spans="1:8" x14ac:dyDescent="0.3">
      <c r="A960" s="1" t="s">
        <v>1266</v>
      </c>
      <c r="B960" s="2">
        <v>44777</v>
      </c>
      <c r="C960" s="1" t="s">
        <v>53</v>
      </c>
      <c r="D960" s="1" t="s">
        <v>51</v>
      </c>
      <c r="E960">
        <v>3</v>
      </c>
      <c r="F960" s="4">
        <v>1506.9</v>
      </c>
      <c r="G960" s="3">
        <v>0.2</v>
      </c>
      <c r="H960" s="4">
        <v>130.16</v>
      </c>
    </row>
    <row r="961" spans="1:8" x14ac:dyDescent="0.3">
      <c r="A961" s="1" t="s">
        <v>1267</v>
      </c>
      <c r="B961" s="2">
        <v>45067</v>
      </c>
      <c r="C961" s="1" t="s">
        <v>637</v>
      </c>
      <c r="D961" s="1" t="s">
        <v>397</v>
      </c>
      <c r="E961">
        <v>1</v>
      </c>
      <c r="F961" s="4">
        <v>371.42</v>
      </c>
      <c r="G961" s="3">
        <v>0</v>
      </c>
      <c r="H961" s="4">
        <v>100.02</v>
      </c>
    </row>
    <row r="962" spans="1:8" x14ac:dyDescent="0.3">
      <c r="A962" s="1" t="s">
        <v>1268</v>
      </c>
      <c r="B962" s="2">
        <v>45426</v>
      </c>
      <c r="C962" s="1" t="s">
        <v>169</v>
      </c>
      <c r="D962" s="1" t="s">
        <v>242</v>
      </c>
      <c r="E962">
        <v>4</v>
      </c>
      <c r="F962" s="4">
        <v>1531.51</v>
      </c>
      <c r="G962" s="3">
        <v>0</v>
      </c>
      <c r="H962" s="4">
        <v>278.81</v>
      </c>
    </row>
    <row r="963" spans="1:8" x14ac:dyDescent="0.3">
      <c r="A963" s="1" t="s">
        <v>1269</v>
      </c>
      <c r="B963" s="2">
        <v>45261</v>
      </c>
      <c r="C963" s="1" t="s">
        <v>803</v>
      </c>
      <c r="D963" s="1" t="s">
        <v>242</v>
      </c>
      <c r="E963">
        <v>2</v>
      </c>
      <c r="F963" s="4">
        <v>1560.95</v>
      </c>
      <c r="G963" s="3">
        <v>0.2</v>
      </c>
      <c r="H963" s="4">
        <v>260.39</v>
      </c>
    </row>
    <row r="964" spans="1:8" x14ac:dyDescent="0.3">
      <c r="A964" s="1" t="s">
        <v>1270</v>
      </c>
      <c r="B964" s="2">
        <v>44817</v>
      </c>
      <c r="C964" s="1" t="s">
        <v>449</v>
      </c>
      <c r="D964" s="1" t="s">
        <v>116</v>
      </c>
      <c r="E964">
        <v>2</v>
      </c>
      <c r="F964" s="4">
        <v>1351.23</v>
      </c>
      <c r="G964" s="3">
        <v>0.3</v>
      </c>
      <c r="H964" s="4">
        <v>103.61</v>
      </c>
    </row>
    <row r="965" spans="1:8" x14ac:dyDescent="0.3">
      <c r="A965" s="1" t="s">
        <v>1271</v>
      </c>
      <c r="B965" s="2">
        <v>44672</v>
      </c>
      <c r="C965" s="1" t="s">
        <v>332</v>
      </c>
      <c r="D965" s="1" t="s">
        <v>188</v>
      </c>
      <c r="E965">
        <v>5</v>
      </c>
      <c r="F965" s="4">
        <v>1555.62</v>
      </c>
      <c r="G965" s="3">
        <v>0.3</v>
      </c>
      <c r="H965" s="4">
        <v>330.4</v>
      </c>
    </row>
    <row r="966" spans="1:8" x14ac:dyDescent="0.3">
      <c r="A966" s="1" t="s">
        <v>1272</v>
      </c>
      <c r="B966" s="2">
        <v>44643</v>
      </c>
      <c r="C966" s="1" t="s">
        <v>723</v>
      </c>
      <c r="D966" s="1" t="s">
        <v>170</v>
      </c>
      <c r="E966">
        <v>3</v>
      </c>
      <c r="F966" s="4">
        <v>1707.25</v>
      </c>
      <c r="G966" s="3">
        <v>0</v>
      </c>
      <c r="H966" s="4">
        <v>455.84</v>
      </c>
    </row>
    <row r="967" spans="1:8" x14ac:dyDescent="0.3">
      <c r="A967" s="1" t="s">
        <v>1273</v>
      </c>
      <c r="B967" s="2">
        <v>45129</v>
      </c>
      <c r="C967" s="1" t="s">
        <v>709</v>
      </c>
      <c r="D967" s="1" t="s">
        <v>119</v>
      </c>
      <c r="E967">
        <v>2</v>
      </c>
      <c r="F967" s="4">
        <v>1265.8499999999999</v>
      </c>
      <c r="G967" s="3">
        <v>0.2</v>
      </c>
      <c r="H967" s="4">
        <v>325.38</v>
      </c>
    </row>
    <row r="968" spans="1:8" x14ac:dyDescent="0.3">
      <c r="A968" s="1" t="s">
        <v>1274</v>
      </c>
      <c r="B968" s="2">
        <v>45399</v>
      </c>
      <c r="C968" s="1" t="s">
        <v>158</v>
      </c>
      <c r="D968" s="1" t="s">
        <v>51</v>
      </c>
      <c r="E968">
        <v>1</v>
      </c>
      <c r="F968" s="4">
        <v>268.35000000000002</v>
      </c>
      <c r="G968" s="3">
        <v>0.3</v>
      </c>
      <c r="H968" s="4">
        <v>55.42</v>
      </c>
    </row>
    <row r="969" spans="1:8" x14ac:dyDescent="0.3">
      <c r="A969" s="1" t="s">
        <v>1275</v>
      </c>
      <c r="B969" s="2">
        <v>44950</v>
      </c>
      <c r="C969" s="1" t="s">
        <v>524</v>
      </c>
      <c r="D969" s="1" t="s">
        <v>54</v>
      </c>
      <c r="E969">
        <v>5</v>
      </c>
      <c r="F969" s="4">
        <v>1026.49</v>
      </c>
      <c r="G969" s="3">
        <v>0</v>
      </c>
      <c r="H969" s="4">
        <v>70.64</v>
      </c>
    </row>
    <row r="970" spans="1:8" x14ac:dyDescent="0.3">
      <c r="A970" s="1" t="s">
        <v>1276</v>
      </c>
      <c r="B970" s="2">
        <v>44584</v>
      </c>
      <c r="C970" s="1" t="s">
        <v>136</v>
      </c>
      <c r="D970" s="1" t="s">
        <v>72</v>
      </c>
      <c r="E970">
        <v>4</v>
      </c>
      <c r="F970" s="4">
        <v>247.53</v>
      </c>
      <c r="G970" s="3">
        <v>0.1</v>
      </c>
      <c r="H970" s="4">
        <v>19.329999999999998</v>
      </c>
    </row>
    <row r="971" spans="1:8" x14ac:dyDescent="0.3">
      <c r="A971" s="1" t="s">
        <v>1277</v>
      </c>
      <c r="B971" s="2">
        <v>44882</v>
      </c>
      <c r="C971" s="1" t="s">
        <v>391</v>
      </c>
      <c r="D971" s="1" t="s">
        <v>301</v>
      </c>
      <c r="E971">
        <v>5</v>
      </c>
      <c r="F971" s="4">
        <v>874.33</v>
      </c>
      <c r="G971" s="3">
        <v>0.2</v>
      </c>
      <c r="H971" s="4">
        <v>54.49</v>
      </c>
    </row>
    <row r="972" spans="1:8" x14ac:dyDescent="0.3">
      <c r="A972" s="1" t="s">
        <v>1278</v>
      </c>
      <c r="B972" s="2">
        <v>45450</v>
      </c>
      <c r="C972" s="1" t="s">
        <v>330</v>
      </c>
      <c r="D972" s="1" t="s">
        <v>119</v>
      </c>
      <c r="E972">
        <v>4</v>
      </c>
      <c r="F972" s="4">
        <v>873.5</v>
      </c>
      <c r="G972" s="3">
        <v>0.1</v>
      </c>
      <c r="H972" s="4">
        <v>99.9</v>
      </c>
    </row>
    <row r="973" spans="1:8" x14ac:dyDescent="0.3">
      <c r="A973" s="1" t="s">
        <v>1279</v>
      </c>
      <c r="B973" s="2">
        <v>44687</v>
      </c>
      <c r="C973" s="1" t="s">
        <v>77</v>
      </c>
      <c r="D973" s="1" t="s">
        <v>132</v>
      </c>
      <c r="E973">
        <v>5</v>
      </c>
      <c r="F973" s="4">
        <v>225.42</v>
      </c>
      <c r="G973" s="3">
        <v>0.1</v>
      </c>
      <c r="H973" s="4">
        <v>18.920000000000002</v>
      </c>
    </row>
    <row r="974" spans="1:8" x14ac:dyDescent="0.3">
      <c r="A974" s="1" t="s">
        <v>1280</v>
      </c>
      <c r="B974" s="2">
        <v>44753</v>
      </c>
      <c r="C974" s="1" t="s">
        <v>113</v>
      </c>
      <c r="D974" s="1" t="s">
        <v>147</v>
      </c>
      <c r="E974">
        <v>5</v>
      </c>
      <c r="F974" s="4">
        <v>762.76</v>
      </c>
      <c r="G974" s="3">
        <v>0.3</v>
      </c>
      <c r="H974" s="4">
        <v>87.73</v>
      </c>
    </row>
    <row r="975" spans="1:8" x14ac:dyDescent="0.3">
      <c r="A975" s="1" t="s">
        <v>1281</v>
      </c>
      <c r="B975" s="2">
        <v>45209</v>
      </c>
      <c r="C975" s="1" t="s">
        <v>332</v>
      </c>
      <c r="D975" s="1" t="s">
        <v>92</v>
      </c>
      <c r="E975">
        <v>5</v>
      </c>
      <c r="F975" s="4">
        <v>310.89999999999998</v>
      </c>
      <c r="G975" s="3">
        <v>0.3</v>
      </c>
      <c r="H975" s="4">
        <v>45.47</v>
      </c>
    </row>
    <row r="976" spans="1:8" x14ac:dyDescent="0.3">
      <c r="A976" s="1" t="s">
        <v>1282</v>
      </c>
      <c r="B976" s="2">
        <v>44672</v>
      </c>
      <c r="C976" s="1" t="s">
        <v>353</v>
      </c>
      <c r="D976" s="1" t="s">
        <v>59</v>
      </c>
      <c r="E976">
        <v>4</v>
      </c>
      <c r="F976" s="4">
        <v>1635.65</v>
      </c>
      <c r="G976" s="3">
        <v>0.3</v>
      </c>
      <c r="H976" s="4">
        <v>467.38</v>
      </c>
    </row>
    <row r="977" spans="1:8" x14ac:dyDescent="0.3">
      <c r="A977" s="1" t="s">
        <v>1283</v>
      </c>
      <c r="B977" s="2">
        <v>45265</v>
      </c>
      <c r="C977" s="1" t="s">
        <v>466</v>
      </c>
      <c r="D977" s="1" t="s">
        <v>59</v>
      </c>
      <c r="E977">
        <v>4</v>
      </c>
      <c r="F977" s="4">
        <v>1900.61</v>
      </c>
      <c r="G977" s="3">
        <v>0.2</v>
      </c>
      <c r="H977" s="4">
        <v>385.05</v>
      </c>
    </row>
    <row r="978" spans="1:8" x14ac:dyDescent="0.3">
      <c r="A978" s="1" t="s">
        <v>1284</v>
      </c>
      <c r="B978" s="2">
        <v>45282</v>
      </c>
      <c r="C978" s="1" t="s">
        <v>265</v>
      </c>
      <c r="D978" s="1" t="s">
        <v>28</v>
      </c>
      <c r="E978">
        <v>5</v>
      </c>
      <c r="F978" s="4">
        <v>237.4</v>
      </c>
      <c r="G978" s="3">
        <v>0.1</v>
      </c>
      <c r="H978" s="4">
        <v>61.43</v>
      </c>
    </row>
    <row r="979" spans="1:8" x14ac:dyDescent="0.3">
      <c r="A979" s="1" t="s">
        <v>1285</v>
      </c>
      <c r="B979" s="2">
        <v>44877</v>
      </c>
      <c r="C979" s="1" t="s">
        <v>1043</v>
      </c>
      <c r="D979" s="1" t="s">
        <v>211</v>
      </c>
      <c r="E979">
        <v>2</v>
      </c>
      <c r="F979" s="4">
        <v>1914.72</v>
      </c>
      <c r="G979" s="3">
        <v>0.2</v>
      </c>
      <c r="H979" s="4">
        <v>435.77</v>
      </c>
    </row>
    <row r="980" spans="1:8" x14ac:dyDescent="0.3">
      <c r="A980" s="1" t="s">
        <v>1286</v>
      </c>
      <c r="B980" s="2">
        <v>45362</v>
      </c>
      <c r="C980" s="1" t="s">
        <v>622</v>
      </c>
      <c r="D980" s="1" t="s">
        <v>127</v>
      </c>
      <c r="E980">
        <v>3</v>
      </c>
      <c r="F980" s="4">
        <v>1092.9000000000001</v>
      </c>
      <c r="G980" s="3">
        <v>0.3</v>
      </c>
      <c r="H980" s="4">
        <v>85.38</v>
      </c>
    </row>
    <row r="981" spans="1:8" x14ac:dyDescent="0.3">
      <c r="A981" s="1" t="s">
        <v>1287</v>
      </c>
      <c r="B981" s="2">
        <v>45417</v>
      </c>
      <c r="C981" s="1" t="s">
        <v>285</v>
      </c>
      <c r="D981" s="1" t="s">
        <v>51</v>
      </c>
      <c r="E981">
        <v>3</v>
      </c>
      <c r="F981" s="4">
        <v>669.17</v>
      </c>
      <c r="G981" s="3">
        <v>0.1</v>
      </c>
      <c r="H981" s="4">
        <v>156.57</v>
      </c>
    </row>
    <row r="982" spans="1:8" x14ac:dyDescent="0.3">
      <c r="A982" s="1" t="s">
        <v>1288</v>
      </c>
      <c r="B982" s="2">
        <v>45317</v>
      </c>
      <c r="C982" s="1" t="s">
        <v>69</v>
      </c>
      <c r="D982" s="1" t="s">
        <v>364</v>
      </c>
      <c r="E982">
        <v>3</v>
      </c>
      <c r="F982" s="4">
        <v>246.04</v>
      </c>
      <c r="G982" s="3">
        <v>0.2</v>
      </c>
      <c r="H982" s="4">
        <v>29.22</v>
      </c>
    </row>
    <row r="983" spans="1:8" x14ac:dyDescent="0.3">
      <c r="A983" s="1" t="s">
        <v>1289</v>
      </c>
      <c r="B983" s="2">
        <v>44949</v>
      </c>
      <c r="C983" s="1" t="s">
        <v>138</v>
      </c>
      <c r="D983" s="1" t="s">
        <v>283</v>
      </c>
      <c r="E983">
        <v>4</v>
      </c>
      <c r="F983" s="4">
        <v>1051.19</v>
      </c>
      <c r="G983" s="3">
        <v>0.2</v>
      </c>
      <c r="H983" s="4">
        <v>220.52</v>
      </c>
    </row>
    <row r="984" spans="1:8" x14ac:dyDescent="0.3">
      <c r="A984" s="1" t="s">
        <v>1290</v>
      </c>
      <c r="B984" s="2">
        <v>44654</v>
      </c>
      <c r="C984" s="1" t="s">
        <v>353</v>
      </c>
      <c r="D984" s="1" t="s">
        <v>603</v>
      </c>
      <c r="E984">
        <v>4</v>
      </c>
      <c r="F984" s="4">
        <v>1609.58</v>
      </c>
      <c r="G984" s="3">
        <v>0</v>
      </c>
      <c r="H984" s="4">
        <v>217.68</v>
      </c>
    </row>
    <row r="985" spans="1:8" x14ac:dyDescent="0.3">
      <c r="A985" s="1" t="s">
        <v>1291</v>
      </c>
      <c r="B985" s="2">
        <v>44808</v>
      </c>
      <c r="C985" s="1" t="s">
        <v>182</v>
      </c>
      <c r="D985" s="1" t="s">
        <v>122</v>
      </c>
      <c r="E985">
        <v>2</v>
      </c>
      <c r="F985" s="4">
        <v>1443.46</v>
      </c>
      <c r="G985" s="3">
        <v>0.2</v>
      </c>
      <c r="H985" s="4">
        <v>432.2</v>
      </c>
    </row>
    <row r="986" spans="1:8" x14ac:dyDescent="0.3">
      <c r="A986" s="1" t="s">
        <v>1292</v>
      </c>
      <c r="B986" s="2">
        <v>45412</v>
      </c>
      <c r="C986" s="1" t="s">
        <v>292</v>
      </c>
      <c r="D986" s="1" t="s">
        <v>304</v>
      </c>
      <c r="E986">
        <v>3</v>
      </c>
      <c r="F986" s="4">
        <v>195.43</v>
      </c>
      <c r="G986" s="3">
        <v>0.3</v>
      </c>
      <c r="H986" s="4">
        <v>22.65</v>
      </c>
    </row>
    <row r="987" spans="1:8" x14ac:dyDescent="0.3">
      <c r="A987" s="1" t="s">
        <v>1293</v>
      </c>
      <c r="B987" s="2">
        <v>44698</v>
      </c>
      <c r="C987" s="1" t="s">
        <v>391</v>
      </c>
      <c r="D987" s="1" t="s">
        <v>97</v>
      </c>
      <c r="E987">
        <v>3</v>
      </c>
      <c r="F987" s="4">
        <v>238.51</v>
      </c>
      <c r="G987" s="3">
        <v>0.2</v>
      </c>
      <c r="H987" s="4">
        <v>28.57</v>
      </c>
    </row>
    <row r="988" spans="1:8" x14ac:dyDescent="0.3">
      <c r="A988" s="1" t="s">
        <v>1294</v>
      </c>
      <c r="B988" s="2">
        <v>45278</v>
      </c>
      <c r="C988" s="1" t="s">
        <v>287</v>
      </c>
      <c r="D988" s="1" t="s">
        <v>263</v>
      </c>
      <c r="E988">
        <v>5</v>
      </c>
      <c r="F988" s="4">
        <v>865.46</v>
      </c>
      <c r="G988" s="3">
        <v>0.1</v>
      </c>
      <c r="H988" s="4">
        <v>244.64</v>
      </c>
    </row>
    <row r="989" spans="1:8" x14ac:dyDescent="0.3">
      <c r="A989" s="1" t="s">
        <v>1295</v>
      </c>
      <c r="B989" s="2">
        <v>44894</v>
      </c>
      <c r="C989" s="1" t="s">
        <v>158</v>
      </c>
      <c r="D989" s="1" t="s">
        <v>34</v>
      </c>
      <c r="E989">
        <v>4</v>
      </c>
      <c r="F989" s="4">
        <v>661.05</v>
      </c>
      <c r="G989" s="3">
        <v>0.2</v>
      </c>
      <c r="H989" s="4">
        <v>37.130000000000003</v>
      </c>
    </row>
    <row r="990" spans="1:8" x14ac:dyDescent="0.3">
      <c r="A990" s="1" t="s">
        <v>1296</v>
      </c>
      <c r="B990" s="2">
        <v>45394</v>
      </c>
      <c r="C990" s="1" t="s">
        <v>85</v>
      </c>
      <c r="D990" s="1" t="s">
        <v>369</v>
      </c>
      <c r="E990">
        <v>3</v>
      </c>
      <c r="F990" s="4">
        <v>541.53</v>
      </c>
      <c r="G990" s="3">
        <v>0</v>
      </c>
      <c r="H990" s="4">
        <v>121.4</v>
      </c>
    </row>
    <row r="991" spans="1:8" x14ac:dyDescent="0.3">
      <c r="A991" s="1" t="s">
        <v>1297</v>
      </c>
      <c r="B991" s="2">
        <v>44745</v>
      </c>
      <c r="C991" s="1" t="s">
        <v>605</v>
      </c>
      <c r="D991" s="1" t="s">
        <v>451</v>
      </c>
      <c r="E991">
        <v>2</v>
      </c>
      <c r="F991" s="4">
        <v>633.91</v>
      </c>
      <c r="G991" s="3">
        <v>0.1</v>
      </c>
      <c r="H991" s="4">
        <v>146.63999999999999</v>
      </c>
    </row>
    <row r="992" spans="1:8" x14ac:dyDescent="0.3">
      <c r="A992" s="1" t="s">
        <v>1298</v>
      </c>
      <c r="B992" s="2">
        <v>45058</v>
      </c>
      <c r="C992" s="1" t="s">
        <v>69</v>
      </c>
      <c r="D992" s="1" t="s">
        <v>48</v>
      </c>
      <c r="E992">
        <v>2</v>
      </c>
      <c r="F992" s="4">
        <v>1626.62</v>
      </c>
      <c r="G992" s="3">
        <v>0.1</v>
      </c>
      <c r="H992" s="4">
        <v>421.45</v>
      </c>
    </row>
    <row r="993" spans="1:8" x14ac:dyDescent="0.3">
      <c r="A993" s="1" t="s">
        <v>1299</v>
      </c>
      <c r="B993" s="2">
        <v>44854</v>
      </c>
      <c r="C993" s="1" t="s">
        <v>223</v>
      </c>
      <c r="D993" s="1" t="s">
        <v>22</v>
      </c>
      <c r="E993">
        <v>3</v>
      </c>
      <c r="F993" s="4">
        <v>1865.53</v>
      </c>
      <c r="G993" s="3">
        <v>0</v>
      </c>
      <c r="H993" s="4">
        <v>547.74</v>
      </c>
    </row>
    <row r="994" spans="1:8" x14ac:dyDescent="0.3">
      <c r="A994" s="1" t="s">
        <v>1300</v>
      </c>
      <c r="B994" s="2">
        <v>44722</v>
      </c>
      <c r="C994" s="1" t="s">
        <v>113</v>
      </c>
      <c r="D994" s="1" t="s">
        <v>116</v>
      </c>
      <c r="E994">
        <v>4</v>
      </c>
      <c r="F994" s="4">
        <v>869.7</v>
      </c>
      <c r="G994" s="3">
        <v>0.3</v>
      </c>
      <c r="H994" s="4">
        <v>255.61</v>
      </c>
    </row>
    <row r="995" spans="1:8" x14ac:dyDescent="0.3">
      <c r="A995" s="1" t="s">
        <v>1301</v>
      </c>
      <c r="B995" s="2">
        <v>45280</v>
      </c>
      <c r="C995" s="1" t="s">
        <v>74</v>
      </c>
      <c r="D995" s="1" t="s">
        <v>294</v>
      </c>
      <c r="E995">
        <v>2</v>
      </c>
      <c r="F995" s="4">
        <v>1821.61</v>
      </c>
      <c r="G995" s="3">
        <v>0.1</v>
      </c>
      <c r="H995" s="4">
        <v>120.81</v>
      </c>
    </row>
    <row r="996" spans="1:8" x14ac:dyDescent="0.3">
      <c r="A996" s="1" t="s">
        <v>1302</v>
      </c>
      <c r="B996" s="2">
        <v>44970</v>
      </c>
      <c r="C996" s="1" t="s">
        <v>786</v>
      </c>
      <c r="D996" s="1" t="s">
        <v>364</v>
      </c>
      <c r="E996">
        <v>5</v>
      </c>
      <c r="F996" s="4">
        <v>710.84</v>
      </c>
      <c r="G996" s="3">
        <v>0.3</v>
      </c>
      <c r="H996" s="4">
        <v>181.59</v>
      </c>
    </row>
    <row r="997" spans="1:8" x14ac:dyDescent="0.3">
      <c r="A997" s="1" t="s">
        <v>1303</v>
      </c>
      <c r="B997" s="2">
        <v>45025</v>
      </c>
      <c r="C997" s="1" t="s">
        <v>260</v>
      </c>
      <c r="D997" s="1" t="s">
        <v>288</v>
      </c>
      <c r="E997">
        <v>2</v>
      </c>
      <c r="F997" s="4">
        <v>1005.23</v>
      </c>
      <c r="G997" s="3">
        <v>0.1</v>
      </c>
      <c r="H997" s="4">
        <v>212.68</v>
      </c>
    </row>
    <row r="998" spans="1:8" x14ac:dyDescent="0.3">
      <c r="A998" s="1" t="s">
        <v>1304</v>
      </c>
      <c r="B998" s="2">
        <v>45169</v>
      </c>
      <c r="C998" s="1" t="s">
        <v>442</v>
      </c>
      <c r="D998" s="1" t="s">
        <v>253</v>
      </c>
      <c r="E998">
        <v>1</v>
      </c>
      <c r="F998" s="4">
        <v>529.46</v>
      </c>
      <c r="G998" s="3">
        <v>0.1</v>
      </c>
      <c r="H998" s="4">
        <v>112.16</v>
      </c>
    </row>
    <row r="999" spans="1:8" x14ac:dyDescent="0.3">
      <c r="A999" s="1" t="s">
        <v>1305</v>
      </c>
      <c r="B999" s="2">
        <v>44767</v>
      </c>
      <c r="C999" s="1" t="s">
        <v>200</v>
      </c>
      <c r="D999" s="1" t="s">
        <v>143</v>
      </c>
      <c r="E999">
        <v>1</v>
      </c>
      <c r="F999" s="4">
        <v>1316.9</v>
      </c>
      <c r="G999" s="3">
        <v>0.3</v>
      </c>
      <c r="H999" s="4">
        <v>108.1</v>
      </c>
    </row>
    <row r="1000" spans="1:8" x14ac:dyDescent="0.3">
      <c r="A1000" s="1" t="s">
        <v>1306</v>
      </c>
      <c r="B1000" s="2">
        <v>45335</v>
      </c>
      <c r="C1000" s="1" t="s">
        <v>422</v>
      </c>
      <c r="D1000" s="1" t="s">
        <v>211</v>
      </c>
      <c r="E1000">
        <v>4</v>
      </c>
      <c r="F1000" s="4">
        <v>1960.06</v>
      </c>
      <c r="G1000" s="3">
        <v>0.1</v>
      </c>
      <c r="H1000" s="4">
        <v>416.6</v>
      </c>
    </row>
    <row r="1001" spans="1:8" x14ac:dyDescent="0.3">
      <c r="A1001" s="1" t="s">
        <v>1307</v>
      </c>
      <c r="B1001" s="2">
        <v>44807</v>
      </c>
      <c r="C1001" s="1" t="s">
        <v>406</v>
      </c>
      <c r="D1001" s="1" t="s">
        <v>177</v>
      </c>
      <c r="E1001">
        <v>3</v>
      </c>
      <c r="F1001" s="4">
        <v>1246.6400000000001</v>
      </c>
      <c r="G1001" s="3">
        <v>0.3</v>
      </c>
      <c r="H1001" s="4">
        <v>368.53</v>
      </c>
    </row>
    <row r="1002" spans="1:8" x14ac:dyDescent="0.3">
      <c r="A1002" s="1" t="s">
        <v>1308</v>
      </c>
      <c r="B1002" s="2">
        <v>45187</v>
      </c>
      <c r="C1002" s="1" t="s">
        <v>53</v>
      </c>
      <c r="D1002" s="1" t="s">
        <v>143</v>
      </c>
      <c r="E1002">
        <v>4</v>
      </c>
      <c r="F1002" s="4">
        <v>779.85</v>
      </c>
      <c r="G1002" s="3">
        <v>0</v>
      </c>
      <c r="H1002" s="4">
        <v>216.76</v>
      </c>
    </row>
    <row r="1003" spans="1:8" x14ac:dyDescent="0.3">
      <c r="A1003" s="1" t="s">
        <v>1309</v>
      </c>
      <c r="B1003" s="2">
        <v>44880</v>
      </c>
      <c r="C1003" s="1" t="s">
        <v>280</v>
      </c>
      <c r="D1003" s="1" t="s">
        <v>127</v>
      </c>
      <c r="E1003">
        <v>4</v>
      </c>
      <c r="F1003" s="4">
        <v>1330.85</v>
      </c>
      <c r="G1003" s="3">
        <v>0.3</v>
      </c>
      <c r="H1003" s="4">
        <v>212.65</v>
      </c>
    </row>
    <row r="1004" spans="1:8" x14ac:dyDescent="0.3">
      <c r="A1004" s="1" t="s">
        <v>1310</v>
      </c>
      <c r="B1004" s="2">
        <v>45196</v>
      </c>
      <c r="C1004" s="1" t="s">
        <v>21</v>
      </c>
      <c r="D1004" s="1" t="s">
        <v>269</v>
      </c>
      <c r="E1004">
        <v>4</v>
      </c>
      <c r="F1004" s="4">
        <v>333.55</v>
      </c>
      <c r="G1004" s="3">
        <v>0</v>
      </c>
      <c r="H1004" s="4">
        <v>20.010000000000002</v>
      </c>
    </row>
    <row r="1005" spans="1:8" x14ac:dyDescent="0.3">
      <c r="A1005" s="1" t="s">
        <v>1311</v>
      </c>
      <c r="B1005" s="2">
        <v>44822</v>
      </c>
      <c r="C1005" s="1" t="s">
        <v>685</v>
      </c>
      <c r="D1005" s="1" t="s">
        <v>70</v>
      </c>
      <c r="E1005">
        <v>4</v>
      </c>
      <c r="F1005" s="4">
        <v>1788.45</v>
      </c>
      <c r="G1005" s="3">
        <v>0.1</v>
      </c>
      <c r="H1005" s="4">
        <v>251.41</v>
      </c>
    </row>
    <row r="1006" spans="1:8" x14ac:dyDescent="0.3">
      <c r="A1006" s="1" t="s">
        <v>1312</v>
      </c>
      <c r="B1006" s="2">
        <v>44592</v>
      </c>
      <c r="C1006" s="1" t="s">
        <v>482</v>
      </c>
      <c r="D1006" s="1" t="s">
        <v>170</v>
      </c>
      <c r="E1006">
        <v>5</v>
      </c>
      <c r="F1006" s="4">
        <v>1055.8599999999999</v>
      </c>
      <c r="G1006" s="3">
        <v>0.3</v>
      </c>
      <c r="H1006" s="4">
        <v>270.93</v>
      </c>
    </row>
    <row r="1007" spans="1:8" x14ac:dyDescent="0.3">
      <c r="A1007" s="1" t="s">
        <v>1313</v>
      </c>
      <c r="B1007" s="2">
        <v>44851</v>
      </c>
      <c r="C1007" s="1" t="s">
        <v>172</v>
      </c>
      <c r="D1007" s="1" t="s">
        <v>455</v>
      </c>
      <c r="E1007">
        <v>5</v>
      </c>
      <c r="F1007" s="4">
        <v>953.76</v>
      </c>
      <c r="G1007" s="3">
        <v>0.1</v>
      </c>
      <c r="H1007" s="4">
        <v>214.95</v>
      </c>
    </row>
    <row r="1008" spans="1:8" x14ac:dyDescent="0.3">
      <c r="A1008" s="1" t="s">
        <v>1314</v>
      </c>
      <c r="B1008" s="2">
        <v>44887</v>
      </c>
      <c r="C1008" s="1" t="s">
        <v>360</v>
      </c>
      <c r="D1008" s="1" t="s">
        <v>603</v>
      </c>
      <c r="E1008">
        <v>2</v>
      </c>
      <c r="F1008" s="4">
        <v>1213.1400000000001</v>
      </c>
      <c r="G1008" s="3">
        <v>0.3</v>
      </c>
      <c r="H1008" s="4">
        <v>199.97</v>
      </c>
    </row>
    <row r="1009" spans="1:8" x14ac:dyDescent="0.3">
      <c r="A1009" s="1" t="s">
        <v>1315</v>
      </c>
      <c r="B1009" s="2">
        <v>45223</v>
      </c>
      <c r="C1009" s="1" t="s">
        <v>282</v>
      </c>
      <c r="D1009" s="1" t="s">
        <v>61</v>
      </c>
      <c r="E1009">
        <v>1</v>
      </c>
      <c r="F1009" s="4">
        <v>1287.0899999999999</v>
      </c>
      <c r="G1009" s="3">
        <v>0</v>
      </c>
      <c r="H1009" s="4">
        <v>82.08</v>
      </c>
    </row>
    <row r="1010" spans="1:8" x14ac:dyDescent="0.3">
      <c r="A1010" s="1" t="s">
        <v>1316</v>
      </c>
      <c r="B1010" s="2">
        <v>45191</v>
      </c>
      <c r="C1010" s="1" t="s">
        <v>265</v>
      </c>
      <c r="D1010" s="1" t="s">
        <v>180</v>
      </c>
      <c r="E1010">
        <v>4</v>
      </c>
      <c r="F1010" s="4">
        <v>236.37</v>
      </c>
      <c r="G1010" s="3">
        <v>0</v>
      </c>
      <c r="H1010" s="4">
        <v>37.04</v>
      </c>
    </row>
    <row r="1011" spans="1:8" x14ac:dyDescent="0.3">
      <c r="A1011" s="1" t="s">
        <v>1317</v>
      </c>
      <c r="B1011" s="2">
        <v>45366</v>
      </c>
      <c r="C1011" s="1" t="s">
        <v>174</v>
      </c>
      <c r="D1011" s="1" t="s">
        <v>177</v>
      </c>
      <c r="E1011">
        <v>2</v>
      </c>
      <c r="F1011" s="4">
        <v>1396.97</v>
      </c>
      <c r="G1011" s="3">
        <v>0.3</v>
      </c>
      <c r="H1011" s="4">
        <v>233.65</v>
      </c>
    </row>
    <row r="1012" spans="1:8" x14ac:dyDescent="0.3">
      <c r="A1012" s="1" t="s">
        <v>1318</v>
      </c>
      <c r="B1012" s="2">
        <v>45183</v>
      </c>
      <c r="C1012" s="1" t="s">
        <v>179</v>
      </c>
      <c r="D1012" s="1" t="s">
        <v>309</v>
      </c>
      <c r="E1012">
        <v>1</v>
      </c>
      <c r="F1012" s="4">
        <v>559.66999999999996</v>
      </c>
      <c r="G1012" s="3">
        <v>0</v>
      </c>
      <c r="H1012" s="4">
        <v>157.9</v>
      </c>
    </row>
    <row r="1013" spans="1:8" x14ac:dyDescent="0.3">
      <c r="A1013" s="1" t="s">
        <v>1319</v>
      </c>
      <c r="B1013" s="2">
        <v>45285</v>
      </c>
      <c r="C1013" s="1" t="s">
        <v>1143</v>
      </c>
      <c r="D1013" s="1" t="s">
        <v>100</v>
      </c>
      <c r="E1013">
        <v>3</v>
      </c>
      <c r="F1013" s="4">
        <v>1456.51</v>
      </c>
      <c r="G1013" s="3">
        <v>0.1</v>
      </c>
      <c r="H1013" s="4">
        <v>306.26</v>
      </c>
    </row>
    <row r="1014" spans="1:8" x14ac:dyDescent="0.3">
      <c r="A1014" s="1" t="s">
        <v>1320</v>
      </c>
      <c r="B1014" s="2">
        <v>45188</v>
      </c>
      <c r="C1014" s="1" t="s">
        <v>678</v>
      </c>
      <c r="D1014" s="1" t="s">
        <v>209</v>
      </c>
      <c r="E1014">
        <v>5</v>
      </c>
      <c r="F1014" s="4">
        <v>1662.82</v>
      </c>
      <c r="G1014" s="3">
        <v>0.1</v>
      </c>
      <c r="H1014" s="4">
        <v>212.7</v>
      </c>
    </row>
    <row r="1015" spans="1:8" x14ac:dyDescent="0.3">
      <c r="A1015" s="1" t="s">
        <v>1321</v>
      </c>
      <c r="B1015" s="2">
        <v>44946</v>
      </c>
      <c r="C1015" s="1" t="s">
        <v>77</v>
      </c>
      <c r="D1015" s="1" t="s">
        <v>147</v>
      </c>
      <c r="E1015">
        <v>1</v>
      </c>
      <c r="F1015" s="4">
        <v>1627.52</v>
      </c>
      <c r="G1015" s="3">
        <v>0.2</v>
      </c>
      <c r="H1015" s="4">
        <v>295.12</v>
      </c>
    </row>
    <row r="1016" spans="1:8" x14ac:dyDescent="0.3">
      <c r="A1016" s="1" t="s">
        <v>1322</v>
      </c>
      <c r="B1016" s="2">
        <v>45150</v>
      </c>
      <c r="C1016" s="1" t="s">
        <v>380</v>
      </c>
      <c r="D1016" s="1" t="s">
        <v>757</v>
      </c>
      <c r="E1016">
        <v>3</v>
      </c>
      <c r="F1016" s="4">
        <v>1149.75</v>
      </c>
      <c r="G1016" s="3">
        <v>0</v>
      </c>
      <c r="H1016" s="4">
        <v>76.47</v>
      </c>
    </row>
    <row r="1017" spans="1:8" x14ac:dyDescent="0.3">
      <c r="A1017" s="1" t="s">
        <v>1323</v>
      </c>
      <c r="B1017" s="2">
        <v>44642</v>
      </c>
      <c r="C1017" s="1" t="s">
        <v>176</v>
      </c>
      <c r="D1017" s="1" t="s">
        <v>201</v>
      </c>
      <c r="E1017">
        <v>1</v>
      </c>
      <c r="F1017" s="4">
        <v>1088.32</v>
      </c>
      <c r="G1017" s="3">
        <v>0.1</v>
      </c>
      <c r="H1017" s="4">
        <v>319.02999999999997</v>
      </c>
    </row>
    <row r="1018" spans="1:8" x14ac:dyDescent="0.3">
      <c r="A1018" s="1" t="s">
        <v>1324</v>
      </c>
      <c r="B1018" s="2">
        <v>45279</v>
      </c>
      <c r="C1018" s="1" t="s">
        <v>306</v>
      </c>
      <c r="D1018" s="1" t="s">
        <v>54</v>
      </c>
      <c r="E1018">
        <v>5</v>
      </c>
      <c r="F1018" s="4">
        <v>371.46</v>
      </c>
      <c r="G1018" s="3">
        <v>0.3</v>
      </c>
      <c r="H1018" s="4">
        <v>52.01</v>
      </c>
    </row>
    <row r="1019" spans="1:8" x14ac:dyDescent="0.3">
      <c r="A1019" s="1" t="s">
        <v>1325</v>
      </c>
      <c r="B1019" s="2">
        <v>44925</v>
      </c>
      <c r="C1019" s="1" t="s">
        <v>50</v>
      </c>
      <c r="D1019" s="1" t="s">
        <v>163</v>
      </c>
      <c r="E1019">
        <v>5</v>
      </c>
      <c r="F1019" s="4">
        <v>1573.16</v>
      </c>
      <c r="G1019" s="3">
        <v>0</v>
      </c>
      <c r="H1019" s="4">
        <v>266.60000000000002</v>
      </c>
    </row>
    <row r="1020" spans="1:8" x14ac:dyDescent="0.3">
      <c r="A1020" s="1" t="s">
        <v>1326</v>
      </c>
      <c r="B1020" s="2">
        <v>44661</v>
      </c>
      <c r="C1020" s="1" t="s">
        <v>350</v>
      </c>
      <c r="D1020" s="1" t="s">
        <v>111</v>
      </c>
      <c r="E1020">
        <v>2</v>
      </c>
      <c r="F1020" s="4">
        <v>615.67999999999995</v>
      </c>
      <c r="G1020" s="3">
        <v>0.1</v>
      </c>
      <c r="H1020" s="4">
        <v>85.47</v>
      </c>
    </row>
    <row r="1021" spans="1:8" x14ac:dyDescent="0.3">
      <c r="A1021" s="1" t="s">
        <v>1327</v>
      </c>
      <c r="B1021" s="2">
        <v>44948</v>
      </c>
      <c r="C1021" s="1" t="s">
        <v>167</v>
      </c>
      <c r="D1021" s="1" t="s">
        <v>141</v>
      </c>
      <c r="E1021">
        <v>4</v>
      </c>
      <c r="F1021" s="4">
        <v>1043.72</v>
      </c>
      <c r="G1021" s="3">
        <v>0</v>
      </c>
      <c r="H1021" s="4">
        <v>230.27</v>
      </c>
    </row>
    <row r="1022" spans="1:8" x14ac:dyDescent="0.3">
      <c r="A1022" s="1" t="s">
        <v>1328</v>
      </c>
      <c r="B1022" s="2">
        <v>45367</v>
      </c>
      <c r="C1022" s="1" t="s">
        <v>384</v>
      </c>
      <c r="D1022" s="1" t="s">
        <v>603</v>
      </c>
      <c r="E1022">
        <v>1</v>
      </c>
      <c r="F1022" s="4">
        <v>640.12</v>
      </c>
      <c r="G1022" s="3">
        <v>0.3</v>
      </c>
      <c r="H1022" s="4">
        <v>137.97999999999999</v>
      </c>
    </row>
    <row r="1023" spans="1:8" x14ac:dyDescent="0.3">
      <c r="A1023" s="1" t="s">
        <v>1329</v>
      </c>
      <c r="B1023" s="2">
        <v>44586</v>
      </c>
      <c r="C1023" s="1" t="s">
        <v>248</v>
      </c>
      <c r="D1023" s="1" t="s">
        <v>269</v>
      </c>
      <c r="E1023">
        <v>1</v>
      </c>
      <c r="F1023" s="4">
        <v>354.27</v>
      </c>
      <c r="G1023" s="3">
        <v>0.1</v>
      </c>
      <c r="H1023" s="4">
        <v>81.069999999999993</v>
      </c>
    </row>
    <row r="1024" spans="1:8" x14ac:dyDescent="0.3">
      <c r="A1024" s="1" t="s">
        <v>1330</v>
      </c>
      <c r="B1024" s="2">
        <v>44831</v>
      </c>
      <c r="C1024" s="1" t="s">
        <v>190</v>
      </c>
      <c r="D1024" s="1" t="s">
        <v>61</v>
      </c>
      <c r="E1024">
        <v>3</v>
      </c>
      <c r="F1024" s="4">
        <v>1296.1600000000001</v>
      </c>
      <c r="G1024" s="3">
        <v>0.2</v>
      </c>
      <c r="H1024" s="4">
        <v>151.69999999999999</v>
      </c>
    </row>
    <row r="1025" spans="1:8" x14ac:dyDescent="0.3">
      <c r="A1025" s="1" t="s">
        <v>1331</v>
      </c>
      <c r="B1025" s="2">
        <v>45005</v>
      </c>
      <c r="C1025" s="1" t="s">
        <v>671</v>
      </c>
      <c r="D1025" s="1" t="s">
        <v>78</v>
      </c>
      <c r="E1025">
        <v>5</v>
      </c>
      <c r="F1025" s="4">
        <v>203.23</v>
      </c>
      <c r="G1025" s="3">
        <v>0.2</v>
      </c>
      <c r="H1025" s="4">
        <v>26.2</v>
      </c>
    </row>
    <row r="1026" spans="1:8" x14ac:dyDescent="0.3">
      <c r="A1026" s="1" t="s">
        <v>1332</v>
      </c>
      <c r="B1026" s="2">
        <v>44660</v>
      </c>
      <c r="C1026" s="1" t="s">
        <v>1056</v>
      </c>
      <c r="D1026" s="1" t="s">
        <v>67</v>
      </c>
      <c r="E1026">
        <v>1</v>
      </c>
      <c r="F1026" s="4">
        <v>1522.43</v>
      </c>
      <c r="G1026" s="3">
        <v>0</v>
      </c>
      <c r="H1026" s="4">
        <v>123.79</v>
      </c>
    </row>
    <row r="1027" spans="1:8" x14ac:dyDescent="0.3">
      <c r="A1027" s="1" t="s">
        <v>1333</v>
      </c>
      <c r="B1027" s="2">
        <v>45375</v>
      </c>
      <c r="C1027" s="1" t="s">
        <v>598</v>
      </c>
      <c r="D1027" s="1" t="s">
        <v>139</v>
      </c>
      <c r="E1027">
        <v>5</v>
      </c>
      <c r="F1027" s="4">
        <v>703.41</v>
      </c>
      <c r="G1027" s="3">
        <v>0.3</v>
      </c>
      <c r="H1027" s="4">
        <v>150.44</v>
      </c>
    </row>
    <row r="1028" spans="1:8" x14ac:dyDescent="0.3">
      <c r="A1028" s="1" t="s">
        <v>1334</v>
      </c>
      <c r="B1028" s="2">
        <v>44697</v>
      </c>
      <c r="C1028" s="1" t="s">
        <v>657</v>
      </c>
      <c r="D1028" s="1" t="s">
        <v>372</v>
      </c>
      <c r="E1028">
        <v>1</v>
      </c>
      <c r="F1028" s="4">
        <v>100.26</v>
      </c>
      <c r="G1028" s="3">
        <v>0.1</v>
      </c>
      <c r="H1028" s="4">
        <v>6.01</v>
      </c>
    </row>
    <row r="1029" spans="1:8" x14ac:dyDescent="0.3">
      <c r="A1029" s="1" t="s">
        <v>1335</v>
      </c>
      <c r="B1029" s="2">
        <v>45140</v>
      </c>
      <c r="C1029" s="1" t="s">
        <v>273</v>
      </c>
      <c r="D1029" s="1" t="s">
        <v>660</v>
      </c>
      <c r="E1029">
        <v>2</v>
      </c>
      <c r="F1029" s="4">
        <v>1071.1500000000001</v>
      </c>
      <c r="G1029" s="3">
        <v>0.3</v>
      </c>
      <c r="H1029" s="4">
        <v>213.61</v>
      </c>
    </row>
    <row r="1030" spans="1:8" x14ac:dyDescent="0.3">
      <c r="A1030" s="1" t="s">
        <v>1336</v>
      </c>
      <c r="B1030" s="2">
        <v>44984</v>
      </c>
      <c r="C1030" s="1" t="s">
        <v>300</v>
      </c>
      <c r="D1030" s="1" t="s">
        <v>51</v>
      </c>
      <c r="E1030">
        <v>4</v>
      </c>
      <c r="F1030" s="4">
        <v>189.02</v>
      </c>
      <c r="G1030" s="3">
        <v>0.1</v>
      </c>
      <c r="H1030" s="4">
        <v>50.55</v>
      </c>
    </row>
    <row r="1031" spans="1:8" x14ac:dyDescent="0.3">
      <c r="A1031" s="1" t="s">
        <v>1337</v>
      </c>
      <c r="B1031" s="2">
        <v>45417</v>
      </c>
      <c r="C1031" s="1" t="s">
        <v>1143</v>
      </c>
      <c r="D1031" s="1" t="s">
        <v>364</v>
      </c>
      <c r="E1031">
        <v>1</v>
      </c>
      <c r="F1031" s="4">
        <v>624.72</v>
      </c>
      <c r="G1031" s="3">
        <v>0</v>
      </c>
      <c r="H1031" s="4">
        <v>170.37</v>
      </c>
    </row>
    <row r="1032" spans="1:8" x14ac:dyDescent="0.3">
      <c r="A1032" s="1" t="s">
        <v>1338</v>
      </c>
      <c r="B1032" s="2">
        <v>45401</v>
      </c>
      <c r="C1032" s="1" t="s">
        <v>91</v>
      </c>
      <c r="D1032" s="1" t="s">
        <v>294</v>
      </c>
      <c r="E1032">
        <v>5</v>
      </c>
      <c r="F1032" s="4">
        <v>1443.26</v>
      </c>
      <c r="G1032" s="3">
        <v>0.1</v>
      </c>
      <c r="H1032" s="4">
        <v>234.18</v>
      </c>
    </row>
    <row r="1033" spans="1:8" x14ac:dyDescent="0.3">
      <c r="A1033" s="1" t="s">
        <v>1339</v>
      </c>
      <c r="B1033" s="2">
        <v>45192</v>
      </c>
      <c r="C1033" s="1" t="s">
        <v>82</v>
      </c>
      <c r="D1033" s="1" t="s">
        <v>278</v>
      </c>
      <c r="E1033">
        <v>2</v>
      </c>
      <c r="F1033" s="4">
        <v>219.11</v>
      </c>
      <c r="G1033" s="3">
        <v>0.3</v>
      </c>
      <c r="H1033" s="4">
        <v>36.119999999999997</v>
      </c>
    </row>
    <row r="1034" spans="1:8" x14ac:dyDescent="0.3">
      <c r="A1034" s="1" t="s">
        <v>1340</v>
      </c>
      <c r="B1034" s="2">
        <v>45033</v>
      </c>
      <c r="C1034" s="1" t="s">
        <v>85</v>
      </c>
      <c r="D1034" s="1" t="s">
        <v>226</v>
      </c>
      <c r="E1034">
        <v>1</v>
      </c>
      <c r="F1034" s="4">
        <v>1694.74</v>
      </c>
      <c r="G1034" s="3">
        <v>0.3</v>
      </c>
      <c r="H1034" s="4">
        <v>117.35</v>
      </c>
    </row>
    <row r="1035" spans="1:8" x14ac:dyDescent="0.3">
      <c r="A1035" s="1" t="s">
        <v>1341</v>
      </c>
      <c r="B1035" s="2">
        <v>45037</v>
      </c>
      <c r="C1035" s="1" t="s">
        <v>228</v>
      </c>
      <c r="D1035" s="1" t="s">
        <v>59</v>
      </c>
      <c r="E1035">
        <v>3</v>
      </c>
      <c r="F1035" s="4">
        <v>107.26</v>
      </c>
      <c r="G1035" s="3">
        <v>0</v>
      </c>
      <c r="H1035" s="4">
        <v>23.35</v>
      </c>
    </row>
    <row r="1036" spans="1:8" x14ac:dyDescent="0.3">
      <c r="A1036" s="1" t="s">
        <v>1342</v>
      </c>
      <c r="B1036" s="2">
        <v>45352</v>
      </c>
      <c r="C1036" s="1" t="s">
        <v>978</v>
      </c>
      <c r="D1036" s="1" t="s">
        <v>269</v>
      </c>
      <c r="E1036">
        <v>4</v>
      </c>
      <c r="F1036" s="4">
        <v>568.97</v>
      </c>
      <c r="G1036" s="3">
        <v>0.3</v>
      </c>
      <c r="H1036" s="4">
        <v>145.27000000000001</v>
      </c>
    </row>
    <row r="1037" spans="1:8" x14ac:dyDescent="0.3">
      <c r="A1037" s="1" t="s">
        <v>1343</v>
      </c>
      <c r="B1037" s="2">
        <v>45267</v>
      </c>
      <c r="C1037" s="1" t="s">
        <v>233</v>
      </c>
      <c r="D1037" s="1" t="s">
        <v>304</v>
      </c>
      <c r="E1037">
        <v>1</v>
      </c>
      <c r="F1037" s="4">
        <v>1507.72</v>
      </c>
      <c r="G1037" s="3">
        <v>0.1</v>
      </c>
      <c r="H1037" s="4">
        <v>167.6</v>
      </c>
    </row>
    <row r="1038" spans="1:8" x14ac:dyDescent="0.3">
      <c r="A1038" s="1" t="s">
        <v>1344</v>
      </c>
      <c r="B1038" s="2">
        <v>45008</v>
      </c>
      <c r="C1038" s="1" t="s">
        <v>300</v>
      </c>
      <c r="D1038" s="1" t="s">
        <v>323</v>
      </c>
      <c r="E1038">
        <v>2</v>
      </c>
      <c r="F1038" s="4">
        <v>700.91</v>
      </c>
      <c r="G1038" s="3">
        <v>0</v>
      </c>
      <c r="H1038" s="4">
        <v>108.87</v>
      </c>
    </row>
    <row r="1039" spans="1:8" x14ac:dyDescent="0.3">
      <c r="A1039" s="1" t="s">
        <v>1345</v>
      </c>
      <c r="B1039" s="2">
        <v>45303</v>
      </c>
      <c r="C1039" s="1" t="s">
        <v>80</v>
      </c>
      <c r="D1039" s="1" t="s">
        <v>16</v>
      </c>
      <c r="E1039">
        <v>3</v>
      </c>
      <c r="F1039" s="4">
        <v>293.60000000000002</v>
      </c>
      <c r="G1039" s="3">
        <v>0.1</v>
      </c>
      <c r="H1039" s="4">
        <v>76.25</v>
      </c>
    </row>
    <row r="1040" spans="1:8" x14ac:dyDescent="0.3">
      <c r="A1040" s="1" t="s">
        <v>1346</v>
      </c>
      <c r="B1040" s="2">
        <v>45321</v>
      </c>
      <c r="C1040" s="1" t="s">
        <v>200</v>
      </c>
      <c r="D1040" s="1" t="s">
        <v>170</v>
      </c>
      <c r="E1040">
        <v>2</v>
      </c>
      <c r="F1040" s="4">
        <v>784.44</v>
      </c>
      <c r="G1040" s="3">
        <v>0.3</v>
      </c>
      <c r="H1040" s="4">
        <v>211.23</v>
      </c>
    </row>
    <row r="1041" spans="1:8" x14ac:dyDescent="0.3">
      <c r="A1041" s="1" t="s">
        <v>1347</v>
      </c>
      <c r="B1041" s="2">
        <v>45105</v>
      </c>
      <c r="C1041" s="1" t="s">
        <v>729</v>
      </c>
      <c r="D1041" s="1" t="s">
        <v>67</v>
      </c>
      <c r="E1041">
        <v>2</v>
      </c>
      <c r="F1041" s="4">
        <v>613.75</v>
      </c>
      <c r="G1041" s="3">
        <v>0</v>
      </c>
      <c r="H1041" s="4">
        <v>68</v>
      </c>
    </row>
    <row r="1042" spans="1:8" x14ac:dyDescent="0.3">
      <c r="A1042" s="1" t="s">
        <v>1348</v>
      </c>
      <c r="B1042" s="2">
        <v>44677</v>
      </c>
      <c r="C1042" s="1" t="s">
        <v>579</v>
      </c>
      <c r="D1042" s="1" t="s">
        <v>109</v>
      </c>
      <c r="E1042">
        <v>3</v>
      </c>
      <c r="F1042" s="4">
        <v>1701.15</v>
      </c>
      <c r="G1042" s="3">
        <v>0.1</v>
      </c>
      <c r="H1042" s="4">
        <v>319.20999999999998</v>
      </c>
    </row>
    <row r="1043" spans="1:8" x14ac:dyDescent="0.3">
      <c r="A1043" s="1" t="s">
        <v>1349</v>
      </c>
      <c r="B1043" s="2">
        <v>44888</v>
      </c>
      <c r="C1043" s="1" t="s">
        <v>442</v>
      </c>
      <c r="D1043" s="1" t="s">
        <v>156</v>
      </c>
      <c r="E1043">
        <v>2</v>
      </c>
      <c r="F1043" s="4">
        <v>695.36</v>
      </c>
      <c r="G1043" s="3">
        <v>0.3</v>
      </c>
      <c r="H1043" s="4">
        <v>68.23</v>
      </c>
    </row>
    <row r="1044" spans="1:8" x14ac:dyDescent="0.3">
      <c r="A1044" s="1" t="s">
        <v>1350</v>
      </c>
      <c r="B1044" s="2">
        <v>44857</v>
      </c>
      <c r="C1044" s="1" t="s">
        <v>192</v>
      </c>
      <c r="D1044" s="1" t="s">
        <v>378</v>
      </c>
      <c r="E1044">
        <v>3</v>
      </c>
      <c r="F1044" s="4">
        <v>1598.97</v>
      </c>
      <c r="G1044" s="3">
        <v>0.3</v>
      </c>
      <c r="H1044" s="4">
        <v>120.67</v>
      </c>
    </row>
    <row r="1045" spans="1:8" x14ac:dyDescent="0.3">
      <c r="A1045" s="1" t="s">
        <v>1351</v>
      </c>
      <c r="B1045" s="2">
        <v>44586</v>
      </c>
      <c r="C1045" s="1" t="s">
        <v>334</v>
      </c>
      <c r="D1045" s="1" t="s">
        <v>288</v>
      </c>
      <c r="E1045">
        <v>1</v>
      </c>
      <c r="F1045" s="4">
        <v>1794.56</v>
      </c>
      <c r="G1045" s="3">
        <v>0.2</v>
      </c>
      <c r="H1045" s="4">
        <v>498.49</v>
      </c>
    </row>
    <row r="1046" spans="1:8" x14ac:dyDescent="0.3">
      <c r="A1046" s="1" t="s">
        <v>1352</v>
      </c>
      <c r="B1046" s="2">
        <v>45461</v>
      </c>
      <c r="C1046" s="1" t="s">
        <v>102</v>
      </c>
      <c r="D1046" s="1" t="s">
        <v>111</v>
      </c>
      <c r="E1046">
        <v>3</v>
      </c>
      <c r="F1046" s="4">
        <v>924.25</v>
      </c>
      <c r="G1046" s="3">
        <v>0.3</v>
      </c>
      <c r="H1046" s="4">
        <v>235.8</v>
      </c>
    </row>
    <row r="1047" spans="1:8" x14ac:dyDescent="0.3">
      <c r="A1047" s="1" t="s">
        <v>1353</v>
      </c>
      <c r="B1047" s="2">
        <v>45065</v>
      </c>
      <c r="C1047" s="1" t="s">
        <v>53</v>
      </c>
      <c r="D1047" s="1" t="s">
        <v>170</v>
      </c>
      <c r="E1047">
        <v>3</v>
      </c>
      <c r="F1047" s="4">
        <v>1828.89</v>
      </c>
      <c r="G1047" s="3">
        <v>0.1</v>
      </c>
      <c r="H1047" s="4">
        <v>438.95</v>
      </c>
    </row>
    <row r="1048" spans="1:8" x14ac:dyDescent="0.3">
      <c r="A1048" s="1" t="s">
        <v>1354</v>
      </c>
      <c r="B1048" s="2">
        <v>44922</v>
      </c>
      <c r="C1048" s="1" t="s">
        <v>205</v>
      </c>
      <c r="D1048" s="1" t="s">
        <v>13</v>
      </c>
      <c r="E1048">
        <v>4</v>
      </c>
      <c r="F1048" s="4">
        <v>816.9</v>
      </c>
      <c r="G1048" s="3">
        <v>0</v>
      </c>
      <c r="H1048" s="4">
        <v>50.8</v>
      </c>
    </row>
    <row r="1049" spans="1:8" x14ac:dyDescent="0.3">
      <c r="A1049" s="1" t="s">
        <v>1355</v>
      </c>
      <c r="B1049" s="2">
        <v>44888</v>
      </c>
      <c r="C1049" s="1" t="s">
        <v>50</v>
      </c>
      <c r="D1049" s="1" t="s">
        <v>51</v>
      </c>
      <c r="E1049">
        <v>3</v>
      </c>
      <c r="F1049" s="4">
        <v>1931.75</v>
      </c>
      <c r="G1049" s="3">
        <v>0.2</v>
      </c>
      <c r="H1049" s="4">
        <v>504.06</v>
      </c>
    </row>
    <row r="1050" spans="1:8" x14ac:dyDescent="0.3">
      <c r="A1050" s="1" t="s">
        <v>1356</v>
      </c>
      <c r="B1050" s="2">
        <v>44998</v>
      </c>
      <c r="C1050" s="1" t="s">
        <v>691</v>
      </c>
      <c r="D1050" s="1" t="s">
        <v>218</v>
      </c>
      <c r="E1050">
        <v>3</v>
      </c>
      <c r="F1050" s="4">
        <v>269.64999999999998</v>
      </c>
      <c r="G1050" s="3">
        <v>0.3</v>
      </c>
      <c r="H1050" s="4">
        <v>43.01</v>
      </c>
    </row>
    <row r="1051" spans="1:8" x14ac:dyDescent="0.3">
      <c r="A1051" s="1" t="s">
        <v>1357</v>
      </c>
      <c r="B1051" s="2">
        <v>44749</v>
      </c>
      <c r="C1051" s="1" t="s">
        <v>902</v>
      </c>
      <c r="D1051" s="1" t="s">
        <v>180</v>
      </c>
      <c r="E1051">
        <v>1</v>
      </c>
      <c r="F1051" s="4">
        <v>1405.34</v>
      </c>
      <c r="G1051" s="3">
        <v>0.3</v>
      </c>
      <c r="H1051" s="4">
        <v>190.56</v>
      </c>
    </row>
    <row r="1052" spans="1:8" x14ac:dyDescent="0.3">
      <c r="A1052" s="1" t="s">
        <v>1358</v>
      </c>
      <c r="B1052" s="2">
        <v>45225</v>
      </c>
      <c r="C1052" s="1" t="s">
        <v>436</v>
      </c>
      <c r="D1052" s="1" t="s">
        <v>242</v>
      </c>
      <c r="E1052">
        <v>4</v>
      </c>
      <c r="F1052" s="4">
        <v>1038.25</v>
      </c>
      <c r="G1052" s="3">
        <v>0.3</v>
      </c>
      <c r="H1052" s="4">
        <v>193.76</v>
      </c>
    </row>
    <row r="1053" spans="1:8" x14ac:dyDescent="0.3">
      <c r="A1053" s="1" t="s">
        <v>1359</v>
      </c>
      <c r="B1053" s="2">
        <v>45126</v>
      </c>
      <c r="C1053" s="1" t="s">
        <v>115</v>
      </c>
      <c r="D1053" s="1" t="s">
        <v>109</v>
      </c>
      <c r="E1053">
        <v>5</v>
      </c>
      <c r="F1053" s="4">
        <v>836.53</v>
      </c>
      <c r="G1053" s="3">
        <v>0.1</v>
      </c>
      <c r="H1053" s="4">
        <v>60.93</v>
      </c>
    </row>
    <row r="1054" spans="1:8" x14ac:dyDescent="0.3">
      <c r="A1054" s="1" t="s">
        <v>1360</v>
      </c>
      <c r="B1054" s="2">
        <v>45376</v>
      </c>
      <c r="C1054" s="1" t="s">
        <v>262</v>
      </c>
      <c r="D1054" s="1" t="s">
        <v>186</v>
      </c>
      <c r="E1054">
        <v>1</v>
      </c>
      <c r="F1054" s="4">
        <v>1302.1500000000001</v>
      </c>
      <c r="G1054" s="3">
        <v>0.2</v>
      </c>
      <c r="H1054" s="4">
        <v>311.42</v>
      </c>
    </row>
    <row r="1055" spans="1:8" x14ac:dyDescent="0.3">
      <c r="A1055" s="1" t="s">
        <v>1361</v>
      </c>
      <c r="B1055" s="2">
        <v>45217</v>
      </c>
      <c r="C1055" s="1" t="s">
        <v>436</v>
      </c>
      <c r="D1055" s="1" t="s">
        <v>25</v>
      </c>
      <c r="E1055">
        <v>1</v>
      </c>
      <c r="F1055" s="4">
        <v>1437.33</v>
      </c>
      <c r="G1055" s="3">
        <v>0.1</v>
      </c>
      <c r="H1055" s="4">
        <v>281.14999999999998</v>
      </c>
    </row>
    <row r="1056" spans="1:8" x14ac:dyDescent="0.3">
      <c r="A1056" s="1" t="s">
        <v>1362</v>
      </c>
      <c r="B1056" s="2">
        <v>44649</v>
      </c>
      <c r="C1056" s="1" t="s">
        <v>53</v>
      </c>
      <c r="D1056" s="1" t="s">
        <v>258</v>
      </c>
      <c r="E1056">
        <v>5</v>
      </c>
      <c r="F1056" s="4">
        <v>108.29</v>
      </c>
      <c r="G1056" s="3">
        <v>0.2</v>
      </c>
      <c r="H1056" s="4">
        <v>10.47</v>
      </c>
    </row>
    <row r="1057" spans="1:8" x14ac:dyDescent="0.3">
      <c r="A1057" s="1" t="s">
        <v>1363</v>
      </c>
      <c r="B1057" s="2">
        <v>44632</v>
      </c>
      <c r="C1057" s="1" t="s">
        <v>505</v>
      </c>
      <c r="D1057" s="1" t="s">
        <v>22</v>
      </c>
      <c r="E1057">
        <v>3</v>
      </c>
      <c r="F1057" s="4">
        <v>417.21</v>
      </c>
      <c r="G1057" s="3">
        <v>0</v>
      </c>
      <c r="H1057" s="4">
        <v>40.49</v>
      </c>
    </row>
    <row r="1058" spans="1:8" x14ac:dyDescent="0.3">
      <c r="A1058" s="1" t="s">
        <v>1364</v>
      </c>
      <c r="B1058" s="2">
        <v>44707</v>
      </c>
      <c r="C1058" s="1" t="s">
        <v>42</v>
      </c>
      <c r="D1058" s="1" t="s">
        <v>603</v>
      </c>
      <c r="E1058">
        <v>2</v>
      </c>
      <c r="F1058" s="4">
        <v>1454.79</v>
      </c>
      <c r="G1058" s="3">
        <v>0.1</v>
      </c>
      <c r="H1058" s="4">
        <v>139.75</v>
      </c>
    </row>
    <row r="1059" spans="1:8" x14ac:dyDescent="0.3">
      <c r="A1059" s="1" t="s">
        <v>1365</v>
      </c>
      <c r="B1059" s="2">
        <v>45297</v>
      </c>
      <c r="C1059" s="1" t="s">
        <v>290</v>
      </c>
      <c r="D1059" s="1" t="s">
        <v>83</v>
      </c>
      <c r="E1059">
        <v>4</v>
      </c>
      <c r="F1059" s="4">
        <v>1366.13</v>
      </c>
      <c r="G1059" s="3">
        <v>0.1</v>
      </c>
      <c r="H1059" s="4">
        <v>87.77</v>
      </c>
    </row>
    <row r="1060" spans="1:8" x14ac:dyDescent="0.3">
      <c r="A1060" s="1" t="s">
        <v>1366</v>
      </c>
      <c r="B1060" s="2">
        <v>45030</v>
      </c>
      <c r="C1060" s="1" t="s">
        <v>1093</v>
      </c>
      <c r="D1060" s="1" t="s">
        <v>263</v>
      </c>
      <c r="E1060">
        <v>2</v>
      </c>
      <c r="F1060" s="4">
        <v>1935.49</v>
      </c>
      <c r="G1060" s="3">
        <v>0</v>
      </c>
      <c r="H1060" s="4">
        <v>381.19</v>
      </c>
    </row>
    <row r="1061" spans="1:8" x14ac:dyDescent="0.3">
      <c r="A1061" s="1" t="s">
        <v>1367</v>
      </c>
      <c r="B1061" s="2">
        <v>45311</v>
      </c>
      <c r="C1061" s="1" t="s">
        <v>607</v>
      </c>
      <c r="D1061" s="1" t="s">
        <v>100</v>
      </c>
      <c r="E1061">
        <v>5</v>
      </c>
      <c r="F1061" s="4">
        <v>1545.97</v>
      </c>
      <c r="G1061" s="3">
        <v>0.2</v>
      </c>
      <c r="H1061" s="4">
        <v>402.09</v>
      </c>
    </row>
    <row r="1062" spans="1:8" x14ac:dyDescent="0.3">
      <c r="A1062" s="1" t="s">
        <v>1368</v>
      </c>
      <c r="B1062" s="2">
        <v>44590</v>
      </c>
      <c r="C1062" s="1" t="s">
        <v>138</v>
      </c>
      <c r="D1062" s="1" t="s">
        <v>147</v>
      </c>
      <c r="E1062">
        <v>1</v>
      </c>
      <c r="F1062" s="4">
        <v>1906.47</v>
      </c>
      <c r="G1062" s="3">
        <v>0.3</v>
      </c>
      <c r="H1062" s="4">
        <v>103.66</v>
      </c>
    </row>
    <row r="1063" spans="1:8" x14ac:dyDescent="0.3">
      <c r="A1063" s="1" t="s">
        <v>1369</v>
      </c>
      <c r="B1063" s="2">
        <v>44844</v>
      </c>
      <c r="C1063" s="1" t="s">
        <v>744</v>
      </c>
      <c r="D1063" s="1" t="s">
        <v>669</v>
      </c>
      <c r="E1063">
        <v>1</v>
      </c>
      <c r="F1063" s="4">
        <v>1434.83</v>
      </c>
      <c r="G1063" s="3">
        <v>0</v>
      </c>
      <c r="H1063" s="4">
        <v>89.32</v>
      </c>
    </row>
    <row r="1064" spans="1:8" x14ac:dyDescent="0.3">
      <c r="A1064" s="1" t="s">
        <v>1370</v>
      </c>
      <c r="B1064" s="2">
        <v>45168</v>
      </c>
      <c r="C1064" s="1" t="s">
        <v>313</v>
      </c>
      <c r="D1064" s="1" t="s">
        <v>323</v>
      </c>
      <c r="E1064">
        <v>4</v>
      </c>
      <c r="F1064" s="4">
        <v>666.3</v>
      </c>
      <c r="G1064" s="3">
        <v>0.3</v>
      </c>
      <c r="H1064" s="4">
        <v>128.72</v>
      </c>
    </row>
    <row r="1065" spans="1:8" x14ac:dyDescent="0.3">
      <c r="A1065" s="1" t="s">
        <v>1371</v>
      </c>
      <c r="B1065" s="2">
        <v>45014</v>
      </c>
      <c r="C1065" s="1" t="s">
        <v>328</v>
      </c>
      <c r="D1065" s="1" t="s">
        <v>195</v>
      </c>
      <c r="E1065">
        <v>1</v>
      </c>
      <c r="F1065" s="4">
        <v>300.19</v>
      </c>
      <c r="G1065" s="3">
        <v>0.3</v>
      </c>
      <c r="H1065" s="4">
        <v>76.510000000000005</v>
      </c>
    </row>
    <row r="1066" spans="1:8" x14ac:dyDescent="0.3">
      <c r="A1066" s="1" t="s">
        <v>1372</v>
      </c>
      <c r="B1066" s="2">
        <v>45232</v>
      </c>
      <c r="C1066" s="1" t="s">
        <v>167</v>
      </c>
      <c r="D1066" s="1" t="s">
        <v>218</v>
      </c>
      <c r="E1066">
        <v>1</v>
      </c>
      <c r="F1066" s="4">
        <v>1585.47</v>
      </c>
      <c r="G1066" s="3">
        <v>0</v>
      </c>
      <c r="H1066" s="4">
        <v>208.78</v>
      </c>
    </row>
    <row r="1067" spans="1:8" x14ac:dyDescent="0.3">
      <c r="A1067" s="1" t="s">
        <v>1373</v>
      </c>
      <c r="B1067" s="2">
        <v>45388</v>
      </c>
      <c r="C1067" s="1" t="s">
        <v>355</v>
      </c>
      <c r="D1067" s="1" t="s">
        <v>263</v>
      </c>
      <c r="E1067">
        <v>4</v>
      </c>
      <c r="F1067" s="4">
        <v>1323.88</v>
      </c>
      <c r="G1067" s="3">
        <v>0.2</v>
      </c>
      <c r="H1067" s="4">
        <v>181.91</v>
      </c>
    </row>
    <row r="1068" spans="1:8" x14ac:dyDescent="0.3">
      <c r="A1068" s="1" t="s">
        <v>1374</v>
      </c>
      <c r="B1068" s="2">
        <v>45220</v>
      </c>
      <c r="C1068" s="1" t="s">
        <v>353</v>
      </c>
      <c r="D1068" s="1" t="s">
        <v>361</v>
      </c>
      <c r="E1068">
        <v>4</v>
      </c>
      <c r="F1068" s="4">
        <v>191.55</v>
      </c>
      <c r="G1068" s="3">
        <v>0.3</v>
      </c>
      <c r="H1068" s="4">
        <v>38.14</v>
      </c>
    </row>
    <row r="1069" spans="1:8" x14ac:dyDescent="0.3">
      <c r="A1069" s="1" t="s">
        <v>1375</v>
      </c>
      <c r="B1069" s="2">
        <v>45158</v>
      </c>
      <c r="C1069" s="1" t="s">
        <v>434</v>
      </c>
      <c r="D1069" s="1" t="s">
        <v>603</v>
      </c>
      <c r="E1069">
        <v>5</v>
      </c>
      <c r="F1069" s="4">
        <v>784.1</v>
      </c>
      <c r="G1069" s="3">
        <v>0</v>
      </c>
      <c r="H1069" s="4">
        <v>92.96</v>
      </c>
    </row>
    <row r="1070" spans="1:8" x14ac:dyDescent="0.3">
      <c r="A1070" s="1" t="s">
        <v>1376</v>
      </c>
      <c r="B1070" s="2">
        <v>44912</v>
      </c>
      <c r="C1070" s="1" t="s">
        <v>319</v>
      </c>
      <c r="D1070" s="1" t="s">
        <v>45</v>
      </c>
      <c r="E1070">
        <v>1</v>
      </c>
      <c r="F1070" s="4">
        <v>1917.92</v>
      </c>
      <c r="G1070" s="3">
        <v>0.1</v>
      </c>
      <c r="H1070" s="4">
        <v>108.65</v>
      </c>
    </row>
    <row r="1071" spans="1:8" x14ac:dyDescent="0.3">
      <c r="A1071" s="1" t="s">
        <v>1377</v>
      </c>
      <c r="B1071" s="2">
        <v>44575</v>
      </c>
      <c r="C1071" s="1" t="s">
        <v>1081</v>
      </c>
      <c r="D1071" s="1" t="s">
        <v>294</v>
      </c>
      <c r="E1071">
        <v>1</v>
      </c>
      <c r="F1071" s="4">
        <v>1050.76</v>
      </c>
      <c r="G1071" s="3">
        <v>0.1</v>
      </c>
      <c r="H1071" s="4">
        <v>245.68</v>
      </c>
    </row>
    <row r="1072" spans="1:8" x14ac:dyDescent="0.3">
      <c r="A1072" s="1" t="s">
        <v>1378</v>
      </c>
      <c r="B1072" s="2">
        <v>45170</v>
      </c>
      <c r="C1072" s="1" t="s">
        <v>246</v>
      </c>
      <c r="D1072" s="1" t="s">
        <v>116</v>
      </c>
      <c r="E1072">
        <v>5</v>
      </c>
      <c r="F1072" s="4">
        <v>922.19</v>
      </c>
      <c r="G1072" s="3">
        <v>0.1</v>
      </c>
      <c r="H1072" s="4">
        <v>190.35</v>
      </c>
    </row>
    <row r="1073" spans="1:8" x14ac:dyDescent="0.3">
      <c r="A1073" s="1" t="s">
        <v>1379</v>
      </c>
      <c r="B1073" s="2">
        <v>44769</v>
      </c>
      <c r="C1073" s="1" t="s">
        <v>118</v>
      </c>
      <c r="D1073" s="1" t="s">
        <v>40</v>
      </c>
      <c r="E1073">
        <v>3</v>
      </c>
      <c r="F1073" s="4">
        <v>969.63</v>
      </c>
      <c r="G1073" s="3">
        <v>0</v>
      </c>
      <c r="H1073" s="4">
        <v>189.26</v>
      </c>
    </row>
    <row r="1074" spans="1:8" x14ac:dyDescent="0.3">
      <c r="A1074" s="1" t="s">
        <v>1380</v>
      </c>
      <c r="B1074" s="2">
        <v>44981</v>
      </c>
      <c r="C1074" s="1" t="s">
        <v>464</v>
      </c>
      <c r="D1074" s="1" t="s">
        <v>127</v>
      </c>
      <c r="E1074">
        <v>3</v>
      </c>
      <c r="F1074" s="4">
        <v>496.88</v>
      </c>
      <c r="G1074" s="3">
        <v>0.1</v>
      </c>
      <c r="H1074" s="4">
        <v>116.98</v>
      </c>
    </row>
    <row r="1075" spans="1:8" x14ac:dyDescent="0.3">
      <c r="A1075" s="1" t="s">
        <v>1381</v>
      </c>
      <c r="B1075" s="2">
        <v>45340</v>
      </c>
      <c r="C1075" s="1" t="s">
        <v>280</v>
      </c>
      <c r="D1075" s="1" t="s">
        <v>92</v>
      </c>
      <c r="E1075">
        <v>3</v>
      </c>
      <c r="F1075" s="4">
        <v>800.54</v>
      </c>
      <c r="G1075" s="3">
        <v>0.3</v>
      </c>
      <c r="H1075" s="4">
        <v>175.16</v>
      </c>
    </row>
    <row r="1076" spans="1:8" x14ac:dyDescent="0.3">
      <c r="A1076" s="1" t="s">
        <v>1382</v>
      </c>
      <c r="B1076" s="2">
        <v>44811</v>
      </c>
      <c r="C1076" s="1" t="s">
        <v>678</v>
      </c>
      <c r="D1076" s="1" t="s">
        <v>89</v>
      </c>
      <c r="E1076">
        <v>5</v>
      </c>
      <c r="F1076" s="4">
        <v>802.65</v>
      </c>
      <c r="G1076" s="3">
        <v>0.1</v>
      </c>
      <c r="H1076" s="4">
        <v>81.45</v>
      </c>
    </row>
    <row r="1077" spans="1:8" x14ac:dyDescent="0.3">
      <c r="A1077" s="1" t="s">
        <v>1383</v>
      </c>
      <c r="B1077" s="2">
        <v>44678</v>
      </c>
      <c r="C1077" s="1" t="s">
        <v>118</v>
      </c>
      <c r="D1077" s="1" t="s">
        <v>221</v>
      </c>
      <c r="E1077">
        <v>1</v>
      </c>
      <c r="F1077" s="4">
        <v>199.47</v>
      </c>
      <c r="G1077" s="3">
        <v>0.1</v>
      </c>
      <c r="H1077" s="4">
        <v>27.55</v>
      </c>
    </row>
    <row r="1078" spans="1:8" x14ac:dyDescent="0.3">
      <c r="A1078" s="1" t="s">
        <v>1384</v>
      </c>
      <c r="B1078" s="2">
        <v>45214</v>
      </c>
      <c r="C1078" s="1" t="s">
        <v>697</v>
      </c>
      <c r="D1078" s="1" t="s">
        <v>669</v>
      </c>
      <c r="E1078">
        <v>5</v>
      </c>
      <c r="F1078" s="4">
        <v>1558.38</v>
      </c>
      <c r="G1078" s="3">
        <v>0.3</v>
      </c>
      <c r="H1078" s="4">
        <v>127.05</v>
      </c>
    </row>
    <row r="1079" spans="1:8" x14ac:dyDescent="0.3">
      <c r="A1079" s="1" t="s">
        <v>1385</v>
      </c>
      <c r="B1079" s="2">
        <v>45160</v>
      </c>
      <c r="C1079" s="1" t="s">
        <v>482</v>
      </c>
      <c r="D1079" s="1" t="s">
        <v>86</v>
      </c>
      <c r="E1079">
        <v>5</v>
      </c>
      <c r="F1079" s="4">
        <v>891.36</v>
      </c>
      <c r="G1079" s="3">
        <v>0.1</v>
      </c>
      <c r="H1079" s="4">
        <v>73.510000000000005</v>
      </c>
    </row>
    <row r="1080" spans="1:8" x14ac:dyDescent="0.3">
      <c r="A1080" s="1" t="s">
        <v>1386</v>
      </c>
      <c r="B1080" s="2">
        <v>45038</v>
      </c>
      <c r="C1080" s="1" t="s">
        <v>194</v>
      </c>
      <c r="D1080" s="1" t="s">
        <v>288</v>
      </c>
      <c r="E1080">
        <v>3</v>
      </c>
      <c r="F1080" s="4">
        <v>1662.14</v>
      </c>
      <c r="G1080" s="3">
        <v>0.3</v>
      </c>
      <c r="H1080" s="4">
        <v>364.09</v>
      </c>
    </row>
    <row r="1081" spans="1:8" x14ac:dyDescent="0.3">
      <c r="A1081" s="1" t="s">
        <v>1387</v>
      </c>
      <c r="B1081" s="2">
        <v>44972</v>
      </c>
      <c r="C1081" s="1" t="s">
        <v>172</v>
      </c>
      <c r="D1081" s="1" t="s">
        <v>40</v>
      </c>
      <c r="E1081">
        <v>2</v>
      </c>
      <c r="F1081" s="4">
        <v>1715.66</v>
      </c>
      <c r="G1081" s="3">
        <v>0.1</v>
      </c>
      <c r="H1081" s="4">
        <v>454.05</v>
      </c>
    </row>
    <row r="1082" spans="1:8" x14ac:dyDescent="0.3">
      <c r="A1082" s="1" t="s">
        <v>1388</v>
      </c>
      <c r="B1082" s="2">
        <v>44675</v>
      </c>
      <c r="C1082" s="1" t="s">
        <v>344</v>
      </c>
      <c r="D1082" s="1" t="s">
        <v>13</v>
      </c>
      <c r="E1082">
        <v>1</v>
      </c>
      <c r="F1082" s="4">
        <v>502.79</v>
      </c>
      <c r="G1082" s="3">
        <v>0.3</v>
      </c>
      <c r="H1082" s="4">
        <v>146.15</v>
      </c>
    </row>
    <row r="1083" spans="1:8" x14ac:dyDescent="0.3">
      <c r="A1083" s="1" t="s">
        <v>1389</v>
      </c>
      <c r="B1083" s="2">
        <v>45107</v>
      </c>
      <c r="C1083" s="1" t="s">
        <v>412</v>
      </c>
      <c r="D1083" s="1" t="s">
        <v>301</v>
      </c>
      <c r="E1083">
        <v>3</v>
      </c>
      <c r="F1083" s="4">
        <v>1348.97</v>
      </c>
      <c r="G1083" s="3">
        <v>0.1</v>
      </c>
      <c r="H1083" s="4">
        <v>279.35000000000002</v>
      </c>
    </row>
    <row r="1084" spans="1:8" x14ac:dyDescent="0.3">
      <c r="A1084" s="1" t="s">
        <v>1390</v>
      </c>
      <c r="B1084" s="2">
        <v>45018</v>
      </c>
      <c r="C1084" s="1" t="s">
        <v>106</v>
      </c>
      <c r="D1084" s="1" t="s">
        <v>139</v>
      </c>
      <c r="E1084">
        <v>2</v>
      </c>
      <c r="F1084" s="4">
        <v>997.34</v>
      </c>
      <c r="G1084" s="3">
        <v>0.3</v>
      </c>
      <c r="H1084" s="4">
        <v>95.77</v>
      </c>
    </row>
    <row r="1085" spans="1:8" x14ac:dyDescent="0.3">
      <c r="A1085" s="1" t="s">
        <v>1391</v>
      </c>
      <c r="B1085" s="2">
        <v>45064</v>
      </c>
      <c r="C1085" s="1" t="s">
        <v>30</v>
      </c>
      <c r="D1085" s="1" t="s">
        <v>116</v>
      </c>
      <c r="E1085">
        <v>2</v>
      </c>
      <c r="F1085" s="4">
        <v>1772.3</v>
      </c>
      <c r="G1085" s="3">
        <v>0</v>
      </c>
      <c r="H1085" s="4">
        <v>135.43</v>
      </c>
    </row>
    <row r="1086" spans="1:8" x14ac:dyDescent="0.3">
      <c r="A1086" s="1" t="s">
        <v>1392</v>
      </c>
      <c r="B1086" s="2">
        <v>44892</v>
      </c>
      <c r="C1086" s="1" t="s">
        <v>174</v>
      </c>
      <c r="D1086" s="1" t="s">
        <v>301</v>
      </c>
      <c r="E1086">
        <v>4</v>
      </c>
      <c r="F1086" s="4">
        <v>509.91</v>
      </c>
      <c r="G1086" s="3">
        <v>0.3</v>
      </c>
      <c r="H1086" s="4">
        <v>129.12</v>
      </c>
    </row>
    <row r="1087" spans="1:8" x14ac:dyDescent="0.3">
      <c r="A1087" s="1" t="s">
        <v>1393</v>
      </c>
      <c r="B1087" s="2">
        <v>44898</v>
      </c>
      <c r="C1087" s="1" t="s">
        <v>388</v>
      </c>
      <c r="D1087" s="1" t="s">
        <v>10</v>
      </c>
      <c r="E1087">
        <v>1</v>
      </c>
      <c r="F1087" s="4">
        <v>1387.85</v>
      </c>
      <c r="G1087" s="3">
        <v>0.1</v>
      </c>
      <c r="H1087" s="4">
        <v>270.2</v>
      </c>
    </row>
    <row r="1088" spans="1:8" x14ac:dyDescent="0.3">
      <c r="A1088" s="1" t="s">
        <v>1394</v>
      </c>
      <c r="B1088" s="2">
        <v>45054</v>
      </c>
      <c r="C1088" s="1" t="s">
        <v>96</v>
      </c>
      <c r="D1088" s="1" t="s">
        <v>283</v>
      </c>
      <c r="E1088">
        <v>2</v>
      </c>
      <c r="F1088" s="4">
        <v>1254.73</v>
      </c>
      <c r="G1088" s="3">
        <v>0.1</v>
      </c>
      <c r="H1088" s="4">
        <v>256.68</v>
      </c>
    </row>
    <row r="1089" spans="1:8" x14ac:dyDescent="0.3">
      <c r="A1089" s="1" t="s">
        <v>1395</v>
      </c>
      <c r="B1089" s="2">
        <v>45285</v>
      </c>
      <c r="C1089" s="1" t="s">
        <v>306</v>
      </c>
      <c r="D1089" s="1" t="s">
        <v>170</v>
      </c>
      <c r="E1089">
        <v>3</v>
      </c>
      <c r="F1089" s="4">
        <v>661.07</v>
      </c>
      <c r="G1089" s="3">
        <v>0.2</v>
      </c>
      <c r="H1089" s="4">
        <v>162.19999999999999</v>
      </c>
    </row>
    <row r="1090" spans="1:8" x14ac:dyDescent="0.3">
      <c r="A1090" s="1" t="s">
        <v>1396</v>
      </c>
      <c r="B1090" s="2">
        <v>45253</v>
      </c>
      <c r="C1090" s="1" t="s">
        <v>308</v>
      </c>
      <c r="D1090" s="1" t="s">
        <v>89</v>
      </c>
      <c r="E1090">
        <v>4</v>
      </c>
      <c r="F1090" s="4">
        <v>359.54</v>
      </c>
      <c r="G1090" s="3">
        <v>0.3</v>
      </c>
      <c r="H1090" s="4">
        <v>81.19</v>
      </c>
    </row>
    <row r="1091" spans="1:8" x14ac:dyDescent="0.3">
      <c r="A1091" s="1" t="s">
        <v>1397</v>
      </c>
      <c r="B1091" s="2">
        <v>45132</v>
      </c>
      <c r="C1091" s="1" t="s">
        <v>321</v>
      </c>
      <c r="D1091" s="1" t="s">
        <v>603</v>
      </c>
      <c r="E1091">
        <v>1</v>
      </c>
      <c r="F1091" s="4">
        <v>1338.12</v>
      </c>
      <c r="G1091" s="3">
        <v>0</v>
      </c>
      <c r="H1091" s="4">
        <v>346.06</v>
      </c>
    </row>
    <row r="1092" spans="1:8" x14ac:dyDescent="0.3">
      <c r="A1092" s="1" t="s">
        <v>1398</v>
      </c>
      <c r="B1092" s="2">
        <v>45035</v>
      </c>
      <c r="C1092" s="1" t="s">
        <v>313</v>
      </c>
      <c r="D1092" s="1" t="s">
        <v>22</v>
      </c>
      <c r="E1092">
        <v>5</v>
      </c>
      <c r="F1092" s="4">
        <v>1503.34</v>
      </c>
      <c r="G1092" s="3">
        <v>0.3</v>
      </c>
      <c r="H1092" s="4">
        <v>96.29</v>
      </c>
    </row>
    <row r="1093" spans="1:8" x14ac:dyDescent="0.3">
      <c r="A1093" s="1" t="s">
        <v>1399</v>
      </c>
      <c r="B1093" s="2">
        <v>45331</v>
      </c>
      <c r="C1093" s="1" t="s">
        <v>260</v>
      </c>
      <c r="D1093" s="1" t="s">
        <v>54</v>
      </c>
      <c r="E1093">
        <v>3</v>
      </c>
      <c r="F1093" s="4">
        <v>699.69</v>
      </c>
      <c r="G1093" s="3">
        <v>0.3</v>
      </c>
      <c r="H1093" s="4">
        <v>165.74</v>
      </c>
    </row>
    <row r="1094" spans="1:8" x14ac:dyDescent="0.3">
      <c r="A1094" s="1" t="s">
        <v>1400</v>
      </c>
      <c r="B1094" s="2">
        <v>44924</v>
      </c>
      <c r="C1094" s="1" t="s">
        <v>77</v>
      </c>
      <c r="D1094" s="1" t="s">
        <v>143</v>
      </c>
      <c r="E1094">
        <v>2</v>
      </c>
      <c r="F1094" s="4">
        <v>1325.18</v>
      </c>
      <c r="G1094" s="3">
        <v>0</v>
      </c>
      <c r="H1094" s="4">
        <v>348.14</v>
      </c>
    </row>
    <row r="1095" spans="1:8" x14ac:dyDescent="0.3">
      <c r="A1095" s="1" t="s">
        <v>1401</v>
      </c>
      <c r="B1095" s="2">
        <v>44731</v>
      </c>
      <c r="C1095" s="1" t="s">
        <v>200</v>
      </c>
      <c r="D1095" s="1" t="s">
        <v>269</v>
      </c>
      <c r="E1095">
        <v>2</v>
      </c>
      <c r="F1095" s="4">
        <v>850.75</v>
      </c>
      <c r="G1095" s="3">
        <v>0.3</v>
      </c>
      <c r="H1095" s="4">
        <v>103.39</v>
      </c>
    </row>
    <row r="1096" spans="1:8" x14ac:dyDescent="0.3">
      <c r="A1096" s="1" t="s">
        <v>1402</v>
      </c>
      <c r="B1096" s="2">
        <v>44840</v>
      </c>
      <c r="C1096" s="1" t="s">
        <v>610</v>
      </c>
      <c r="D1096" s="1" t="s">
        <v>25</v>
      </c>
      <c r="E1096">
        <v>3</v>
      </c>
      <c r="F1096" s="4">
        <v>1455.09</v>
      </c>
      <c r="G1096" s="3">
        <v>0</v>
      </c>
      <c r="H1096" s="4">
        <v>305.73</v>
      </c>
    </row>
    <row r="1097" spans="1:8" x14ac:dyDescent="0.3">
      <c r="A1097" s="1" t="s">
        <v>1403</v>
      </c>
      <c r="B1097" s="2">
        <v>44632</v>
      </c>
      <c r="C1097" s="1" t="s">
        <v>946</v>
      </c>
      <c r="D1097" s="1" t="s">
        <v>48</v>
      </c>
      <c r="E1097">
        <v>2</v>
      </c>
      <c r="F1097" s="4">
        <v>478.51</v>
      </c>
      <c r="G1097" s="3">
        <v>0</v>
      </c>
      <c r="H1097" s="4">
        <v>61.51</v>
      </c>
    </row>
    <row r="1098" spans="1:8" x14ac:dyDescent="0.3">
      <c r="A1098" s="1" t="s">
        <v>1404</v>
      </c>
      <c r="B1098" s="2">
        <v>44957</v>
      </c>
      <c r="C1098" s="1" t="s">
        <v>313</v>
      </c>
      <c r="D1098" s="1" t="s">
        <v>211</v>
      </c>
      <c r="E1098">
        <v>4</v>
      </c>
      <c r="F1098" s="4">
        <v>1791.41</v>
      </c>
      <c r="G1098" s="3">
        <v>0.3</v>
      </c>
      <c r="H1098" s="4">
        <v>518.6</v>
      </c>
    </row>
    <row r="1099" spans="1:8" x14ac:dyDescent="0.3">
      <c r="A1099" s="1" t="s">
        <v>1405</v>
      </c>
      <c r="B1099" s="2">
        <v>44830</v>
      </c>
      <c r="C1099" s="1" t="s">
        <v>482</v>
      </c>
      <c r="D1099" s="1" t="s">
        <v>75</v>
      </c>
      <c r="E1099">
        <v>1</v>
      </c>
      <c r="F1099" s="4">
        <v>646.08000000000004</v>
      </c>
      <c r="G1099" s="3">
        <v>0.3</v>
      </c>
      <c r="H1099" s="4">
        <v>37.700000000000003</v>
      </c>
    </row>
    <row r="1100" spans="1:8" x14ac:dyDescent="0.3">
      <c r="A1100" s="1" t="s">
        <v>1406</v>
      </c>
      <c r="B1100" s="2">
        <v>45297</v>
      </c>
      <c r="C1100" s="1" t="s">
        <v>547</v>
      </c>
      <c r="D1100" s="1" t="s">
        <v>679</v>
      </c>
      <c r="E1100">
        <v>4</v>
      </c>
      <c r="F1100" s="4">
        <v>798.79</v>
      </c>
      <c r="G1100" s="3">
        <v>0.1</v>
      </c>
      <c r="H1100" s="4">
        <v>155.72</v>
      </c>
    </row>
    <row r="1101" spans="1:8" x14ac:dyDescent="0.3">
      <c r="A1101" s="1" t="s">
        <v>1407</v>
      </c>
      <c r="B1101" s="2">
        <v>44638</v>
      </c>
      <c r="C1101" s="1" t="s">
        <v>273</v>
      </c>
      <c r="D1101" s="1" t="s">
        <v>19</v>
      </c>
      <c r="E1101">
        <v>2</v>
      </c>
      <c r="F1101" s="4">
        <v>210.37</v>
      </c>
      <c r="G1101" s="3">
        <v>0.1</v>
      </c>
      <c r="H1101" s="4">
        <v>19.28</v>
      </c>
    </row>
    <row r="1102" spans="1:8" x14ac:dyDescent="0.3">
      <c r="A1102" s="1" t="s">
        <v>1408</v>
      </c>
      <c r="B1102" s="2">
        <v>45321</v>
      </c>
      <c r="C1102" s="1" t="s">
        <v>58</v>
      </c>
      <c r="D1102" s="1" t="s">
        <v>215</v>
      </c>
      <c r="E1102">
        <v>5</v>
      </c>
      <c r="F1102" s="4">
        <v>311.87</v>
      </c>
      <c r="G1102" s="3">
        <v>0.2</v>
      </c>
      <c r="H1102" s="4">
        <v>71.12</v>
      </c>
    </row>
    <row r="1103" spans="1:8" x14ac:dyDescent="0.3">
      <c r="A1103" s="1" t="s">
        <v>1409</v>
      </c>
      <c r="B1103" s="2">
        <v>44675</v>
      </c>
      <c r="C1103" s="1" t="s">
        <v>80</v>
      </c>
      <c r="D1103" s="1" t="s">
        <v>16</v>
      </c>
      <c r="E1103">
        <v>1</v>
      </c>
      <c r="F1103" s="4">
        <v>1080.1400000000001</v>
      </c>
      <c r="G1103" s="3">
        <v>0.2</v>
      </c>
      <c r="H1103" s="4">
        <v>101.5</v>
      </c>
    </row>
    <row r="1104" spans="1:8" x14ac:dyDescent="0.3">
      <c r="A1104" s="1" t="s">
        <v>1410</v>
      </c>
      <c r="B1104" s="2">
        <v>45355</v>
      </c>
      <c r="C1104" s="1" t="s">
        <v>723</v>
      </c>
      <c r="D1104" s="1" t="s">
        <v>22</v>
      </c>
      <c r="E1104">
        <v>1</v>
      </c>
      <c r="F1104" s="4">
        <v>608.42999999999995</v>
      </c>
      <c r="G1104" s="3">
        <v>0.3</v>
      </c>
      <c r="H1104" s="4">
        <v>66.23</v>
      </c>
    </row>
    <row r="1105" spans="1:8" x14ac:dyDescent="0.3">
      <c r="A1105" s="1" t="s">
        <v>1411</v>
      </c>
      <c r="B1105" s="2">
        <v>44966</v>
      </c>
      <c r="C1105" s="1" t="s">
        <v>434</v>
      </c>
      <c r="D1105" s="1" t="s">
        <v>256</v>
      </c>
      <c r="E1105">
        <v>3</v>
      </c>
      <c r="F1105" s="4">
        <v>1687.41</v>
      </c>
      <c r="G1105" s="3">
        <v>0</v>
      </c>
      <c r="H1105" s="4">
        <v>292.92</v>
      </c>
    </row>
    <row r="1106" spans="1:8" x14ac:dyDescent="0.3">
      <c r="A1106" s="1" t="s">
        <v>1412</v>
      </c>
      <c r="B1106" s="2">
        <v>44877</v>
      </c>
      <c r="C1106" s="1" t="s">
        <v>336</v>
      </c>
      <c r="D1106" s="1" t="s">
        <v>139</v>
      </c>
      <c r="E1106">
        <v>3</v>
      </c>
      <c r="F1106" s="4">
        <v>127.92</v>
      </c>
      <c r="G1106" s="3">
        <v>0.2</v>
      </c>
      <c r="H1106" s="4">
        <v>35.65</v>
      </c>
    </row>
    <row r="1107" spans="1:8" x14ac:dyDescent="0.3">
      <c r="A1107" s="1" t="s">
        <v>1413</v>
      </c>
      <c r="B1107" s="2">
        <v>44663</v>
      </c>
      <c r="C1107" s="1" t="s">
        <v>66</v>
      </c>
      <c r="D1107" s="1" t="s">
        <v>304</v>
      </c>
      <c r="E1107">
        <v>5</v>
      </c>
      <c r="F1107" s="4">
        <v>820.28</v>
      </c>
      <c r="G1107" s="3">
        <v>0.3</v>
      </c>
      <c r="H1107" s="4">
        <v>84.43</v>
      </c>
    </row>
    <row r="1108" spans="1:8" x14ac:dyDescent="0.3">
      <c r="A1108" s="1" t="s">
        <v>1414</v>
      </c>
      <c r="B1108" s="2">
        <v>45261</v>
      </c>
      <c r="C1108" s="1" t="s">
        <v>605</v>
      </c>
      <c r="D1108" s="1" t="s">
        <v>119</v>
      </c>
      <c r="E1108">
        <v>1</v>
      </c>
      <c r="F1108" s="4">
        <v>740.96</v>
      </c>
      <c r="G1108" s="3">
        <v>0.2</v>
      </c>
      <c r="H1108" s="4">
        <v>63.77</v>
      </c>
    </row>
    <row r="1109" spans="1:8" x14ac:dyDescent="0.3">
      <c r="A1109" s="1" t="s">
        <v>1415</v>
      </c>
      <c r="B1109" s="2">
        <v>44938</v>
      </c>
      <c r="C1109" s="1" t="s">
        <v>723</v>
      </c>
      <c r="D1109" s="1" t="s">
        <v>502</v>
      </c>
      <c r="E1109">
        <v>5</v>
      </c>
      <c r="F1109" s="4">
        <v>136.72</v>
      </c>
      <c r="G1109" s="3">
        <v>0</v>
      </c>
      <c r="H1109" s="4">
        <v>32.78</v>
      </c>
    </row>
    <row r="1110" spans="1:8" x14ac:dyDescent="0.3">
      <c r="A1110" s="1" t="s">
        <v>1416</v>
      </c>
      <c r="B1110" s="2">
        <v>44643</v>
      </c>
      <c r="C1110" s="1" t="s">
        <v>150</v>
      </c>
      <c r="D1110" s="1" t="s">
        <v>116</v>
      </c>
      <c r="E1110">
        <v>3</v>
      </c>
      <c r="F1110" s="4">
        <v>336.3</v>
      </c>
      <c r="G1110" s="3">
        <v>0.3</v>
      </c>
      <c r="H1110" s="4">
        <v>58.9</v>
      </c>
    </row>
    <row r="1111" spans="1:8" x14ac:dyDescent="0.3">
      <c r="A1111" s="1" t="s">
        <v>1417</v>
      </c>
      <c r="B1111" s="2">
        <v>45041</v>
      </c>
      <c r="C1111" s="1" t="s">
        <v>569</v>
      </c>
      <c r="D1111" s="1" t="s">
        <v>100</v>
      </c>
      <c r="E1111">
        <v>3</v>
      </c>
      <c r="F1111" s="4">
        <v>885.92</v>
      </c>
      <c r="G1111" s="3">
        <v>0</v>
      </c>
      <c r="H1111" s="4">
        <v>246.24</v>
      </c>
    </row>
    <row r="1112" spans="1:8" x14ac:dyDescent="0.3">
      <c r="A1112" s="1" t="s">
        <v>1418</v>
      </c>
      <c r="B1112" s="2">
        <v>45202</v>
      </c>
      <c r="C1112" s="1" t="s">
        <v>319</v>
      </c>
      <c r="D1112" s="1" t="s">
        <v>83</v>
      </c>
      <c r="E1112">
        <v>1</v>
      </c>
      <c r="F1112" s="4">
        <v>1036.44</v>
      </c>
      <c r="G1112" s="3">
        <v>0.3</v>
      </c>
      <c r="H1112" s="4">
        <v>89.81</v>
      </c>
    </row>
    <row r="1113" spans="1:8" x14ac:dyDescent="0.3">
      <c r="A1113" s="1" t="s">
        <v>1419</v>
      </c>
      <c r="B1113" s="2">
        <v>45296</v>
      </c>
      <c r="C1113" s="1" t="s">
        <v>1056</v>
      </c>
      <c r="D1113" s="1" t="s">
        <v>122</v>
      </c>
      <c r="E1113">
        <v>4</v>
      </c>
      <c r="F1113" s="4">
        <v>868.15</v>
      </c>
      <c r="G1113" s="3">
        <v>0.2</v>
      </c>
      <c r="H1113" s="4">
        <v>183.6</v>
      </c>
    </row>
    <row r="1114" spans="1:8" x14ac:dyDescent="0.3">
      <c r="A1114" s="1" t="s">
        <v>1420</v>
      </c>
      <c r="B1114" s="2">
        <v>45031</v>
      </c>
      <c r="C1114" s="1" t="s">
        <v>685</v>
      </c>
      <c r="D1114" s="1" t="s">
        <v>364</v>
      </c>
      <c r="E1114">
        <v>2</v>
      </c>
      <c r="F1114" s="4">
        <v>1108.78</v>
      </c>
      <c r="G1114" s="3">
        <v>0.1</v>
      </c>
      <c r="H1114" s="4">
        <v>119.99</v>
      </c>
    </row>
    <row r="1115" spans="1:8" x14ac:dyDescent="0.3">
      <c r="A1115" s="1" t="s">
        <v>1421</v>
      </c>
      <c r="B1115" s="2">
        <v>45392</v>
      </c>
      <c r="C1115" s="1" t="s">
        <v>1143</v>
      </c>
      <c r="D1115" s="1" t="s">
        <v>211</v>
      </c>
      <c r="E1115">
        <v>3</v>
      </c>
      <c r="F1115" s="4">
        <v>1230.75</v>
      </c>
      <c r="G1115" s="3">
        <v>0.2</v>
      </c>
      <c r="H1115" s="4">
        <v>109.77</v>
      </c>
    </row>
    <row r="1116" spans="1:8" x14ac:dyDescent="0.3">
      <c r="A1116" s="1" t="s">
        <v>1422</v>
      </c>
      <c r="B1116" s="2">
        <v>45008</v>
      </c>
      <c r="C1116" s="1" t="s">
        <v>124</v>
      </c>
      <c r="D1116" s="1" t="s">
        <v>215</v>
      </c>
      <c r="E1116">
        <v>3</v>
      </c>
      <c r="F1116" s="4">
        <v>118.86</v>
      </c>
      <c r="G1116" s="3">
        <v>0.2</v>
      </c>
      <c r="H1116" s="4">
        <v>26.25</v>
      </c>
    </row>
    <row r="1117" spans="1:8" x14ac:dyDescent="0.3">
      <c r="A1117" s="1" t="s">
        <v>1423</v>
      </c>
      <c r="B1117" s="2">
        <v>45394</v>
      </c>
      <c r="C1117" s="1" t="s">
        <v>292</v>
      </c>
      <c r="D1117" s="1" t="s">
        <v>67</v>
      </c>
      <c r="E1117">
        <v>4</v>
      </c>
      <c r="F1117" s="4">
        <v>981.78</v>
      </c>
      <c r="G1117" s="3">
        <v>0.1</v>
      </c>
      <c r="H1117" s="4">
        <v>194.81</v>
      </c>
    </row>
    <row r="1118" spans="1:8" x14ac:dyDescent="0.3">
      <c r="A1118" s="1" t="s">
        <v>1424</v>
      </c>
      <c r="B1118" s="2">
        <v>45312</v>
      </c>
      <c r="C1118" s="1" t="s">
        <v>184</v>
      </c>
      <c r="D1118" s="1" t="s">
        <v>132</v>
      </c>
      <c r="E1118">
        <v>4</v>
      </c>
      <c r="F1118" s="4">
        <v>1930.65</v>
      </c>
      <c r="G1118" s="3">
        <v>0.1</v>
      </c>
      <c r="H1118" s="4">
        <v>460.86</v>
      </c>
    </row>
    <row r="1119" spans="1:8" x14ac:dyDescent="0.3">
      <c r="A1119" s="1" t="s">
        <v>1425</v>
      </c>
      <c r="B1119" s="2">
        <v>45212</v>
      </c>
      <c r="C1119" s="1" t="s">
        <v>1181</v>
      </c>
      <c r="D1119" s="1" t="s">
        <v>59</v>
      </c>
      <c r="E1119">
        <v>5</v>
      </c>
      <c r="F1119" s="4">
        <v>1086.1600000000001</v>
      </c>
      <c r="G1119" s="3">
        <v>0.3</v>
      </c>
      <c r="H1119" s="4">
        <v>138.34</v>
      </c>
    </row>
    <row r="1120" spans="1:8" x14ac:dyDescent="0.3">
      <c r="A1120" s="1" t="s">
        <v>1426</v>
      </c>
      <c r="B1120" s="2">
        <v>45353</v>
      </c>
      <c r="C1120" s="1" t="s">
        <v>449</v>
      </c>
      <c r="D1120" s="1" t="s">
        <v>361</v>
      </c>
      <c r="E1120">
        <v>5</v>
      </c>
      <c r="F1120" s="4">
        <v>1387.33</v>
      </c>
      <c r="G1120" s="3">
        <v>0.3</v>
      </c>
      <c r="H1120" s="4">
        <v>224.74</v>
      </c>
    </row>
    <row r="1121" spans="1:8" x14ac:dyDescent="0.3">
      <c r="A1121" s="1" t="s">
        <v>1427</v>
      </c>
      <c r="B1121" s="2">
        <v>44717</v>
      </c>
      <c r="C1121" s="1" t="s">
        <v>434</v>
      </c>
      <c r="D1121" s="1" t="s">
        <v>70</v>
      </c>
      <c r="E1121">
        <v>2</v>
      </c>
      <c r="F1121" s="4">
        <v>692.54</v>
      </c>
      <c r="G1121" s="3">
        <v>0</v>
      </c>
      <c r="H1121" s="4">
        <v>104.83</v>
      </c>
    </row>
    <row r="1122" spans="1:8" x14ac:dyDescent="0.3">
      <c r="A1122" s="1" t="s">
        <v>1428</v>
      </c>
      <c r="B1122" s="2">
        <v>44633</v>
      </c>
      <c r="C1122" s="1" t="s">
        <v>313</v>
      </c>
      <c r="D1122" s="1" t="s">
        <v>218</v>
      </c>
      <c r="E1122">
        <v>2</v>
      </c>
      <c r="F1122" s="4">
        <v>1570.58</v>
      </c>
      <c r="G1122" s="3">
        <v>0</v>
      </c>
      <c r="H1122" s="4">
        <v>464.93</v>
      </c>
    </row>
    <row r="1123" spans="1:8" x14ac:dyDescent="0.3">
      <c r="A1123" s="1" t="s">
        <v>1429</v>
      </c>
      <c r="B1123" s="2">
        <v>45202</v>
      </c>
      <c r="C1123" s="1" t="s">
        <v>85</v>
      </c>
      <c r="D1123" s="1" t="s">
        <v>372</v>
      </c>
      <c r="E1123">
        <v>1</v>
      </c>
      <c r="F1123" s="4">
        <v>1568.55</v>
      </c>
      <c r="G1123" s="3">
        <v>0.2</v>
      </c>
      <c r="H1123" s="4">
        <v>193.03</v>
      </c>
    </row>
    <row r="1124" spans="1:8" x14ac:dyDescent="0.3">
      <c r="A1124" s="1" t="s">
        <v>1430</v>
      </c>
      <c r="B1124" s="2">
        <v>44720</v>
      </c>
      <c r="C1124" s="1" t="s">
        <v>657</v>
      </c>
      <c r="D1124" s="1" t="s">
        <v>201</v>
      </c>
      <c r="E1124">
        <v>5</v>
      </c>
      <c r="F1124" s="4">
        <v>1090.46</v>
      </c>
      <c r="G1124" s="3">
        <v>0.1</v>
      </c>
      <c r="H1124" s="4">
        <v>134.88999999999999</v>
      </c>
    </row>
    <row r="1125" spans="1:8" x14ac:dyDescent="0.3">
      <c r="A1125" s="1" t="s">
        <v>1431</v>
      </c>
      <c r="B1125" s="2">
        <v>45282</v>
      </c>
      <c r="C1125" s="1" t="s">
        <v>102</v>
      </c>
      <c r="D1125" s="1" t="s">
        <v>288</v>
      </c>
      <c r="E1125">
        <v>3</v>
      </c>
      <c r="F1125" s="4">
        <v>1954.43</v>
      </c>
      <c r="G1125" s="3">
        <v>0</v>
      </c>
      <c r="H1125" s="4">
        <v>270.95999999999998</v>
      </c>
    </row>
    <row r="1126" spans="1:8" x14ac:dyDescent="0.3">
      <c r="A1126" s="1" t="s">
        <v>1432</v>
      </c>
      <c r="B1126" s="2">
        <v>44902</v>
      </c>
      <c r="C1126" s="1" t="s">
        <v>336</v>
      </c>
      <c r="D1126" s="1" t="s">
        <v>258</v>
      </c>
      <c r="E1126">
        <v>5</v>
      </c>
      <c r="F1126" s="4">
        <v>338.55</v>
      </c>
      <c r="G1126" s="3">
        <v>0.2</v>
      </c>
      <c r="H1126" s="4">
        <v>64.709999999999994</v>
      </c>
    </row>
    <row r="1127" spans="1:8" x14ac:dyDescent="0.3">
      <c r="A1127" s="1" t="s">
        <v>1433</v>
      </c>
      <c r="B1127" s="2">
        <v>45281</v>
      </c>
      <c r="C1127" s="1" t="s">
        <v>434</v>
      </c>
      <c r="D1127" s="1" t="s">
        <v>54</v>
      </c>
      <c r="E1127">
        <v>3</v>
      </c>
      <c r="F1127" s="4">
        <v>132.19999999999999</v>
      </c>
      <c r="G1127" s="3">
        <v>0.1</v>
      </c>
      <c r="H1127" s="4">
        <v>14.95</v>
      </c>
    </row>
    <row r="1128" spans="1:8" x14ac:dyDescent="0.3">
      <c r="A1128" s="1" t="s">
        <v>1434</v>
      </c>
      <c r="B1128" s="2">
        <v>45111</v>
      </c>
      <c r="C1128" s="1" t="s">
        <v>126</v>
      </c>
      <c r="D1128" s="1" t="s">
        <v>296</v>
      </c>
      <c r="E1128">
        <v>4</v>
      </c>
      <c r="F1128" s="4">
        <v>1563.3</v>
      </c>
      <c r="G1128" s="3">
        <v>0.3</v>
      </c>
      <c r="H1128" s="4">
        <v>435.88</v>
      </c>
    </row>
    <row r="1129" spans="1:8" x14ac:dyDescent="0.3">
      <c r="A1129" s="1" t="s">
        <v>1435</v>
      </c>
      <c r="B1129" s="2">
        <v>45214</v>
      </c>
      <c r="C1129" s="1" t="s">
        <v>138</v>
      </c>
      <c r="D1129" s="1" t="s">
        <v>72</v>
      </c>
      <c r="E1129">
        <v>5</v>
      </c>
      <c r="F1129" s="4">
        <v>1633.6</v>
      </c>
      <c r="G1129" s="3">
        <v>0.2</v>
      </c>
      <c r="H1129" s="4">
        <v>190.19</v>
      </c>
    </row>
    <row r="1130" spans="1:8" x14ac:dyDescent="0.3">
      <c r="A1130" s="1" t="s">
        <v>1436</v>
      </c>
      <c r="B1130" s="2">
        <v>44822</v>
      </c>
      <c r="C1130" s="1" t="s">
        <v>729</v>
      </c>
      <c r="D1130" s="1" t="s">
        <v>585</v>
      </c>
      <c r="E1130">
        <v>4</v>
      </c>
      <c r="F1130" s="4">
        <v>328.39</v>
      </c>
      <c r="G1130" s="3">
        <v>0.3</v>
      </c>
      <c r="H1130" s="4">
        <v>89.96</v>
      </c>
    </row>
    <row r="1131" spans="1:8" x14ac:dyDescent="0.3">
      <c r="A1131" s="1" t="s">
        <v>1437</v>
      </c>
      <c r="B1131" s="2">
        <v>44728</v>
      </c>
      <c r="C1131" s="1" t="s">
        <v>167</v>
      </c>
      <c r="D1131" s="1" t="s">
        <v>70</v>
      </c>
      <c r="E1131">
        <v>2</v>
      </c>
      <c r="F1131" s="4">
        <v>604.61</v>
      </c>
      <c r="G1131" s="3">
        <v>0</v>
      </c>
      <c r="H1131" s="4">
        <v>45.87</v>
      </c>
    </row>
    <row r="1132" spans="1:8" x14ac:dyDescent="0.3">
      <c r="A1132" s="1" t="s">
        <v>1438</v>
      </c>
      <c r="B1132" s="2">
        <v>45018</v>
      </c>
      <c r="C1132" s="1" t="s">
        <v>246</v>
      </c>
      <c r="D1132" s="1" t="s">
        <v>188</v>
      </c>
      <c r="E1132">
        <v>2</v>
      </c>
      <c r="F1132" s="4">
        <v>133.35</v>
      </c>
      <c r="G1132" s="3">
        <v>0</v>
      </c>
      <c r="H1132" s="4">
        <v>28.56</v>
      </c>
    </row>
    <row r="1133" spans="1:8" x14ac:dyDescent="0.3">
      <c r="A1133" s="1" t="s">
        <v>1439</v>
      </c>
      <c r="B1133" s="2">
        <v>44771</v>
      </c>
      <c r="C1133" s="1" t="s">
        <v>282</v>
      </c>
      <c r="D1133" s="1" t="s">
        <v>296</v>
      </c>
      <c r="E1133">
        <v>1</v>
      </c>
      <c r="F1133" s="4">
        <v>657.29</v>
      </c>
      <c r="G1133" s="3">
        <v>0.1</v>
      </c>
      <c r="H1133" s="4">
        <v>181.9</v>
      </c>
    </row>
    <row r="1134" spans="1:8" x14ac:dyDescent="0.3">
      <c r="A1134" s="1" t="s">
        <v>1440</v>
      </c>
      <c r="B1134" s="2">
        <v>44824</v>
      </c>
      <c r="C1134" s="1" t="s">
        <v>338</v>
      </c>
      <c r="D1134" s="1" t="s">
        <v>139</v>
      </c>
      <c r="E1134">
        <v>5</v>
      </c>
      <c r="F1134" s="4">
        <v>1568.97</v>
      </c>
      <c r="G1134" s="3">
        <v>0.2</v>
      </c>
      <c r="H1134" s="4">
        <v>144.63999999999999</v>
      </c>
    </row>
    <row r="1135" spans="1:8" x14ac:dyDescent="0.3">
      <c r="A1135" s="1" t="s">
        <v>1441</v>
      </c>
      <c r="B1135" s="2">
        <v>44563</v>
      </c>
      <c r="C1135" s="1" t="s">
        <v>380</v>
      </c>
      <c r="D1135" s="1" t="s">
        <v>107</v>
      </c>
      <c r="E1135">
        <v>4</v>
      </c>
      <c r="F1135" s="4">
        <v>1084.1300000000001</v>
      </c>
      <c r="G1135" s="3">
        <v>0.3</v>
      </c>
      <c r="H1135" s="4">
        <v>316.64999999999998</v>
      </c>
    </row>
    <row r="1136" spans="1:8" x14ac:dyDescent="0.3">
      <c r="A1136" s="1" t="s">
        <v>1442</v>
      </c>
      <c r="B1136" s="2">
        <v>44847</v>
      </c>
      <c r="C1136" s="1" t="s">
        <v>360</v>
      </c>
      <c r="D1136" s="1" t="s">
        <v>130</v>
      </c>
      <c r="E1136">
        <v>3</v>
      </c>
      <c r="F1136" s="4">
        <v>761.38</v>
      </c>
      <c r="G1136" s="3">
        <v>0.1</v>
      </c>
      <c r="H1136" s="4">
        <v>124.27</v>
      </c>
    </row>
    <row r="1137" spans="1:8" x14ac:dyDescent="0.3">
      <c r="A1137" s="1" t="s">
        <v>1443</v>
      </c>
      <c r="B1137" s="2">
        <v>45188</v>
      </c>
      <c r="C1137" s="1" t="s">
        <v>533</v>
      </c>
      <c r="D1137" s="1" t="s">
        <v>757</v>
      </c>
      <c r="E1137">
        <v>2</v>
      </c>
      <c r="F1137" s="4">
        <v>806.3</v>
      </c>
      <c r="G1137" s="3">
        <v>0</v>
      </c>
      <c r="H1137" s="4">
        <v>230.95</v>
      </c>
    </row>
    <row r="1138" spans="1:8" x14ac:dyDescent="0.3">
      <c r="A1138" s="1" t="s">
        <v>1444</v>
      </c>
      <c r="B1138" s="2">
        <v>45447</v>
      </c>
      <c r="C1138" s="1" t="s">
        <v>106</v>
      </c>
      <c r="D1138" s="1" t="s">
        <v>170</v>
      </c>
      <c r="E1138">
        <v>2</v>
      </c>
      <c r="F1138" s="4">
        <v>102.57</v>
      </c>
      <c r="G1138" s="3">
        <v>0</v>
      </c>
      <c r="H1138" s="4">
        <v>22.48</v>
      </c>
    </row>
    <row r="1139" spans="1:8" x14ac:dyDescent="0.3">
      <c r="A1139" s="1" t="s">
        <v>1445</v>
      </c>
      <c r="B1139" s="2">
        <v>45397</v>
      </c>
      <c r="C1139" s="1" t="s">
        <v>729</v>
      </c>
      <c r="D1139" s="1" t="s">
        <v>669</v>
      </c>
      <c r="E1139">
        <v>3</v>
      </c>
      <c r="F1139" s="4">
        <v>669.62</v>
      </c>
      <c r="G1139" s="3">
        <v>0.2</v>
      </c>
      <c r="H1139" s="4">
        <v>83.97</v>
      </c>
    </row>
    <row r="1140" spans="1:8" x14ac:dyDescent="0.3">
      <c r="A1140" s="1" t="s">
        <v>1446</v>
      </c>
      <c r="B1140" s="2">
        <v>44600</v>
      </c>
      <c r="C1140" s="1" t="s">
        <v>338</v>
      </c>
      <c r="D1140" s="1" t="s">
        <v>72</v>
      </c>
      <c r="E1140">
        <v>4</v>
      </c>
      <c r="F1140" s="4">
        <v>1328.27</v>
      </c>
      <c r="G1140" s="3">
        <v>0.3</v>
      </c>
      <c r="H1140" s="4">
        <v>128.94</v>
      </c>
    </row>
    <row r="1141" spans="1:8" x14ac:dyDescent="0.3">
      <c r="A1141" s="1" t="s">
        <v>1447</v>
      </c>
      <c r="B1141" s="2">
        <v>44634</v>
      </c>
      <c r="C1141" s="1" t="s">
        <v>233</v>
      </c>
      <c r="D1141" s="1" t="s">
        <v>249</v>
      </c>
      <c r="E1141">
        <v>4</v>
      </c>
      <c r="F1141" s="4">
        <v>1950.97</v>
      </c>
      <c r="G1141" s="3">
        <v>0.2</v>
      </c>
      <c r="H1141" s="4">
        <v>245.69</v>
      </c>
    </row>
    <row r="1142" spans="1:8" x14ac:dyDescent="0.3">
      <c r="A1142" s="1" t="s">
        <v>1448</v>
      </c>
      <c r="B1142" s="2">
        <v>44882</v>
      </c>
      <c r="C1142" s="1" t="s">
        <v>777</v>
      </c>
      <c r="D1142" s="1" t="s">
        <v>314</v>
      </c>
      <c r="E1142">
        <v>5</v>
      </c>
      <c r="F1142" s="4">
        <v>1709.42</v>
      </c>
      <c r="G1142" s="3">
        <v>0.3</v>
      </c>
      <c r="H1142" s="4">
        <v>125.22</v>
      </c>
    </row>
    <row r="1143" spans="1:8" x14ac:dyDescent="0.3">
      <c r="A1143" s="1" t="s">
        <v>1449</v>
      </c>
      <c r="B1143" s="2">
        <v>44840</v>
      </c>
      <c r="C1143" s="1" t="s">
        <v>371</v>
      </c>
      <c r="D1143" s="1" t="s">
        <v>249</v>
      </c>
      <c r="E1143">
        <v>5</v>
      </c>
      <c r="F1143" s="4">
        <v>144.83000000000001</v>
      </c>
      <c r="G1143" s="3">
        <v>0.3</v>
      </c>
      <c r="H1143" s="4">
        <v>12.45</v>
      </c>
    </row>
    <row r="1144" spans="1:8" x14ac:dyDescent="0.3">
      <c r="A1144" s="1" t="s">
        <v>1450</v>
      </c>
      <c r="B1144" s="2">
        <v>45328</v>
      </c>
      <c r="C1144" s="1" t="s">
        <v>145</v>
      </c>
      <c r="D1144" s="1" t="s">
        <v>13</v>
      </c>
      <c r="E1144">
        <v>1</v>
      </c>
      <c r="F1144" s="4">
        <v>1807.27</v>
      </c>
      <c r="G1144" s="3">
        <v>0.2</v>
      </c>
      <c r="H1144" s="4">
        <v>137.65</v>
      </c>
    </row>
    <row r="1145" spans="1:8" x14ac:dyDescent="0.3">
      <c r="A1145" s="1" t="s">
        <v>1451</v>
      </c>
      <c r="B1145" s="2">
        <v>45021</v>
      </c>
      <c r="C1145" s="1" t="s">
        <v>436</v>
      </c>
      <c r="D1145" s="1" t="s">
        <v>304</v>
      </c>
      <c r="E1145">
        <v>2</v>
      </c>
      <c r="F1145" s="4">
        <v>1588.08</v>
      </c>
      <c r="G1145" s="3">
        <v>0.1</v>
      </c>
      <c r="H1145" s="4">
        <v>247.32</v>
      </c>
    </row>
    <row r="1146" spans="1:8" x14ac:dyDescent="0.3">
      <c r="A1146" s="1" t="s">
        <v>1452</v>
      </c>
      <c r="B1146" s="2">
        <v>45090</v>
      </c>
      <c r="C1146" s="1" t="s">
        <v>12</v>
      </c>
      <c r="D1146" s="1" t="s">
        <v>70</v>
      </c>
      <c r="E1146">
        <v>5</v>
      </c>
      <c r="F1146" s="4">
        <v>1582.71</v>
      </c>
      <c r="G1146" s="3">
        <v>0.2</v>
      </c>
      <c r="H1146" s="4">
        <v>393.93</v>
      </c>
    </row>
    <row r="1147" spans="1:8" x14ac:dyDescent="0.3">
      <c r="A1147" s="1" t="s">
        <v>1453</v>
      </c>
      <c r="B1147" s="2">
        <v>45038</v>
      </c>
      <c r="C1147" s="1" t="s">
        <v>491</v>
      </c>
      <c r="D1147" s="1" t="s">
        <v>75</v>
      </c>
      <c r="E1147">
        <v>4</v>
      </c>
      <c r="F1147" s="4">
        <v>970.19</v>
      </c>
      <c r="G1147" s="3">
        <v>0.2</v>
      </c>
      <c r="H1147" s="4">
        <v>82.8</v>
      </c>
    </row>
    <row r="1148" spans="1:8" x14ac:dyDescent="0.3">
      <c r="A1148" s="1" t="s">
        <v>1454</v>
      </c>
      <c r="B1148" s="2">
        <v>45141</v>
      </c>
      <c r="C1148" s="1" t="s">
        <v>74</v>
      </c>
      <c r="D1148" s="1" t="s">
        <v>67</v>
      </c>
      <c r="E1148">
        <v>3</v>
      </c>
      <c r="F1148" s="4">
        <v>856.21</v>
      </c>
      <c r="G1148" s="3">
        <v>0</v>
      </c>
      <c r="H1148" s="4">
        <v>70.709999999999994</v>
      </c>
    </row>
    <row r="1149" spans="1:8" x14ac:dyDescent="0.3">
      <c r="A1149" s="1" t="s">
        <v>1455</v>
      </c>
      <c r="B1149" s="2">
        <v>44564</v>
      </c>
      <c r="C1149" s="1" t="s">
        <v>172</v>
      </c>
      <c r="D1149" s="1" t="s">
        <v>218</v>
      </c>
      <c r="E1149">
        <v>4</v>
      </c>
      <c r="F1149" s="4">
        <v>675.54</v>
      </c>
      <c r="G1149" s="3">
        <v>0</v>
      </c>
      <c r="H1149" s="4">
        <v>142.44</v>
      </c>
    </row>
    <row r="1150" spans="1:8" x14ac:dyDescent="0.3">
      <c r="A1150" s="1" t="s">
        <v>1456</v>
      </c>
      <c r="B1150" s="2">
        <v>45334</v>
      </c>
      <c r="C1150" s="1" t="s">
        <v>203</v>
      </c>
      <c r="D1150" s="1" t="s">
        <v>727</v>
      </c>
      <c r="E1150">
        <v>2</v>
      </c>
      <c r="F1150" s="4">
        <v>224.82</v>
      </c>
      <c r="G1150" s="3">
        <v>0.2</v>
      </c>
      <c r="H1150" s="4">
        <v>22.32</v>
      </c>
    </row>
    <row r="1151" spans="1:8" x14ac:dyDescent="0.3">
      <c r="A1151" s="1" t="s">
        <v>1457</v>
      </c>
      <c r="B1151" s="2">
        <v>44585</v>
      </c>
      <c r="C1151" s="1" t="s">
        <v>547</v>
      </c>
      <c r="D1151" s="1" t="s">
        <v>64</v>
      </c>
      <c r="E1151">
        <v>4</v>
      </c>
      <c r="F1151" s="4">
        <v>533.65</v>
      </c>
      <c r="G1151" s="3">
        <v>0.2</v>
      </c>
      <c r="H1151" s="4">
        <v>39.700000000000003</v>
      </c>
    </row>
    <row r="1152" spans="1:8" x14ac:dyDescent="0.3">
      <c r="A1152" s="1" t="s">
        <v>1458</v>
      </c>
      <c r="B1152" s="2">
        <v>44898</v>
      </c>
      <c r="C1152" s="1" t="s">
        <v>420</v>
      </c>
      <c r="D1152" s="1" t="s">
        <v>86</v>
      </c>
      <c r="E1152">
        <v>1</v>
      </c>
      <c r="F1152" s="4">
        <v>568.54999999999995</v>
      </c>
      <c r="G1152" s="3">
        <v>0</v>
      </c>
      <c r="H1152" s="4">
        <v>52.14</v>
      </c>
    </row>
    <row r="1153" spans="1:8" x14ac:dyDescent="0.3">
      <c r="A1153" s="1" t="s">
        <v>1459</v>
      </c>
      <c r="B1153" s="2">
        <v>44949</v>
      </c>
      <c r="C1153" s="1" t="s">
        <v>489</v>
      </c>
      <c r="D1153" s="1" t="s">
        <v>323</v>
      </c>
      <c r="E1153">
        <v>2</v>
      </c>
      <c r="F1153" s="4">
        <v>1019.75</v>
      </c>
      <c r="G1153" s="3">
        <v>0.3</v>
      </c>
      <c r="H1153" s="4">
        <v>286.48</v>
      </c>
    </row>
    <row r="1154" spans="1:8" x14ac:dyDescent="0.3">
      <c r="A1154" s="1" t="s">
        <v>1460</v>
      </c>
      <c r="B1154" s="2">
        <v>44687</v>
      </c>
      <c r="C1154" s="1" t="s">
        <v>9</v>
      </c>
      <c r="D1154" s="1" t="s">
        <v>97</v>
      </c>
      <c r="E1154">
        <v>3</v>
      </c>
      <c r="F1154" s="4">
        <v>1520.14</v>
      </c>
      <c r="G1154" s="3">
        <v>0.2</v>
      </c>
      <c r="H1154" s="4">
        <v>388.19</v>
      </c>
    </row>
    <row r="1155" spans="1:8" x14ac:dyDescent="0.3">
      <c r="A1155" s="1" t="s">
        <v>1461</v>
      </c>
      <c r="B1155" s="2">
        <v>45090</v>
      </c>
      <c r="C1155" s="1" t="s">
        <v>505</v>
      </c>
      <c r="D1155" s="1" t="s">
        <v>161</v>
      </c>
      <c r="E1155">
        <v>1</v>
      </c>
      <c r="F1155" s="4">
        <v>1000.24</v>
      </c>
      <c r="G1155" s="3">
        <v>0.1</v>
      </c>
      <c r="H1155" s="4">
        <v>138.55000000000001</v>
      </c>
    </row>
    <row r="1156" spans="1:8" x14ac:dyDescent="0.3">
      <c r="A1156" s="1" t="s">
        <v>1462</v>
      </c>
      <c r="B1156" s="2">
        <v>45312</v>
      </c>
      <c r="C1156" s="1" t="s">
        <v>1093</v>
      </c>
      <c r="D1156" s="1" t="s">
        <v>59</v>
      </c>
      <c r="E1156">
        <v>2</v>
      </c>
      <c r="F1156" s="4">
        <v>209.9</v>
      </c>
      <c r="G1156" s="3">
        <v>0.1</v>
      </c>
      <c r="H1156" s="4">
        <v>44.91</v>
      </c>
    </row>
    <row r="1157" spans="1:8" x14ac:dyDescent="0.3">
      <c r="A1157" s="1" t="s">
        <v>1463</v>
      </c>
      <c r="B1157" s="2">
        <v>44892</v>
      </c>
      <c r="C1157" s="1" t="s">
        <v>610</v>
      </c>
      <c r="D1157" s="1" t="s">
        <v>86</v>
      </c>
      <c r="E1157">
        <v>3</v>
      </c>
      <c r="F1157" s="4">
        <v>1919.8</v>
      </c>
      <c r="G1157" s="3">
        <v>0.1</v>
      </c>
      <c r="H1157" s="4">
        <v>353.86</v>
      </c>
    </row>
    <row r="1158" spans="1:8" x14ac:dyDescent="0.3">
      <c r="A1158" s="1" t="s">
        <v>1464</v>
      </c>
      <c r="B1158" s="2">
        <v>45368</v>
      </c>
      <c r="C1158" s="1" t="s">
        <v>273</v>
      </c>
      <c r="D1158" s="1" t="s">
        <v>22</v>
      </c>
      <c r="E1158">
        <v>1</v>
      </c>
      <c r="F1158" s="4">
        <v>1891.18</v>
      </c>
      <c r="G1158" s="3">
        <v>0.2</v>
      </c>
      <c r="H1158" s="4">
        <v>414.7</v>
      </c>
    </row>
    <row r="1159" spans="1:8" x14ac:dyDescent="0.3">
      <c r="A1159" s="1" t="s">
        <v>1465</v>
      </c>
      <c r="B1159" s="2">
        <v>45104</v>
      </c>
      <c r="C1159" s="1" t="s">
        <v>91</v>
      </c>
      <c r="D1159" s="1" t="s">
        <v>40</v>
      </c>
      <c r="E1159">
        <v>1</v>
      </c>
      <c r="F1159" s="4">
        <v>1591.86</v>
      </c>
      <c r="G1159" s="3">
        <v>0.3</v>
      </c>
      <c r="H1159" s="4">
        <v>351.27</v>
      </c>
    </row>
    <row r="1160" spans="1:8" x14ac:dyDescent="0.3">
      <c r="A1160" s="1" t="s">
        <v>1466</v>
      </c>
      <c r="B1160" s="2">
        <v>45125</v>
      </c>
      <c r="C1160" s="1" t="s">
        <v>524</v>
      </c>
      <c r="D1160" s="1" t="s">
        <v>61</v>
      </c>
      <c r="E1160">
        <v>2</v>
      </c>
      <c r="F1160" s="4">
        <v>1983.52</v>
      </c>
      <c r="G1160" s="3">
        <v>0.3</v>
      </c>
      <c r="H1160" s="4">
        <v>410.95</v>
      </c>
    </row>
    <row r="1161" spans="1:8" x14ac:dyDescent="0.3">
      <c r="A1161" s="1" t="s">
        <v>1467</v>
      </c>
      <c r="B1161" s="2">
        <v>44909</v>
      </c>
      <c r="C1161" s="1" t="s">
        <v>466</v>
      </c>
      <c r="D1161" s="1" t="s">
        <v>97</v>
      </c>
      <c r="E1161">
        <v>5</v>
      </c>
      <c r="F1161" s="4">
        <v>1134.52</v>
      </c>
      <c r="G1161" s="3">
        <v>0</v>
      </c>
      <c r="H1161" s="4">
        <v>132.19999999999999</v>
      </c>
    </row>
    <row r="1162" spans="1:8" x14ac:dyDescent="0.3">
      <c r="A1162" s="1" t="s">
        <v>1468</v>
      </c>
      <c r="B1162" s="2">
        <v>45327</v>
      </c>
      <c r="C1162" s="1" t="s">
        <v>300</v>
      </c>
      <c r="D1162" s="1" t="s">
        <v>72</v>
      </c>
      <c r="E1162">
        <v>1</v>
      </c>
      <c r="F1162" s="4">
        <v>1929.26</v>
      </c>
      <c r="G1162" s="3">
        <v>0.2</v>
      </c>
      <c r="H1162" s="4">
        <v>115.28</v>
      </c>
    </row>
    <row r="1163" spans="1:8" x14ac:dyDescent="0.3">
      <c r="A1163" s="1" t="s">
        <v>1469</v>
      </c>
      <c r="B1163" s="2">
        <v>45461</v>
      </c>
      <c r="C1163" s="1" t="s">
        <v>834</v>
      </c>
      <c r="D1163" s="1" t="s">
        <v>585</v>
      </c>
      <c r="E1163">
        <v>1</v>
      </c>
      <c r="F1163" s="4">
        <v>243.65</v>
      </c>
      <c r="G1163" s="3">
        <v>0.3</v>
      </c>
      <c r="H1163" s="4">
        <v>39.93</v>
      </c>
    </row>
    <row r="1164" spans="1:8" x14ac:dyDescent="0.3">
      <c r="A1164" s="1" t="s">
        <v>1470</v>
      </c>
      <c r="B1164" s="2">
        <v>44610</v>
      </c>
      <c r="C1164" s="1" t="s">
        <v>194</v>
      </c>
      <c r="D1164" s="1" t="s">
        <v>180</v>
      </c>
      <c r="E1164">
        <v>3</v>
      </c>
      <c r="F1164" s="4">
        <v>794.79</v>
      </c>
      <c r="G1164" s="3">
        <v>0.2</v>
      </c>
      <c r="H1164" s="4">
        <v>216.77</v>
      </c>
    </row>
    <row r="1165" spans="1:8" x14ac:dyDescent="0.3">
      <c r="A1165" s="1" t="s">
        <v>1471</v>
      </c>
      <c r="B1165" s="2">
        <v>45217</v>
      </c>
      <c r="C1165" s="1" t="s">
        <v>129</v>
      </c>
      <c r="D1165" s="1" t="s">
        <v>218</v>
      </c>
      <c r="E1165">
        <v>4</v>
      </c>
      <c r="F1165" s="4">
        <v>528.22</v>
      </c>
      <c r="G1165" s="3">
        <v>0</v>
      </c>
      <c r="H1165" s="4">
        <v>101.62</v>
      </c>
    </row>
    <row r="1166" spans="1:8" x14ac:dyDescent="0.3">
      <c r="A1166" s="1" t="s">
        <v>1472</v>
      </c>
      <c r="B1166" s="2">
        <v>45074</v>
      </c>
      <c r="C1166" s="1" t="s">
        <v>82</v>
      </c>
      <c r="D1166" s="1" t="s">
        <v>13</v>
      </c>
      <c r="E1166">
        <v>2</v>
      </c>
      <c r="F1166" s="4">
        <v>472.08</v>
      </c>
      <c r="G1166" s="3">
        <v>0</v>
      </c>
      <c r="H1166" s="4">
        <v>121.84</v>
      </c>
    </row>
    <row r="1167" spans="1:8" x14ac:dyDescent="0.3">
      <c r="A1167" s="1" t="s">
        <v>1473</v>
      </c>
      <c r="B1167" s="2">
        <v>45007</v>
      </c>
      <c r="C1167" s="1" t="s">
        <v>657</v>
      </c>
      <c r="D1167" s="1" t="s">
        <v>309</v>
      </c>
      <c r="E1167">
        <v>2</v>
      </c>
      <c r="F1167" s="4">
        <v>367.53</v>
      </c>
      <c r="G1167" s="3">
        <v>0</v>
      </c>
      <c r="H1167" s="4">
        <v>109.49</v>
      </c>
    </row>
    <row r="1168" spans="1:8" x14ac:dyDescent="0.3">
      <c r="A1168" s="1" t="s">
        <v>1474</v>
      </c>
      <c r="B1168" s="2">
        <v>45244</v>
      </c>
      <c r="C1168" s="1" t="s">
        <v>198</v>
      </c>
      <c r="D1168" s="1" t="s">
        <v>43</v>
      </c>
      <c r="E1168">
        <v>5</v>
      </c>
      <c r="F1168" s="4">
        <v>1282.5899999999999</v>
      </c>
      <c r="G1168" s="3">
        <v>0.1</v>
      </c>
      <c r="H1168" s="4">
        <v>116.59</v>
      </c>
    </row>
    <row r="1169" spans="1:8" x14ac:dyDescent="0.3">
      <c r="A1169" s="1" t="s">
        <v>1475</v>
      </c>
      <c r="B1169" s="2">
        <v>44806</v>
      </c>
      <c r="C1169" s="1" t="s">
        <v>265</v>
      </c>
      <c r="D1169" s="1" t="s">
        <v>603</v>
      </c>
      <c r="E1169">
        <v>5</v>
      </c>
      <c r="F1169" s="4">
        <v>1584.51</v>
      </c>
      <c r="G1169" s="3">
        <v>0.2</v>
      </c>
      <c r="H1169" s="4">
        <v>353.26</v>
      </c>
    </row>
    <row r="1170" spans="1:8" x14ac:dyDescent="0.3">
      <c r="A1170" s="1" t="s">
        <v>1476</v>
      </c>
      <c r="B1170" s="2">
        <v>45064</v>
      </c>
      <c r="C1170" s="1" t="s">
        <v>158</v>
      </c>
      <c r="D1170" s="1" t="s">
        <v>263</v>
      </c>
      <c r="E1170">
        <v>2</v>
      </c>
      <c r="F1170" s="4">
        <v>1198.77</v>
      </c>
      <c r="G1170" s="3">
        <v>0</v>
      </c>
      <c r="H1170" s="4">
        <v>262.02</v>
      </c>
    </row>
    <row r="1171" spans="1:8" x14ac:dyDescent="0.3">
      <c r="A1171" s="1" t="s">
        <v>1477</v>
      </c>
      <c r="B1171" s="2">
        <v>44673</v>
      </c>
      <c r="C1171" s="1" t="s">
        <v>1056</v>
      </c>
      <c r="D1171" s="1" t="s">
        <v>119</v>
      </c>
      <c r="E1171">
        <v>5</v>
      </c>
      <c r="F1171" s="4">
        <v>379.23</v>
      </c>
      <c r="G1171" s="3">
        <v>0.2</v>
      </c>
      <c r="H1171" s="4">
        <v>111.87</v>
      </c>
    </row>
    <row r="1172" spans="1:8" x14ac:dyDescent="0.3">
      <c r="A1172" s="1" t="s">
        <v>1478</v>
      </c>
      <c r="B1172" s="2">
        <v>44741</v>
      </c>
      <c r="C1172" s="1" t="s">
        <v>53</v>
      </c>
      <c r="D1172" s="1" t="s">
        <v>143</v>
      </c>
      <c r="E1172">
        <v>3</v>
      </c>
      <c r="F1172" s="4">
        <v>1641.14</v>
      </c>
      <c r="G1172" s="3">
        <v>0.1</v>
      </c>
      <c r="H1172" s="4">
        <v>486.43</v>
      </c>
    </row>
    <row r="1173" spans="1:8" x14ac:dyDescent="0.3">
      <c r="A1173" s="1" t="s">
        <v>1479</v>
      </c>
      <c r="B1173" s="2">
        <v>45437</v>
      </c>
      <c r="C1173" s="1" t="s">
        <v>33</v>
      </c>
      <c r="D1173" s="1" t="s">
        <v>100</v>
      </c>
      <c r="E1173">
        <v>2</v>
      </c>
      <c r="F1173" s="4">
        <v>1308.31</v>
      </c>
      <c r="G1173" s="3">
        <v>0.1</v>
      </c>
      <c r="H1173" s="4">
        <v>290.01</v>
      </c>
    </row>
    <row r="1174" spans="1:8" x14ac:dyDescent="0.3">
      <c r="A1174" s="1" t="s">
        <v>1480</v>
      </c>
      <c r="B1174" s="2">
        <v>44803</v>
      </c>
      <c r="C1174" s="1" t="s">
        <v>353</v>
      </c>
      <c r="D1174" s="1" t="s">
        <v>48</v>
      </c>
      <c r="E1174">
        <v>5</v>
      </c>
      <c r="F1174" s="4">
        <v>837.51</v>
      </c>
      <c r="G1174" s="3">
        <v>0</v>
      </c>
      <c r="H1174" s="4">
        <v>92.88</v>
      </c>
    </row>
    <row r="1175" spans="1:8" x14ac:dyDescent="0.3">
      <c r="A1175" s="1" t="s">
        <v>1481</v>
      </c>
      <c r="B1175" s="2">
        <v>44611</v>
      </c>
      <c r="C1175" s="1" t="s">
        <v>121</v>
      </c>
      <c r="D1175" s="1" t="s">
        <v>234</v>
      </c>
      <c r="E1175">
        <v>2</v>
      </c>
      <c r="F1175" s="4">
        <v>1380.85</v>
      </c>
      <c r="G1175" s="3">
        <v>0</v>
      </c>
      <c r="H1175" s="4">
        <v>344.71</v>
      </c>
    </row>
    <row r="1176" spans="1:8" x14ac:dyDescent="0.3">
      <c r="A1176" s="1" t="s">
        <v>1482</v>
      </c>
      <c r="B1176" s="2">
        <v>44579</v>
      </c>
      <c r="C1176" s="1" t="s">
        <v>482</v>
      </c>
      <c r="D1176" s="1" t="s">
        <v>31</v>
      </c>
      <c r="E1176">
        <v>4</v>
      </c>
      <c r="F1176" s="4">
        <v>593.82000000000005</v>
      </c>
      <c r="G1176" s="3">
        <v>0.3</v>
      </c>
      <c r="H1176" s="4">
        <v>45.58</v>
      </c>
    </row>
    <row r="1177" spans="1:8" x14ac:dyDescent="0.3">
      <c r="A1177" s="1" t="s">
        <v>1483</v>
      </c>
      <c r="B1177" s="2">
        <v>44731</v>
      </c>
      <c r="C1177" s="1" t="s">
        <v>402</v>
      </c>
      <c r="D1177" s="1" t="s">
        <v>215</v>
      </c>
      <c r="E1177">
        <v>1</v>
      </c>
      <c r="F1177" s="4">
        <v>755.87</v>
      </c>
      <c r="G1177" s="3">
        <v>0.2</v>
      </c>
      <c r="H1177" s="4">
        <v>185.32</v>
      </c>
    </row>
    <row r="1178" spans="1:8" x14ac:dyDescent="0.3">
      <c r="A1178" s="1" t="s">
        <v>1484</v>
      </c>
      <c r="B1178" s="2">
        <v>44908</v>
      </c>
      <c r="C1178" s="1" t="s">
        <v>843</v>
      </c>
      <c r="D1178" s="1" t="s">
        <v>455</v>
      </c>
      <c r="E1178">
        <v>2</v>
      </c>
      <c r="F1178" s="4">
        <v>1843.22</v>
      </c>
      <c r="G1178" s="3">
        <v>0</v>
      </c>
      <c r="H1178" s="4">
        <v>511.58</v>
      </c>
    </row>
    <row r="1179" spans="1:8" x14ac:dyDescent="0.3">
      <c r="A1179" s="1" t="s">
        <v>1485</v>
      </c>
      <c r="B1179" s="2">
        <v>45129</v>
      </c>
      <c r="C1179" s="1" t="s">
        <v>384</v>
      </c>
      <c r="D1179" s="1" t="s">
        <v>97</v>
      </c>
      <c r="E1179">
        <v>1</v>
      </c>
      <c r="F1179" s="4">
        <v>651.96</v>
      </c>
      <c r="G1179" s="3">
        <v>0.3</v>
      </c>
      <c r="H1179" s="4">
        <v>95</v>
      </c>
    </row>
    <row r="1180" spans="1:8" x14ac:dyDescent="0.3">
      <c r="A1180" s="1" t="s">
        <v>1486</v>
      </c>
      <c r="B1180" s="2">
        <v>45149</v>
      </c>
      <c r="C1180" s="1" t="s">
        <v>205</v>
      </c>
      <c r="D1180" s="1" t="s">
        <v>25</v>
      </c>
      <c r="E1180">
        <v>5</v>
      </c>
      <c r="F1180" s="4">
        <v>992.98</v>
      </c>
      <c r="G1180" s="3">
        <v>0.2</v>
      </c>
      <c r="H1180" s="4">
        <v>206.2</v>
      </c>
    </row>
    <row r="1181" spans="1:8" x14ac:dyDescent="0.3">
      <c r="A1181" s="1" t="s">
        <v>1487</v>
      </c>
      <c r="B1181" s="2">
        <v>45159</v>
      </c>
      <c r="C1181" s="1" t="s">
        <v>325</v>
      </c>
      <c r="D1181" s="1" t="s">
        <v>455</v>
      </c>
      <c r="E1181">
        <v>1</v>
      </c>
      <c r="F1181" s="4">
        <v>1791.27</v>
      </c>
      <c r="G1181" s="3">
        <v>0</v>
      </c>
      <c r="H1181" s="4">
        <v>282.19</v>
      </c>
    </row>
    <row r="1182" spans="1:8" x14ac:dyDescent="0.3">
      <c r="A1182" s="1" t="s">
        <v>1488</v>
      </c>
      <c r="B1182" s="2">
        <v>44742</v>
      </c>
      <c r="C1182" s="1" t="s">
        <v>466</v>
      </c>
      <c r="D1182" s="1" t="s">
        <v>22</v>
      </c>
      <c r="E1182">
        <v>2</v>
      </c>
      <c r="F1182" s="4">
        <v>1444.67</v>
      </c>
      <c r="G1182" s="3">
        <v>0.3</v>
      </c>
      <c r="H1182" s="4">
        <v>230.34</v>
      </c>
    </row>
    <row r="1183" spans="1:8" x14ac:dyDescent="0.3">
      <c r="A1183" s="1" t="s">
        <v>1489</v>
      </c>
      <c r="B1183" s="2">
        <v>44812</v>
      </c>
      <c r="C1183" s="1" t="s">
        <v>559</v>
      </c>
      <c r="D1183" s="1" t="s">
        <v>278</v>
      </c>
      <c r="E1183">
        <v>4</v>
      </c>
      <c r="F1183" s="4">
        <v>218.19</v>
      </c>
      <c r="G1183" s="3">
        <v>0.3</v>
      </c>
      <c r="H1183" s="4">
        <v>27.84</v>
      </c>
    </row>
    <row r="1184" spans="1:8" x14ac:dyDescent="0.3">
      <c r="A1184" s="1" t="s">
        <v>1490</v>
      </c>
      <c r="B1184" s="2">
        <v>45422</v>
      </c>
      <c r="C1184" s="1" t="s">
        <v>447</v>
      </c>
      <c r="D1184" s="1" t="s">
        <v>283</v>
      </c>
      <c r="E1184">
        <v>5</v>
      </c>
      <c r="F1184" s="4">
        <v>379.88</v>
      </c>
      <c r="G1184" s="3">
        <v>0.2</v>
      </c>
      <c r="H1184" s="4">
        <v>91.37</v>
      </c>
    </row>
    <row r="1185" spans="1:8" x14ac:dyDescent="0.3">
      <c r="A1185" s="1" t="s">
        <v>1491</v>
      </c>
      <c r="B1185" s="2">
        <v>44963</v>
      </c>
      <c r="C1185" s="1" t="s">
        <v>547</v>
      </c>
      <c r="D1185" s="1" t="s">
        <v>218</v>
      </c>
      <c r="E1185">
        <v>2</v>
      </c>
      <c r="F1185" s="4">
        <v>114.9</v>
      </c>
      <c r="G1185" s="3">
        <v>0.3</v>
      </c>
      <c r="H1185" s="4">
        <v>32.64</v>
      </c>
    </row>
    <row r="1186" spans="1:8" x14ac:dyDescent="0.3">
      <c r="A1186" s="1" t="s">
        <v>1492</v>
      </c>
      <c r="B1186" s="2">
        <v>44958</v>
      </c>
      <c r="C1186" s="1" t="s">
        <v>607</v>
      </c>
      <c r="D1186" s="1" t="s">
        <v>10</v>
      </c>
      <c r="E1186">
        <v>5</v>
      </c>
      <c r="F1186" s="4">
        <v>1298.75</v>
      </c>
      <c r="G1186" s="3">
        <v>0.2</v>
      </c>
      <c r="H1186" s="4">
        <v>370.39</v>
      </c>
    </row>
    <row r="1187" spans="1:8" x14ac:dyDescent="0.3">
      <c r="A1187" s="1" t="s">
        <v>1493</v>
      </c>
      <c r="B1187" s="2">
        <v>45114</v>
      </c>
      <c r="C1187" s="1" t="s">
        <v>489</v>
      </c>
      <c r="D1187" s="1" t="s">
        <v>288</v>
      </c>
      <c r="E1187">
        <v>3</v>
      </c>
      <c r="F1187" s="4">
        <v>950.58</v>
      </c>
      <c r="G1187" s="3">
        <v>0.2</v>
      </c>
      <c r="H1187" s="4">
        <v>89.06</v>
      </c>
    </row>
    <row r="1188" spans="1:8" x14ac:dyDescent="0.3">
      <c r="A1188" s="1" t="s">
        <v>1494</v>
      </c>
      <c r="B1188" s="2">
        <v>45183</v>
      </c>
      <c r="C1188" s="1" t="s">
        <v>744</v>
      </c>
      <c r="D1188" s="1" t="s">
        <v>304</v>
      </c>
      <c r="E1188">
        <v>1</v>
      </c>
      <c r="F1188" s="4">
        <v>355.12</v>
      </c>
      <c r="G1188" s="3">
        <v>0.2</v>
      </c>
      <c r="H1188" s="4">
        <v>95.42</v>
      </c>
    </row>
    <row r="1189" spans="1:8" x14ac:dyDescent="0.3">
      <c r="A1189" s="1" t="s">
        <v>1495</v>
      </c>
      <c r="B1189" s="2">
        <v>45054</v>
      </c>
      <c r="C1189" s="1" t="s">
        <v>334</v>
      </c>
      <c r="D1189" s="1" t="s">
        <v>314</v>
      </c>
      <c r="E1189">
        <v>3</v>
      </c>
      <c r="F1189" s="4">
        <v>1920.07</v>
      </c>
      <c r="G1189" s="3">
        <v>0.1</v>
      </c>
      <c r="H1189" s="4">
        <v>449.98</v>
      </c>
    </row>
    <row r="1190" spans="1:8" x14ac:dyDescent="0.3">
      <c r="A1190" s="1" t="s">
        <v>1496</v>
      </c>
      <c r="B1190" s="2">
        <v>45242</v>
      </c>
      <c r="C1190" s="1" t="s">
        <v>271</v>
      </c>
      <c r="D1190" s="1" t="s">
        <v>143</v>
      </c>
      <c r="E1190">
        <v>2</v>
      </c>
      <c r="F1190" s="4">
        <v>1106.3499999999999</v>
      </c>
      <c r="G1190" s="3">
        <v>0.3</v>
      </c>
      <c r="H1190" s="4">
        <v>125.25</v>
      </c>
    </row>
    <row r="1191" spans="1:8" x14ac:dyDescent="0.3">
      <c r="A1191" s="1" t="s">
        <v>1497</v>
      </c>
      <c r="B1191" s="2">
        <v>44790</v>
      </c>
      <c r="C1191" s="1" t="s">
        <v>126</v>
      </c>
      <c r="D1191" s="1" t="s">
        <v>163</v>
      </c>
      <c r="E1191">
        <v>4</v>
      </c>
      <c r="F1191" s="4">
        <v>559.6</v>
      </c>
      <c r="G1191" s="3">
        <v>0.2</v>
      </c>
      <c r="H1191" s="4">
        <v>37.39</v>
      </c>
    </row>
    <row r="1192" spans="1:8" x14ac:dyDescent="0.3">
      <c r="A1192" s="1" t="s">
        <v>1498</v>
      </c>
      <c r="B1192" s="2">
        <v>45030</v>
      </c>
      <c r="C1192" s="1" t="s">
        <v>184</v>
      </c>
      <c r="D1192" s="1" t="s">
        <v>323</v>
      </c>
      <c r="E1192">
        <v>5</v>
      </c>
      <c r="F1192" s="4">
        <v>1051.1500000000001</v>
      </c>
      <c r="G1192" s="3">
        <v>0</v>
      </c>
      <c r="H1192" s="4">
        <v>122.98</v>
      </c>
    </row>
    <row r="1193" spans="1:8" x14ac:dyDescent="0.3">
      <c r="A1193" s="1" t="s">
        <v>1499</v>
      </c>
      <c r="B1193" s="2">
        <v>45324</v>
      </c>
      <c r="C1193" s="1" t="s">
        <v>520</v>
      </c>
      <c r="D1193" s="1" t="s">
        <v>400</v>
      </c>
      <c r="E1193">
        <v>1</v>
      </c>
      <c r="F1193" s="4">
        <v>1391.28</v>
      </c>
      <c r="G1193" s="3">
        <v>0.1</v>
      </c>
      <c r="H1193" s="4">
        <v>386.85</v>
      </c>
    </row>
    <row r="1194" spans="1:8" x14ac:dyDescent="0.3">
      <c r="A1194" s="1" t="s">
        <v>1500</v>
      </c>
      <c r="B1194" s="2">
        <v>44753</v>
      </c>
      <c r="C1194" s="1" t="s">
        <v>145</v>
      </c>
      <c r="D1194" s="1" t="s">
        <v>111</v>
      </c>
      <c r="E1194">
        <v>5</v>
      </c>
      <c r="F1194" s="4">
        <v>244.85</v>
      </c>
      <c r="G1194" s="3">
        <v>0.1</v>
      </c>
      <c r="H1194" s="4">
        <v>51</v>
      </c>
    </row>
    <row r="1195" spans="1:8" x14ac:dyDescent="0.3">
      <c r="A1195" s="1" t="s">
        <v>1501</v>
      </c>
      <c r="B1195" s="2">
        <v>45136</v>
      </c>
      <c r="C1195" s="1" t="s">
        <v>1081</v>
      </c>
      <c r="D1195" s="1" t="s">
        <v>97</v>
      </c>
      <c r="E1195">
        <v>2</v>
      </c>
      <c r="F1195" s="4">
        <v>621.94000000000005</v>
      </c>
      <c r="G1195" s="3">
        <v>0.3</v>
      </c>
      <c r="H1195" s="4">
        <v>143.21</v>
      </c>
    </row>
    <row r="1196" spans="1:8" x14ac:dyDescent="0.3">
      <c r="A1196" s="1" t="s">
        <v>1502</v>
      </c>
      <c r="B1196" s="2">
        <v>44932</v>
      </c>
      <c r="C1196" s="1" t="s">
        <v>244</v>
      </c>
      <c r="D1196" s="1" t="s">
        <v>147</v>
      </c>
      <c r="E1196">
        <v>5</v>
      </c>
      <c r="F1196" s="4">
        <v>1633.23</v>
      </c>
      <c r="G1196" s="3">
        <v>0.2</v>
      </c>
      <c r="H1196" s="4">
        <v>186.66</v>
      </c>
    </row>
    <row r="1197" spans="1:8" x14ac:dyDescent="0.3">
      <c r="A1197" s="1" t="s">
        <v>1503</v>
      </c>
      <c r="B1197" s="2">
        <v>45344</v>
      </c>
      <c r="C1197" s="1" t="s">
        <v>662</v>
      </c>
      <c r="D1197" s="1" t="s">
        <v>107</v>
      </c>
      <c r="E1197">
        <v>1</v>
      </c>
      <c r="F1197" s="4">
        <v>973.36</v>
      </c>
      <c r="G1197" s="3">
        <v>0.3</v>
      </c>
      <c r="H1197" s="4">
        <v>223.72</v>
      </c>
    </row>
    <row r="1198" spans="1:8" x14ac:dyDescent="0.3">
      <c r="A1198" s="1" t="s">
        <v>1504</v>
      </c>
      <c r="B1198" s="2">
        <v>45452</v>
      </c>
      <c r="C1198" s="1" t="s">
        <v>94</v>
      </c>
      <c r="D1198" s="1" t="s">
        <v>502</v>
      </c>
      <c r="E1198">
        <v>2</v>
      </c>
      <c r="F1198" s="4">
        <v>1138.5</v>
      </c>
      <c r="G1198" s="3">
        <v>0.1</v>
      </c>
      <c r="H1198" s="4">
        <v>64.930000000000007</v>
      </c>
    </row>
    <row r="1199" spans="1:8" x14ac:dyDescent="0.3">
      <c r="A1199" s="1" t="s">
        <v>1505</v>
      </c>
      <c r="B1199" s="2">
        <v>44898</v>
      </c>
      <c r="C1199" s="1" t="s">
        <v>69</v>
      </c>
      <c r="D1199" s="1" t="s">
        <v>218</v>
      </c>
      <c r="E1199">
        <v>5</v>
      </c>
      <c r="F1199" s="4">
        <v>922.35</v>
      </c>
      <c r="G1199" s="3">
        <v>0.2</v>
      </c>
      <c r="H1199" s="4">
        <v>132.66</v>
      </c>
    </row>
    <row r="1200" spans="1:8" x14ac:dyDescent="0.3">
      <c r="A1200" s="1" t="s">
        <v>1506</v>
      </c>
      <c r="B1200" s="2">
        <v>44723</v>
      </c>
      <c r="C1200" s="1" t="s">
        <v>319</v>
      </c>
      <c r="D1200" s="1" t="s">
        <v>372</v>
      </c>
      <c r="E1200">
        <v>4</v>
      </c>
      <c r="F1200" s="4">
        <v>183.41</v>
      </c>
      <c r="G1200" s="3">
        <v>0</v>
      </c>
      <c r="H1200" s="4">
        <v>37.909999999999997</v>
      </c>
    </row>
    <row r="1201" spans="1:8" x14ac:dyDescent="0.3">
      <c r="A1201" s="1" t="s">
        <v>1507</v>
      </c>
      <c r="B1201" s="2">
        <v>45230</v>
      </c>
      <c r="C1201" s="1" t="s">
        <v>158</v>
      </c>
      <c r="D1201" s="1" t="s">
        <v>163</v>
      </c>
      <c r="E1201">
        <v>2</v>
      </c>
      <c r="F1201" s="4">
        <v>414.92</v>
      </c>
      <c r="G1201" s="3">
        <v>0.2</v>
      </c>
      <c r="H1201" s="4">
        <v>35.9</v>
      </c>
    </row>
    <row r="1202" spans="1:8" x14ac:dyDescent="0.3">
      <c r="A1202" s="1" t="s">
        <v>1508</v>
      </c>
      <c r="B1202" s="2">
        <v>45245</v>
      </c>
      <c r="C1202" s="1" t="s">
        <v>598</v>
      </c>
      <c r="D1202" s="1" t="s">
        <v>770</v>
      </c>
      <c r="E1202">
        <v>2</v>
      </c>
      <c r="F1202" s="4">
        <v>946.53</v>
      </c>
      <c r="G1202" s="3">
        <v>0.1</v>
      </c>
      <c r="H1202" s="4">
        <v>242.08</v>
      </c>
    </row>
    <row r="1203" spans="1:8" x14ac:dyDescent="0.3">
      <c r="A1203" s="1" t="s">
        <v>1509</v>
      </c>
      <c r="B1203" s="2">
        <v>44851</v>
      </c>
      <c r="C1203" s="1" t="s">
        <v>268</v>
      </c>
      <c r="D1203" s="1" t="s">
        <v>86</v>
      </c>
      <c r="E1203">
        <v>4</v>
      </c>
      <c r="F1203" s="4">
        <v>497.45</v>
      </c>
      <c r="G1203" s="3">
        <v>0</v>
      </c>
      <c r="H1203" s="4">
        <v>54.1</v>
      </c>
    </row>
    <row r="1204" spans="1:8" x14ac:dyDescent="0.3">
      <c r="A1204" s="1" t="s">
        <v>1510</v>
      </c>
      <c r="B1204" s="2">
        <v>44607</v>
      </c>
      <c r="C1204" s="1" t="s">
        <v>12</v>
      </c>
      <c r="D1204" s="1" t="s">
        <v>25</v>
      </c>
      <c r="E1204">
        <v>3</v>
      </c>
      <c r="F1204" s="4">
        <v>194.96</v>
      </c>
      <c r="G1204" s="3">
        <v>0.2</v>
      </c>
      <c r="H1204" s="4">
        <v>41.54</v>
      </c>
    </row>
    <row r="1205" spans="1:8" x14ac:dyDescent="0.3">
      <c r="A1205" s="1" t="s">
        <v>1511</v>
      </c>
      <c r="B1205" s="2">
        <v>45311</v>
      </c>
      <c r="C1205" s="1" t="s">
        <v>134</v>
      </c>
      <c r="D1205" s="1" t="s">
        <v>127</v>
      </c>
      <c r="E1205">
        <v>1</v>
      </c>
      <c r="F1205" s="4">
        <v>1702.93</v>
      </c>
      <c r="G1205" s="3">
        <v>0</v>
      </c>
      <c r="H1205" s="4">
        <v>257.64999999999998</v>
      </c>
    </row>
    <row r="1206" spans="1:8" x14ac:dyDescent="0.3">
      <c r="A1206" s="1" t="s">
        <v>1512</v>
      </c>
      <c r="B1206" s="2">
        <v>45056</v>
      </c>
      <c r="C1206" s="1" t="s">
        <v>406</v>
      </c>
      <c r="D1206" s="1" t="s">
        <v>679</v>
      </c>
      <c r="E1206">
        <v>3</v>
      </c>
      <c r="F1206" s="4">
        <v>1964.27</v>
      </c>
      <c r="G1206" s="3">
        <v>0</v>
      </c>
      <c r="H1206" s="4">
        <v>390.91</v>
      </c>
    </row>
    <row r="1207" spans="1:8" x14ac:dyDescent="0.3">
      <c r="A1207" s="1" t="s">
        <v>1513</v>
      </c>
      <c r="B1207" s="2">
        <v>45359</v>
      </c>
      <c r="C1207" s="1" t="s">
        <v>673</v>
      </c>
      <c r="D1207" s="1" t="s">
        <v>341</v>
      </c>
      <c r="E1207">
        <v>5</v>
      </c>
      <c r="F1207" s="4">
        <v>1606.97</v>
      </c>
      <c r="G1207" s="3">
        <v>0.1</v>
      </c>
      <c r="H1207" s="4">
        <v>123.52</v>
      </c>
    </row>
    <row r="1208" spans="1:8" x14ac:dyDescent="0.3">
      <c r="A1208" s="1" t="s">
        <v>1514</v>
      </c>
      <c r="B1208" s="2">
        <v>45246</v>
      </c>
      <c r="C1208" s="1" t="s">
        <v>843</v>
      </c>
      <c r="D1208" s="1" t="s">
        <v>119</v>
      </c>
      <c r="E1208">
        <v>4</v>
      </c>
      <c r="F1208" s="4">
        <v>1722.19</v>
      </c>
      <c r="G1208" s="3">
        <v>0</v>
      </c>
      <c r="H1208" s="4">
        <v>93.39</v>
      </c>
    </row>
    <row r="1209" spans="1:8" x14ac:dyDescent="0.3">
      <c r="A1209" s="1" t="s">
        <v>1515</v>
      </c>
      <c r="B1209" s="2">
        <v>44731</v>
      </c>
      <c r="C1209" s="1" t="s">
        <v>182</v>
      </c>
      <c r="D1209" s="1" t="s">
        <v>603</v>
      </c>
      <c r="E1209">
        <v>3</v>
      </c>
      <c r="F1209" s="4">
        <v>559.76</v>
      </c>
      <c r="G1209" s="3">
        <v>0.3</v>
      </c>
      <c r="H1209" s="4">
        <v>155.27000000000001</v>
      </c>
    </row>
    <row r="1210" spans="1:8" x14ac:dyDescent="0.3">
      <c r="A1210" s="1" t="s">
        <v>1516</v>
      </c>
      <c r="B1210" s="2">
        <v>44966</v>
      </c>
      <c r="C1210" s="1" t="s">
        <v>338</v>
      </c>
      <c r="D1210" s="1" t="s">
        <v>139</v>
      </c>
      <c r="E1210">
        <v>2</v>
      </c>
      <c r="F1210" s="4">
        <v>1925.19</v>
      </c>
      <c r="G1210" s="3">
        <v>0.1</v>
      </c>
      <c r="H1210" s="4">
        <v>226.03</v>
      </c>
    </row>
    <row r="1211" spans="1:8" x14ac:dyDescent="0.3">
      <c r="A1211" s="1" t="s">
        <v>1517</v>
      </c>
      <c r="B1211" s="2">
        <v>44740</v>
      </c>
      <c r="C1211" s="1" t="s">
        <v>569</v>
      </c>
      <c r="D1211" s="1" t="s">
        <v>757</v>
      </c>
      <c r="E1211">
        <v>5</v>
      </c>
      <c r="F1211" s="4">
        <v>474.16</v>
      </c>
      <c r="G1211" s="3">
        <v>0.3</v>
      </c>
      <c r="H1211" s="4">
        <v>120.87</v>
      </c>
    </row>
    <row r="1212" spans="1:8" x14ac:dyDescent="0.3">
      <c r="A1212" s="1" t="s">
        <v>1518</v>
      </c>
      <c r="B1212" s="2">
        <v>45064</v>
      </c>
      <c r="C1212" s="1" t="s">
        <v>300</v>
      </c>
      <c r="D1212" s="1" t="s">
        <v>107</v>
      </c>
      <c r="E1212">
        <v>5</v>
      </c>
      <c r="F1212" s="4">
        <v>1907.72</v>
      </c>
      <c r="G1212" s="3">
        <v>0</v>
      </c>
      <c r="H1212" s="4">
        <v>572.01</v>
      </c>
    </row>
    <row r="1213" spans="1:8" x14ac:dyDescent="0.3">
      <c r="A1213" s="1" t="s">
        <v>1519</v>
      </c>
      <c r="B1213" s="2">
        <v>44730</v>
      </c>
      <c r="C1213" s="1" t="s">
        <v>404</v>
      </c>
      <c r="D1213" s="1" t="s">
        <v>361</v>
      </c>
      <c r="E1213">
        <v>3</v>
      </c>
      <c r="F1213" s="4">
        <v>1990.16</v>
      </c>
      <c r="G1213" s="3">
        <v>0.3</v>
      </c>
      <c r="H1213" s="4">
        <v>204.7</v>
      </c>
    </row>
    <row r="1214" spans="1:8" x14ac:dyDescent="0.3">
      <c r="A1214" s="1" t="s">
        <v>1520</v>
      </c>
      <c r="B1214" s="2">
        <v>44566</v>
      </c>
      <c r="C1214" s="1" t="s">
        <v>1143</v>
      </c>
      <c r="D1214" s="1" t="s">
        <v>451</v>
      </c>
      <c r="E1214">
        <v>3</v>
      </c>
      <c r="F1214" s="4">
        <v>1452.27</v>
      </c>
      <c r="G1214" s="3">
        <v>0.2</v>
      </c>
      <c r="H1214" s="4">
        <v>168.89</v>
      </c>
    </row>
    <row r="1215" spans="1:8" x14ac:dyDescent="0.3">
      <c r="A1215" s="1" t="s">
        <v>1521</v>
      </c>
      <c r="B1215" s="2">
        <v>44703</v>
      </c>
      <c r="C1215" s="1" t="s">
        <v>115</v>
      </c>
      <c r="D1215" s="1" t="s">
        <v>209</v>
      </c>
      <c r="E1215">
        <v>4</v>
      </c>
      <c r="F1215" s="4">
        <v>1964.17</v>
      </c>
      <c r="G1215" s="3">
        <v>0</v>
      </c>
      <c r="H1215" s="4">
        <v>423.7</v>
      </c>
    </row>
    <row r="1216" spans="1:8" x14ac:dyDescent="0.3">
      <c r="A1216" s="1" t="s">
        <v>1522</v>
      </c>
      <c r="B1216" s="2">
        <v>44816</v>
      </c>
      <c r="C1216" s="1" t="s">
        <v>96</v>
      </c>
      <c r="D1216" s="1" t="s">
        <v>278</v>
      </c>
      <c r="E1216">
        <v>1</v>
      </c>
      <c r="F1216" s="4">
        <v>1182.1300000000001</v>
      </c>
      <c r="G1216" s="3">
        <v>0.2</v>
      </c>
      <c r="H1216" s="4">
        <v>344.43</v>
      </c>
    </row>
    <row r="1217" spans="1:8" x14ac:dyDescent="0.3">
      <c r="A1217" s="1" t="s">
        <v>1523</v>
      </c>
      <c r="B1217" s="2">
        <v>45415</v>
      </c>
      <c r="C1217" s="1" t="s">
        <v>169</v>
      </c>
      <c r="D1217" s="1" t="s">
        <v>502</v>
      </c>
      <c r="E1217">
        <v>3</v>
      </c>
      <c r="F1217" s="4">
        <v>593.13</v>
      </c>
      <c r="G1217" s="3">
        <v>0.3</v>
      </c>
      <c r="H1217" s="4">
        <v>165.46</v>
      </c>
    </row>
    <row r="1218" spans="1:8" x14ac:dyDescent="0.3">
      <c r="A1218" s="1" t="s">
        <v>1524</v>
      </c>
      <c r="B1218" s="2">
        <v>44967</v>
      </c>
      <c r="C1218" s="1" t="s">
        <v>902</v>
      </c>
      <c r="D1218" s="1" t="s">
        <v>67</v>
      </c>
      <c r="E1218">
        <v>3</v>
      </c>
      <c r="F1218" s="4">
        <v>930.29</v>
      </c>
      <c r="G1218" s="3">
        <v>0.2</v>
      </c>
      <c r="H1218" s="4">
        <v>163.47</v>
      </c>
    </row>
    <row r="1219" spans="1:8" x14ac:dyDescent="0.3">
      <c r="A1219" s="1" t="s">
        <v>1525</v>
      </c>
      <c r="B1219" s="2">
        <v>45401</v>
      </c>
      <c r="C1219" s="1" t="s">
        <v>422</v>
      </c>
      <c r="D1219" s="1" t="s">
        <v>13</v>
      </c>
      <c r="E1219">
        <v>2</v>
      </c>
      <c r="F1219" s="4">
        <v>1227.77</v>
      </c>
      <c r="G1219" s="3">
        <v>0</v>
      </c>
      <c r="H1219" s="4">
        <v>305.44</v>
      </c>
    </row>
    <row r="1220" spans="1:8" x14ac:dyDescent="0.3">
      <c r="A1220" s="1" t="s">
        <v>1526</v>
      </c>
      <c r="B1220" s="2">
        <v>44902</v>
      </c>
      <c r="C1220" s="1" t="s">
        <v>412</v>
      </c>
      <c r="D1220" s="1" t="s">
        <v>156</v>
      </c>
      <c r="E1220">
        <v>5</v>
      </c>
      <c r="F1220" s="4">
        <v>238.85</v>
      </c>
      <c r="G1220" s="3">
        <v>0.2</v>
      </c>
      <c r="H1220" s="4">
        <v>20.05</v>
      </c>
    </row>
    <row r="1221" spans="1:8" x14ac:dyDescent="0.3">
      <c r="A1221" s="1" t="s">
        <v>1527</v>
      </c>
      <c r="B1221" s="2">
        <v>45155</v>
      </c>
      <c r="C1221" s="1" t="s">
        <v>598</v>
      </c>
      <c r="D1221" s="1" t="s">
        <v>221</v>
      </c>
      <c r="E1221">
        <v>1</v>
      </c>
      <c r="F1221" s="4">
        <v>1282.45</v>
      </c>
      <c r="G1221" s="3">
        <v>0.3</v>
      </c>
      <c r="H1221" s="4">
        <v>377.5</v>
      </c>
    </row>
    <row r="1222" spans="1:8" x14ac:dyDescent="0.3">
      <c r="A1222" s="1" t="s">
        <v>1528</v>
      </c>
      <c r="B1222" s="2">
        <v>45044</v>
      </c>
      <c r="C1222" s="1" t="s">
        <v>184</v>
      </c>
      <c r="D1222" s="1" t="s">
        <v>727</v>
      </c>
      <c r="E1222">
        <v>2</v>
      </c>
      <c r="F1222" s="4">
        <v>1964.24</v>
      </c>
      <c r="G1222" s="3">
        <v>0.3</v>
      </c>
      <c r="H1222" s="4">
        <v>571.77</v>
      </c>
    </row>
    <row r="1223" spans="1:8" x14ac:dyDescent="0.3">
      <c r="A1223" s="1" t="s">
        <v>1529</v>
      </c>
      <c r="B1223" s="2">
        <v>44983</v>
      </c>
      <c r="C1223" s="1" t="s">
        <v>786</v>
      </c>
      <c r="D1223" s="1" t="s">
        <v>218</v>
      </c>
      <c r="E1223">
        <v>4</v>
      </c>
      <c r="F1223" s="4">
        <v>461.2</v>
      </c>
      <c r="G1223" s="3">
        <v>0.3</v>
      </c>
      <c r="H1223" s="4">
        <v>41.94</v>
      </c>
    </row>
    <row r="1224" spans="1:8" x14ac:dyDescent="0.3">
      <c r="A1224" s="1" t="s">
        <v>1530</v>
      </c>
      <c r="B1224" s="2">
        <v>45171</v>
      </c>
      <c r="C1224" s="1" t="s">
        <v>691</v>
      </c>
      <c r="D1224" s="1" t="s">
        <v>156</v>
      </c>
      <c r="E1224">
        <v>4</v>
      </c>
      <c r="F1224" s="4">
        <v>1605.93</v>
      </c>
      <c r="G1224" s="3">
        <v>0</v>
      </c>
      <c r="H1224" s="4">
        <v>200.51</v>
      </c>
    </row>
    <row r="1225" spans="1:8" x14ac:dyDescent="0.3">
      <c r="A1225" s="1" t="s">
        <v>1531</v>
      </c>
      <c r="B1225" s="2">
        <v>44845</v>
      </c>
      <c r="C1225" s="1" t="s">
        <v>739</v>
      </c>
      <c r="D1225" s="1" t="s">
        <v>48</v>
      </c>
      <c r="E1225">
        <v>3</v>
      </c>
      <c r="F1225" s="4">
        <v>1825.01</v>
      </c>
      <c r="G1225" s="3">
        <v>0.3</v>
      </c>
      <c r="H1225" s="4">
        <v>136.94999999999999</v>
      </c>
    </row>
    <row r="1226" spans="1:8" x14ac:dyDescent="0.3">
      <c r="A1226" s="1" t="s">
        <v>1532</v>
      </c>
      <c r="B1226" s="2">
        <v>44790</v>
      </c>
      <c r="C1226" s="1" t="s">
        <v>198</v>
      </c>
      <c r="D1226" s="1" t="s">
        <v>59</v>
      </c>
      <c r="E1226">
        <v>3</v>
      </c>
      <c r="F1226" s="4">
        <v>1893.03</v>
      </c>
      <c r="G1226" s="3">
        <v>0</v>
      </c>
      <c r="H1226" s="4">
        <v>223.24</v>
      </c>
    </row>
    <row r="1227" spans="1:8" x14ac:dyDescent="0.3">
      <c r="A1227" s="1" t="s">
        <v>1533</v>
      </c>
      <c r="B1227" s="2">
        <v>45321</v>
      </c>
      <c r="C1227" s="1" t="s">
        <v>978</v>
      </c>
      <c r="D1227" s="1" t="s">
        <v>215</v>
      </c>
      <c r="E1227">
        <v>4</v>
      </c>
      <c r="F1227" s="4">
        <v>1924.26</v>
      </c>
      <c r="G1227" s="3">
        <v>0.2</v>
      </c>
      <c r="H1227" s="4">
        <v>488.74</v>
      </c>
    </row>
    <row r="1228" spans="1:8" x14ac:dyDescent="0.3">
      <c r="A1228" s="1" t="s">
        <v>1534</v>
      </c>
      <c r="B1228" s="2">
        <v>44861</v>
      </c>
      <c r="C1228" s="1" t="s">
        <v>325</v>
      </c>
      <c r="D1228" s="1" t="s">
        <v>147</v>
      </c>
      <c r="E1228">
        <v>3</v>
      </c>
      <c r="F1228" s="4">
        <v>1090.77</v>
      </c>
      <c r="G1228" s="3">
        <v>0.3</v>
      </c>
      <c r="H1228" s="4">
        <v>157.69999999999999</v>
      </c>
    </row>
    <row r="1229" spans="1:8" x14ac:dyDescent="0.3">
      <c r="A1229" s="1" t="s">
        <v>1535</v>
      </c>
      <c r="B1229" s="2">
        <v>45348</v>
      </c>
      <c r="C1229" s="1" t="s">
        <v>547</v>
      </c>
      <c r="D1229" s="1" t="s">
        <v>275</v>
      </c>
      <c r="E1229">
        <v>1</v>
      </c>
      <c r="F1229" s="4">
        <v>1956.89</v>
      </c>
      <c r="G1229" s="3">
        <v>0.2</v>
      </c>
      <c r="H1229" s="4">
        <v>141.09</v>
      </c>
    </row>
    <row r="1230" spans="1:8" x14ac:dyDescent="0.3">
      <c r="A1230" s="1" t="s">
        <v>1536</v>
      </c>
      <c r="B1230" s="2">
        <v>44592</v>
      </c>
      <c r="C1230" s="1" t="s">
        <v>442</v>
      </c>
      <c r="D1230" s="1" t="s">
        <v>304</v>
      </c>
      <c r="E1230">
        <v>3</v>
      </c>
      <c r="F1230" s="4">
        <v>1538.89</v>
      </c>
      <c r="G1230" s="3">
        <v>0.1</v>
      </c>
      <c r="H1230" s="4">
        <v>208.61</v>
      </c>
    </row>
    <row r="1231" spans="1:8" x14ac:dyDescent="0.3">
      <c r="A1231" s="1" t="s">
        <v>1537</v>
      </c>
      <c r="B1231" s="2">
        <v>44741</v>
      </c>
      <c r="C1231" s="1" t="s">
        <v>319</v>
      </c>
      <c r="D1231" s="1" t="s">
        <v>127</v>
      </c>
      <c r="E1231">
        <v>5</v>
      </c>
      <c r="F1231" s="4">
        <v>407.18</v>
      </c>
      <c r="G1231" s="3">
        <v>0.2</v>
      </c>
      <c r="H1231" s="4">
        <v>120.26</v>
      </c>
    </row>
    <row r="1232" spans="1:8" x14ac:dyDescent="0.3">
      <c r="A1232" s="1" t="s">
        <v>1538</v>
      </c>
      <c r="B1232" s="2">
        <v>45261</v>
      </c>
      <c r="C1232" s="1" t="s">
        <v>24</v>
      </c>
      <c r="D1232" s="1" t="s">
        <v>141</v>
      </c>
      <c r="E1232">
        <v>3</v>
      </c>
      <c r="F1232" s="4">
        <v>1006.11</v>
      </c>
      <c r="G1232" s="3">
        <v>0.1</v>
      </c>
      <c r="H1232" s="4">
        <v>208.69</v>
      </c>
    </row>
    <row r="1233" spans="1:8" x14ac:dyDescent="0.3">
      <c r="A1233" s="1" t="s">
        <v>1539</v>
      </c>
      <c r="B1233" s="2">
        <v>45018</v>
      </c>
      <c r="C1233" s="1" t="s">
        <v>442</v>
      </c>
      <c r="D1233" s="1" t="s">
        <v>130</v>
      </c>
      <c r="E1233">
        <v>2</v>
      </c>
      <c r="F1233" s="4">
        <v>1464.83</v>
      </c>
      <c r="G1233" s="3">
        <v>0.2</v>
      </c>
      <c r="H1233" s="4">
        <v>225.64</v>
      </c>
    </row>
    <row r="1234" spans="1:8" x14ac:dyDescent="0.3">
      <c r="A1234" s="1" t="s">
        <v>1540</v>
      </c>
      <c r="B1234" s="2">
        <v>45374</v>
      </c>
      <c r="C1234" s="1" t="s">
        <v>559</v>
      </c>
      <c r="D1234" s="1" t="s">
        <v>143</v>
      </c>
      <c r="E1234">
        <v>1</v>
      </c>
      <c r="F1234" s="4">
        <v>569.95000000000005</v>
      </c>
      <c r="G1234" s="3">
        <v>0</v>
      </c>
      <c r="H1234" s="4">
        <v>52.23</v>
      </c>
    </row>
    <row r="1235" spans="1:8" x14ac:dyDescent="0.3">
      <c r="A1235" s="1" t="s">
        <v>1541</v>
      </c>
      <c r="B1235" s="2">
        <v>44629</v>
      </c>
      <c r="C1235" s="1" t="s">
        <v>344</v>
      </c>
      <c r="D1235" s="1" t="s">
        <v>288</v>
      </c>
      <c r="E1235">
        <v>2</v>
      </c>
      <c r="F1235" s="4">
        <v>1317.17</v>
      </c>
      <c r="G1235" s="3">
        <v>0.2</v>
      </c>
      <c r="H1235" s="4">
        <v>390.6</v>
      </c>
    </row>
    <row r="1236" spans="1:8" x14ac:dyDescent="0.3">
      <c r="A1236" s="1" t="s">
        <v>1542</v>
      </c>
      <c r="B1236" s="2">
        <v>45088</v>
      </c>
      <c r="C1236" s="1" t="s">
        <v>554</v>
      </c>
      <c r="D1236" s="1" t="s">
        <v>186</v>
      </c>
      <c r="E1236">
        <v>2</v>
      </c>
      <c r="F1236" s="4">
        <v>1366.54</v>
      </c>
      <c r="G1236" s="3">
        <v>0</v>
      </c>
      <c r="H1236" s="4">
        <v>348.76</v>
      </c>
    </row>
    <row r="1237" spans="1:8" x14ac:dyDescent="0.3">
      <c r="A1237" s="1" t="s">
        <v>1543</v>
      </c>
      <c r="B1237" s="2">
        <v>45002</v>
      </c>
      <c r="C1237" s="1" t="s">
        <v>39</v>
      </c>
      <c r="D1237" s="1" t="s">
        <v>211</v>
      </c>
      <c r="E1237">
        <v>5</v>
      </c>
      <c r="F1237" s="4">
        <v>409.13</v>
      </c>
      <c r="G1237" s="3">
        <v>0</v>
      </c>
      <c r="H1237" s="4">
        <v>49.25</v>
      </c>
    </row>
    <row r="1238" spans="1:8" x14ac:dyDescent="0.3">
      <c r="A1238" s="1" t="s">
        <v>1544</v>
      </c>
      <c r="B1238" s="2">
        <v>45113</v>
      </c>
      <c r="C1238" s="1" t="s">
        <v>154</v>
      </c>
      <c r="D1238" s="1" t="s">
        <v>75</v>
      </c>
      <c r="E1238">
        <v>1</v>
      </c>
      <c r="F1238" s="4">
        <v>1173.6600000000001</v>
      </c>
      <c r="G1238" s="3">
        <v>0.3</v>
      </c>
      <c r="H1238" s="4">
        <v>79.239999999999995</v>
      </c>
    </row>
    <row r="1239" spans="1:8" x14ac:dyDescent="0.3">
      <c r="A1239" s="1" t="s">
        <v>1545</v>
      </c>
      <c r="B1239" s="2">
        <v>44956</v>
      </c>
      <c r="C1239" s="1" t="s">
        <v>683</v>
      </c>
      <c r="D1239" s="1" t="s">
        <v>19</v>
      </c>
      <c r="E1239">
        <v>1</v>
      </c>
      <c r="F1239" s="4">
        <v>1566.09</v>
      </c>
      <c r="G1239" s="3">
        <v>0</v>
      </c>
      <c r="H1239" s="4">
        <v>100.47</v>
      </c>
    </row>
    <row r="1240" spans="1:8" x14ac:dyDescent="0.3">
      <c r="A1240" s="1" t="s">
        <v>1546</v>
      </c>
      <c r="B1240" s="2">
        <v>44599</v>
      </c>
      <c r="C1240" s="1" t="s">
        <v>786</v>
      </c>
      <c r="D1240" s="1" t="s">
        <v>188</v>
      </c>
      <c r="E1240">
        <v>1</v>
      </c>
      <c r="F1240" s="4">
        <v>1047.9000000000001</v>
      </c>
      <c r="G1240" s="3">
        <v>0.1</v>
      </c>
      <c r="H1240" s="4">
        <v>83.93</v>
      </c>
    </row>
    <row r="1241" spans="1:8" x14ac:dyDescent="0.3">
      <c r="A1241" s="1" t="s">
        <v>1547</v>
      </c>
      <c r="B1241" s="2">
        <v>44649</v>
      </c>
      <c r="C1241" s="1" t="s">
        <v>671</v>
      </c>
      <c r="D1241" s="1" t="s">
        <v>201</v>
      </c>
      <c r="E1241">
        <v>1</v>
      </c>
      <c r="F1241" s="4">
        <v>123</v>
      </c>
      <c r="G1241" s="3">
        <v>0.3</v>
      </c>
      <c r="H1241" s="4">
        <v>24.01</v>
      </c>
    </row>
    <row r="1242" spans="1:8" x14ac:dyDescent="0.3">
      <c r="A1242" s="1" t="s">
        <v>1548</v>
      </c>
      <c r="B1242" s="2">
        <v>44636</v>
      </c>
      <c r="C1242" s="1" t="s">
        <v>192</v>
      </c>
      <c r="D1242" s="1" t="s">
        <v>163</v>
      </c>
      <c r="E1242">
        <v>1</v>
      </c>
      <c r="F1242" s="4">
        <v>117.17</v>
      </c>
      <c r="G1242" s="3">
        <v>0.3</v>
      </c>
      <c r="H1242" s="4">
        <v>33.06</v>
      </c>
    </row>
    <row r="1243" spans="1:8" x14ac:dyDescent="0.3">
      <c r="A1243" s="1" t="s">
        <v>1549</v>
      </c>
      <c r="B1243" s="2">
        <v>45105</v>
      </c>
      <c r="C1243" s="1" t="s">
        <v>526</v>
      </c>
      <c r="D1243" s="1" t="s">
        <v>147</v>
      </c>
      <c r="E1243">
        <v>5</v>
      </c>
      <c r="F1243" s="4">
        <v>778.36</v>
      </c>
      <c r="G1243" s="3">
        <v>0.2</v>
      </c>
      <c r="H1243" s="4">
        <v>135.58000000000001</v>
      </c>
    </row>
    <row r="1244" spans="1:8" x14ac:dyDescent="0.3">
      <c r="A1244" s="1" t="s">
        <v>1550</v>
      </c>
      <c r="B1244" s="2">
        <v>45204</v>
      </c>
      <c r="C1244" s="1" t="s">
        <v>843</v>
      </c>
      <c r="D1244" s="1" t="s">
        <v>37</v>
      </c>
      <c r="E1244">
        <v>3</v>
      </c>
      <c r="F1244" s="4">
        <v>1859.77</v>
      </c>
      <c r="G1244" s="3">
        <v>0</v>
      </c>
      <c r="H1244" s="4">
        <v>484.91</v>
      </c>
    </row>
    <row r="1245" spans="1:8" x14ac:dyDescent="0.3">
      <c r="A1245" s="1" t="s">
        <v>1551</v>
      </c>
      <c r="B1245" s="2">
        <v>44915</v>
      </c>
      <c r="C1245" s="1" t="s">
        <v>843</v>
      </c>
      <c r="D1245" s="1" t="s">
        <v>161</v>
      </c>
      <c r="E1245">
        <v>2</v>
      </c>
      <c r="F1245" s="4">
        <v>534.49</v>
      </c>
      <c r="G1245" s="3">
        <v>0</v>
      </c>
      <c r="H1245" s="4">
        <v>86.3</v>
      </c>
    </row>
    <row r="1246" spans="1:8" x14ac:dyDescent="0.3">
      <c r="A1246" s="1" t="s">
        <v>1552</v>
      </c>
      <c r="B1246" s="2">
        <v>44883</v>
      </c>
      <c r="C1246" s="1" t="s">
        <v>491</v>
      </c>
      <c r="D1246" s="1" t="s">
        <v>249</v>
      </c>
      <c r="E1246">
        <v>1</v>
      </c>
      <c r="F1246" s="4">
        <v>1305.29</v>
      </c>
      <c r="G1246" s="3">
        <v>0.1</v>
      </c>
      <c r="H1246" s="4">
        <v>296.49</v>
      </c>
    </row>
    <row r="1247" spans="1:8" x14ac:dyDescent="0.3">
      <c r="A1247" s="1" t="s">
        <v>1553</v>
      </c>
      <c r="B1247" s="2">
        <v>44576</v>
      </c>
      <c r="C1247" s="1" t="s">
        <v>1143</v>
      </c>
      <c r="D1247" s="1" t="s">
        <v>201</v>
      </c>
      <c r="E1247">
        <v>3</v>
      </c>
      <c r="F1247" s="4">
        <v>521.94000000000005</v>
      </c>
      <c r="G1247" s="3">
        <v>0.2</v>
      </c>
      <c r="H1247" s="4">
        <v>121.6</v>
      </c>
    </row>
    <row r="1248" spans="1:8" x14ac:dyDescent="0.3">
      <c r="A1248" s="1" t="s">
        <v>1554</v>
      </c>
      <c r="B1248" s="2">
        <v>45146</v>
      </c>
      <c r="C1248" s="1" t="s">
        <v>671</v>
      </c>
      <c r="D1248" s="1" t="s">
        <v>43</v>
      </c>
      <c r="E1248">
        <v>3</v>
      </c>
      <c r="F1248" s="4">
        <v>711.17</v>
      </c>
      <c r="G1248" s="3">
        <v>0.2</v>
      </c>
      <c r="H1248" s="4">
        <v>66.489999999999995</v>
      </c>
    </row>
    <row r="1249" spans="1:8" x14ac:dyDescent="0.3">
      <c r="A1249" s="1" t="s">
        <v>1555</v>
      </c>
      <c r="B1249" s="2">
        <v>45211</v>
      </c>
      <c r="C1249" s="1" t="s">
        <v>691</v>
      </c>
      <c r="D1249" s="1" t="s">
        <v>294</v>
      </c>
      <c r="E1249">
        <v>2</v>
      </c>
      <c r="F1249" s="4">
        <v>1711.28</v>
      </c>
      <c r="G1249" s="3">
        <v>0.3</v>
      </c>
      <c r="H1249" s="4">
        <v>240.1</v>
      </c>
    </row>
    <row r="1250" spans="1:8" x14ac:dyDescent="0.3">
      <c r="A1250" s="1" t="s">
        <v>1556</v>
      </c>
      <c r="B1250" s="2">
        <v>45462</v>
      </c>
      <c r="C1250" s="1" t="s">
        <v>420</v>
      </c>
      <c r="D1250" s="1" t="s">
        <v>234</v>
      </c>
      <c r="E1250">
        <v>5</v>
      </c>
      <c r="F1250" s="4">
        <v>1484.84</v>
      </c>
      <c r="G1250" s="3">
        <v>0.3</v>
      </c>
      <c r="H1250" s="4">
        <v>310.81</v>
      </c>
    </row>
    <row r="1251" spans="1:8" x14ac:dyDescent="0.3">
      <c r="A1251" s="1" t="s">
        <v>1557</v>
      </c>
      <c r="B1251" s="2">
        <v>45378</v>
      </c>
      <c r="C1251" s="1" t="s">
        <v>268</v>
      </c>
      <c r="D1251" s="1" t="s">
        <v>25</v>
      </c>
      <c r="E1251">
        <v>4</v>
      </c>
      <c r="F1251" s="4">
        <v>281.26</v>
      </c>
      <c r="G1251" s="3">
        <v>0.3</v>
      </c>
      <c r="H1251" s="4">
        <v>19.03</v>
      </c>
    </row>
    <row r="1252" spans="1:8" x14ac:dyDescent="0.3">
      <c r="A1252" s="1" t="s">
        <v>1558</v>
      </c>
      <c r="B1252" s="2">
        <v>45448</v>
      </c>
      <c r="C1252" s="1" t="s">
        <v>124</v>
      </c>
      <c r="D1252" s="1" t="s">
        <v>186</v>
      </c>
      <c r="E1252">
        <v>4</v>
      </c>
      <c r="F1252" s="4">
        <v>914.53</v>
      </c>
      <c r="G1252" s="3">
        <v>0.1</v>
      </c>
      <c r="H1252" s="4">
        <v>128.38999999999999</v>
      </c>
    </row>
    <row r="1253" spans="1:8" x14ac:dyDescent="0.3">
      <c r="A1253" s="1" t="s">
        <v>1559</v>
      </c>
      <c r="B1253" s="2">
        <v>44847</v>
      </c>
      <c r="C1253" s="1" t="s">
        <v>751</v>
      </c>
      <c r="D1253" s="1" t="s">
        <v>111</v>
      </c>
      <c r="E1253">
        <v>3</v>
      </c>
      <c r="F1253" s="4">
        <v>155.41999999999999</v>
      </c>
      <c r="G1253" s="3">
        <v>0.1</v>
      </c>
      <c r="H1253" s="4">
        <v>28.55</v>
      </c>
    </row>
    <row r="1254" spans="1:8" x14ac:dyDescent="0.3">
      <c r="A1254" s="1" t="s">
        <v>1560</v>
      </c>
      <c r="B1254" s="2">
        <v>44985</v>
      </c>
      <c r="C1254" s="1" t="s">
        <v>466</v>
      </c>
      <c r="D1254" s="1" t="s">
        <v>201</v>
      </c>
      <c r="E1254">
        <v>2</v>
      </c>
      <c r="F1254" s="4">
        <v>1013.69</v>
      </c>
      <c r="G1254" s="3">
        <v>0.3</v>
      </c>
      <c r="H1254" s="4">
        <v>303.14999999999998</v>
      </c>
    </row>
    <row r="1255" spans="1:8" x14ac:dyDescent="0.3">
      <c r="A1255" s="1" t="s">
        <v>1561</v>
      </c>
      <c r="B1255" s="2">
        <v>44976</v>
      </c>
      <c r="C1255" s="1" t="s">
        <v>58</v>
      </c>
      <c r="D1255" s="1" t="s">
        <v>31</v>
      </c>
      <c r="E1255">
        <v>4</v>
      </c>
      <c r="F1255" s="4">
        <v>1358.62</v>
      </c>
      <c r="G1255" s="3">
        <v>0.2</v>
      </c>
      <c r="H1255" s="4">
        <v>229.11</v>
      </c>
    </row>
    <row r="1256" spans="1:8" x14ac:dyDescent="0.3">
      <c r="A1256" s="1" t="s">
        <v>1562</v>
      </c>
      <c r="B1256" s="2">
        <v>45138</v>
      </c>
      <c r="C1256" s="1" t="s">
        <v>287</v>
      </c>
      <c r="D1256" s="1" t="s">
        <v>43</v>
      </c>
      <c r="E1256">
        <v>3</v>
      </c>
      <c r="F1256" s="4">
        <v>325.14999999999998</v>
      </c>
      <c r="G1256" s="3">
        <v>0.1</v>
      </c>
      <c r="H1256" s="4">
        <v>82.59</v>
      </c>
    </row>
    <row r="1257" spans="1:8" x14ac:dyDescent="0.3">
      <c r="A1257" s="1" t="s">
        <v>1563</v>
      </c>
      <c r="B1257" s="2">
        <v>45428</v>
      </c>
      <c r="C1257" s="1" t="s">
        <v>287</v>
      </c>
      <c r="D1257" s="1" t="s">
        <v>45</v>
      </c>
      <c r="E1257">
        <v>5</v>
      </c>
      <c r="F1257" s="4">
        <v>648.88</v>
      </c>
      <c r="G1257" s="3">
        <v>0.2</v>
      </c>
      <c r="H1257" s="4">
        <v>102.53</v>
      </c>
    </row>
    <row r="1258" spans="1:8" x14ac:dyDescent="0.3">
      <c r="A1258" s="1" t="s">
        <v>1564</v>
      </c>
      <c r="B1258" s="2">
        <v>44974</v>
      </c>
      <c r="C1258" s="1" t="s">
        <v>380</v>
      </c>
      <c r="D1258" s="1" t="s">
        <v>127</v>
      </c>
      <c r="E1258">
        <v>4</v>
      </c>
      <c r="F1258" s="4">
        <v>855.89</v>
      </c>
      <c r="G1258" s="3">
        <v>0.2</v>
      </c>
      <c r="H1258" s="4">
        <v>213.2</v>
      </c>
    </row>
    <row r="1259" spans="1:8" x14ac:dyDescent="0.3">
      <c r="A1259" s="1" t="s">
        <v>1565</v>
      </c>
      <c r="B1259" s="2">
        <v>44939</v>
      </c>
      <c r="C1259" s="1" t="s">
        <v>260</v>
      </c>
      <c r="D1259" s="1" t="s">
        <v>296</v>
      </c>
      <c r="E1259">
        <v>3</v>
      </c>
      <c r="F1259" s="4">
        <v>1847.11</v>
      </c>
      <c r="G1259" s="3">
        <v>0</v>
      </c>
      <c r="H1259" s="4">
        <v>367.3</v>
      </c>
    </row>
    <row r="1260" spans="1:8" x14ac:dyDescent="0.3">
      <c r="A1260" s="1" t="s">
        <v>1566</v>
      </c>
      <c r="B1260" s="2">
        <v>44749</v>
      </c>
      <c r="C1260" s="1" t="s">
        <v>308</v>
      </c>
      <c r="D1260" s="1" t="s">
        <v>78</v>
      </c>
      <c r="E1260">
        <v>3</v>
      </c>
      <c r="F1260" s="4">
        <v>1987.18</v>
      </c>
      <c r="G1260" s="3">
        <v>0.3</v>
      </c>
      <c r="H1260" s="4">
        <v>539.82000000000005</v>
      </c>
    </row>
    <row r="1261" spans="1:8" x14ac:dyDescent="0.3">
      <c r="A1261" s="1" t="s">
        <v>1567</v>
      </c>
      <c r="B1261" s="2">
        <v>44914</v>
      </c>
      <c r="C1261" s="1" t="s">
        <v>233</v>
      </c>
      <c r="D1261" s="1" t="s">
        <v>139</v>
      </c>
      <c r="E1261">
        <v>1</v>
      </c>
      <c r="F1261" s="4">
        <v>185.33</v>
      </c>
      <c r="G1261" s="3">
        <v>0</v>
      </c>
      <c r="H1261" s="4">
        <v>28.31</v>
      </c>
    </row>
    <row r="1262" spans="1:8" x14ac:dyDescent="0.3">
      <c r="A1262" s="1" t="s">
        <v>1568</v>
      </c>
      <c r="B1262" s="2">
        <v>45369</v>
      </c>
      <c r="C1262" s="1" t="s">
        <v>396</v>
      </c>
      <c r="D1262" s="1" t="s">
        <v>34</v>
      </c>
      <c r="E1262">
        <v>5</v>
      </c>
      <c r="F1262" s="4">
        <v>1545.92</v>
      </c>
      <c r="G1262" s="3">
        <v>0.3</v>
      </c>
      <c r="H1262" s="4">
        <v>310.85000000000002</v>
      </c>
    </row>
    <row r="1263" spans="1:8" x14ac:dyDescent="0.3">
      <c r="A1263" s="1" t="s">
        <v>1569</v>
      </c>
      <c r="B1263" s="2">
        <v>44813</v>
      </c>
      <c r="C1263" s="1" t="s">
        <v>425</v>
      </c>
      <c r="D1263" s="1" t="s">
        <v>141</v>
      </c>
      <c r="E1263">
        <v>1</v>
      </c>
      <c r="F1263" s="4">
        <v>806.28</v>
      </c>
      <c r="G1263" s="3">
        <v>0.3</v>
      </c>
      <c r="H1263" s="4">
        <v>167.31</v>
      </c>
    </row>
    <row r="1264" spans="1:8" x14ac:dyDescent="0.3">
      <c r="A1264" s="1" t="s">
        <v>1570</v>
      </c>
      <c r="B1264" s="2">
        <v>44910</v>
      </c>
      <c r="C1264" s="1" t="s">
        <v>360</v>
      </c>
      <c r="D1264" s="1" t="s">
        <v>161</v>
      </c>
      <c r="E1264">
        <v>2</v>
      </c>
      <c r="F1264" s="4">
        <v>845.67</v>
      </c>
      <c r="G1264" s="3">
        <v>0.2</v>
      </c>
      <c r="H1264" s="4">
        <v>130.53</v>
      </c>
    </row>
    <row r="1265" spans="1:8" x14ac:dyDescent="0.3">
      <c r="A1265" s="1" t="s">
        <v>1571</v>
      </c>
      <c r="B1265" s="2">
        <v>45320</v>
      </c>
      <c r="C1265" s="1" t="s">
        <v>691</v>
      </c>
      <c r="D1265" s="1" t="s">
        <v>221</v>
      </c>
      <c r="E1265">
        <v>1</v>
      </c>
      <c r="F1265" s="4">
        <v>1533.1</v>
      </c>
      <c r="G1265" s="3">
        <v>0.3</v>
      </c>
      <c r="H1265" s="4">
        <v>131.97</v>
      </c>
    </row>
    <row r="1266" spans="1:8" x14ac:dyDescent="0.3">
      <c r="A1266" s="1" t="s">
        <v>1572</v>
      </c>
      <c r="B1266" s="2">
        <v>45355</v>
      </c>
      <c r="C1266" s="1" t="s">
        <v>198</v>
      </c>
      <c r="D1266" s="1" t="s">
        <v>400</v>
      </c>
      <c r="E1266">
        <v>1</v>
      </c>
      <c r="F1266" s="4">
        <v>1845.01</v>
      </c>
      <c r="G1266" s="3">
        <v>0.2</v>
      </c>
      <c r="H1266" s="4">
        <v>135.41</v>
      </c>
    </row>
    <row r="1267" spans="1:8" x14ac:dyDescent="0.3">
      <c r="A1267" s="1" t="s">
        <v>1573</v>
      </c>
      <c r="B1267" s="2">
        <v>45179</v>
      </c>
      <c r="C1267" s="1" t="s">
        <v>208</v>
      </c>
      <c r="D1267" s="1" t="s">
        <v>156</v>
      </c>
      <c r="E1267">
        <v>4</v>
      </c>
      <c r="F1267" s="4">
        <v>1906.76</v>
      </c>
      <c r="G1267" s="3">
        <v>0.2</v>
      </c>
      <c r="H1267" s="4">
        <v>103.29</v>
      </c>
    </row>
    <row r="1268" spans="1:8" x14ac:dyDescent="0.3">
      <c r="A1268" s="1" t="s">
        <v>1574</v>
      </c>
      <c r="B1268" s="2">
        <v>44735</v>
      </c>
      <c r="C1268" s="1" t="s">
        <v>306</v>
      </c>
      <c r="D1268" s="1" t="s">
        <v>242</v>
      </c>
      <c r="E1268">
        <v>3</v>
      </c>
      <c r="F1268" s="4">
        <v>1196.53</v>
      </c>
      <c r="G1268" s="3">
        <v>0.3</v>
      </c>
      <c r="H1268" s="4">
        <v>321.13</v>
      </c>
    </row>
    <row r="1269" spans="1:8" x14ac:dyDescent="0.3">
      <c r="A1269" s="1" t="s">
        <v>1575</v>
      </c>
      <c r="B1269" s="2">
        <v>45369</v>
      </c>
      <c r="C1269" s="1" t="s">
        <v>980</v>
      </c>
      <c r="D1269" s="1" t="s">
        <v>218</v>
      </c>
      <c r="E1269">
        <v>5</v>
      </c>
      <c r="F1269" s="4">
        <v>778.53</v>
      </c>
      <c r="G1269" s="3">
        <v>0.2</v>
      </c>
      <c r="H1269" s="4">
        <v>84.95</v>
      </c>
    </row>
    <row r="1270" spans="1:8" x14ac:dyDescent="0.3">
      <c r="A1270" s="1" t="s">
        <v>1576</v>
      </c>
      <c r="B1270" s="2">
        <v>45239</v>
      </c>
      <c r="C1270" s="1" t="s">
        <v>406</v>
      </c>
      <c r="D1270" s="1" t="s">
        <v>301</v>
      </c>
      <c r="E1270">
        <v>1</v>
      </c>
      <c r="F1270" s="4">
        <v>1596.34</v>
      </c>
      <c r="G1270" s="3">
        <v>0.2</v>
      </c>
      <c r="H1270" s="4">
        <v>164.23</v>
      </c>
    </row>
    <row r="1271" spans="1:8" x14ac:dyDescent="0.3">
      <c r="A1271" s="1" t="s">
        <v>1577</v>
      </c>
      <c r="B1271" s="2">
        <v>44590</v>
      </c>
      <c r="C1271" s="1" t="s">
        <v>388</v>
      </c>
      <c r="D1271" s="1" t="s">
        <v>727</v>
      </c>
      <c r="E1271">
        <v>5</v>
      </c>
      <c r="F1271" s="4">
        <v>576.9</v>
      </c>
      <c r="G1271" s="3">
        <v>0.2</v>
      </c>
      <c r="H1271" s="4">
        <v>135</v>
      </c>
    </row>
    <row r="1272" spans="1:8" x14ac:dyDescent="0.3">
      <c r="A1272" s="1" t="s">
        <v>1578</v>
      </c>
      <c r="B1272" s="2">
        <v>44696</v>
      </c>
      <c r="C1272" s="1" t="s">
        <v>99</v>
      </c>
      <c r="D1272" s="1" t="s">
        <v>10</v>
      </c>
      <c r="E1272">
        <v>1</v>
      </c>
      <c r="F1272" s="4">
        <v>1171.74</v>
      </c>
      <c r="G1272" s="3">
        <v>0.1</v>
      </c>
      <c r="H1272" s="4">
        <v>152.33000000000001</v>
      </c>
    </row>
    <row r="1273" spans="1:8" x14ac:dyDescent="0.3">
      <c r="A1273" s="1" t="s">
        <v>1579</v>
      </c>
      <c r="B1273" s="2">
        <v>44901</v>
      </c>
      <c r="C1273" s="1" t="s">
        <v>436</v>
      </c>
      <c r="D1273" s="1" t="s">
        <v>141</v>
      </c>
      <c r="E1273">
        <v>2</v>
      </c>
      <c r="F1273" s="4">
        <v>781.3</v>
      </c>
      <c r="G1273" s="3">
        <v>0.2</v>
      </c>
      <c r="H1273" s="4">
        <v>137.91</v>
      </c>
    </row>
    <row r="1274" spans="1:8" x14ac:dyDescent="0.3">
      <c r="A1274" s="1" t="s">
        <v>1580</v>
      </c>
      <c r="B1274" s="2">
        <v>44606</v>
      </c>
      <c r="C1274" s="1" t="s">
        <v>176</v>
      </c>
      <c r="D1274" s="1" t="s">
        <v>660</v>
      </c>
      <c r="E1274">
        <v>1</v>
      </c>
      <c r="F1274" s="4">
        <v>1347.6</v>
      </c>
      <c r="G1274" s="3">
        <v>0.1</v>
      </c>
      <c r="H1274" s="4">
        <v>122.13</v>
      </c>
    </row>
    <row r="1275" spans="1:8" x14ac:dyDescent="0.3">
      <c r="A1275" s="1" t="s">
        <v>1581</v>
      </c>
      <c r="B1275" s="2">
        <v>45129</v>
      </c>
      <c r="C1275" s="1" t="s">
        <v>1056</v>
      </c>
      <c r="D1275" s="1" t="s">
        <v>361</v>
      </c>
      <c r="E1275">
        <v>4</v>
      </c>
      <c r="F1275" s="4">
        <v>556.76</v>
      </c>
      <c r="G1275" s="3">
        <v>0.1</v>
      </c>
      <c r="H1275" s="4">
        <v>161.43</v>
      </c>
    </row>
    <row r="1276" spans="1:8" x14ac:dyDescent="0.3">
      <c r="A1276" s="1" t="s">
        <v>1582</v>
      </c>
      <c r="B1276" s="2">
        <v>44969</v>
      </c>
      <c r="C1276" s="1" t="s">
        <v>165</v>
      </c>
      <c r="D1276" s="1" t="s">
        <v>372</v>
      </c>
      <c r="E1276">
        <v>3</v>
      </c>
      <c r="F1276" s="4">
        <v>464.03</v>
      </c>
      <c r="G1276" s="3">
        <v>0.2</v>
      </c>
      <c r="H1276" s="4">
        <v>121.99</v>
      </c>
    </row>
    <row r="1277" spans="1:8" x14ac:dyDescent="0.3">
      <c r="A1277" s="1" t="s">
        <v>1583</v>
      </c>
      <c r="B1277" s="2">
        <v>45110</v>
      </c>
      <c r="C1277" s="1" t="s">
        <v>50</v>
      </c>
      <c r="D1277" s="1" t="s">
        <v>201</v>
      </c>
      <c r="E1277">
        <v>2</v>
      </c>
      <c r="F1277" s="4">
        <v>1844.65</v>
      </c>
      <c r="G1277" s="3">
        <v>0.2</v>
      </c>
      <c r="H1277" s="4">
        <v>490.58</v>
      </c>
    </row>
    <row r="1278" spans="1:8" x14ac:dyDescent="0.3">
      <c r="A1278" s="1" t="s">
        <v>1584</v>
      </c>
      <c r="B1278" s="2">
        <v>45094</v>
      </c>
      <c r="C1278" s="1" t="s">
        <v>15</v>
      </c>
      <c r="D1278" s="1" t="s">
        <v>239</v>
      </c>
      <c r="E1278">
        <v>1</v>
      </c>
      <c r="F1278" s="4">
        <v>293.43</v>
      </c>
      <c r="G1278" s="3">
        <v>0.1</v>
      </c>
      <c r="H1278" s="4">
        <v>44.51</v>
      </c>
    </row>
    <row r="1279" spans="1:8" x14ac:dyDescent="0.3">
      <c r="A1279" s="1" t="s">
        <v>1585</v>
      </c>
      <c r="B1279" s="2">
        <v>44964</v>
      </c>
      <c r="C1279" s="1" t="s">
        <v>380</v>
      </c>
      <c r="D1279" s="1" t="s">
        <v>221</v>
      </c>
      <c r="E1279">
        <v>5</v>
      </c>
      <c r="F1279" s="4">
        <v>1061.32</v>
      </c>
      <c r="G1279" s="3">
        <v>0.1</v>
      </c>
      <c r="H1279" s="4">
        <v>255.34</v>
      </c>
    </row>
    <row r="1280" spans="1:8" x14ac:dyDescent="0.3">
      <c r="A1280" s="1" t="s">
        <v>1586</v>
      </c>
      <c r="B1280" s="2">
        <v>45130</v>
      </c>
      <c r="C1280" s="1" t="s">
        <v>248</v>
      </c>
      <c r="D1280" s="1" t="s">
        <v>502</v>
      </c>
      <c r="E1280">
        <v>2</v>
      </c>
      <c r="F1280" s="4">
        <v>519.62</v>
      </c>
      <c r="G1280" s="3">
        <v>0.2</v>
      </c>
      <c r="H1280" s="4">
        <v>44.67</v>
      </c>
    </row>
    <row r="1281" spans="1:8" x14ac:dyDescent="0.3">
      <c r="A1281" s="1" t="s">
        <v>1587</v>
      </c>
      <c r="B1281" s="2">
        <v>45371</v>
      </c>
      <c r="C1281" s="1" t="s">
        <v>1143</v>
      </c>
      <c r="D1281" s="1" t="s">
        <v>43</v>
      </c>
      <c r="E1281">
        <v>2</v>
      </c>
      <c r="F1281" s="4">
        <v>173.97</v>
      </c>
      <c r="G1281" s="3">
        <v>0.2</v>
      </c>
      <c r="H1281" s="4">
        <v>9.07</v>
      </c>
    </row>
    <row r="1282" spans="1:8" x14ac:dyDescent="0.3">
      <c r="A1282" s="1" t="s">
        <v>1588</v>
      </c>
      <c r="B1282" s="2">
        <v>45001</v>
      </c>
      <c r="C1282" s="1" t="s">
        <v>685</v>
      </c>
      <c r="D1282" s="1" t="s">
        <v>269</v>
      </c>
      <c r="E1282">
        <v>1</v>
      </c>
      <c r="F1282" s="4">
        <v>168.44</v>
      </c>
      <c r="G1282" s="3">
        <v>0.3</v>
      </c>
      <c r="H1282" s="4">
        <v>9.26</v>
      </c>
    </row>
    <row r="1283" spans="1:8" x14ac:dyDescent="0.3">
      <c r="A1283" s="1" t="s">
        <v>1589</v>
      </c>
      <c r="B1283" s="2">
        <v>45443</v>
      </c>
      <c r="C1283" s="1" t="s">
        <v>63</v>
      </c>
      <c r="D1283" s="1" t="s">
        <v>43</v>
      </c>
      <c r="E1283">
        <v>2</v>
      </c>
      <c r="F1283" s="4">
        <v>432.92</v>
      </c>
      <c r="G1283" s="3">
        <v>0.1</v>
      </c>
      <c r="H1283" s="4">
        <v>85.13</v>
      </c>
    </row>
    <row r="1284" spans="1:8" x14ac:dyDescent="0.3">
      <c r="A1284" s="1" t="s">
        <v>1590</v>
      </c>
      <c r="B1284" s="2">
        <v>45039</v>
      </c>
      <c r="C1284" s="1" t="s">
        <v>106</v>
      </c>
      <c r="D1284" s="1" t="s">
        <v>455</v>
      </c>
      <c r="E1284">
        <v>5</v>
      </c>
      <c r="F1284" s="4">
        <v>1746.86</v>
      </c>
      <c r="G1284" s="3">
        <v>0.1</v>
      </c>
      <c r="H1284" s="4">
        <v>286.22000000000003</v>
      </c>
    </row>
    <row r="1285" spans="1:8" x14ac:dyDescent="0.3">
      <c r="A1285" s="1" t="s">
        <v>1591</v>
      </c>
      <c r="B1285" s="2">
        <v>45095</v>
      </c>
      <c r="C1285" s="1" t="s">
        <v>344</v>
      </c>
      <c r="D1285" s="1" t="s">
        <v>122</v>
      </c>
      <c r="E1285">
        <v>2</v>
      </c>
      <c r="F1285" s="4">
        <v>636.71</v>
      </c>
      <c r="G1285" s="3">
        <v>0.3</v>
      </c>
      <c r="H1285" s="4">
        <v>114.29</v>
      </c>
    </row>
    <row r="1286" spans="1:8" x14ac:dyDescent="0.3">
      <c r="A1286" s="1" t="s">
        <v>1592</v>
      </c>
      <c r="B1286" s="2">
        <v>44699</v>
      </c>
      <c r="C1286" s="1" t="s">
        <v>104</v>
      </c>
      <c r="D1286" s="1" t="s">
        <v>170</v>
      </c>
      <c r="E1286">
        <v>5</v>
      </c>
      <c r="F1286" s="4">
        <v>1905.87</v>
      </c>
      <c r="G1286" s="3">
        <v>0.1</v>
      </c>
      <c r="H1286" s="4">
        <v>98.85</v>
      </c>
    </row>
    <row r="1287" spans="1:8" x14ac:dyDescent="0.3">
      <c r="A1287" s="1" t="s">
        <v>1593</v>
      </c>
      <c r="B1287" s="2">
        <v>45043</v>
      </c>
      <c r="C1287" s="1" t="s">
        <v>252</v>
      </c>
      <c r="D1287" s="1" t="s">
        <v>269</v>
      </c>
      <c r="E1287">
        <v>1</v>
      </c>
      <c r="F1287" s="4">
        <v>1205.08</v>
      </c>
      <c r="G1287" s="3">
        <v>0</v>
      </c>
      <c r="H1287" s="4">
        <v>187.6</v>
      </c>
    </row>
    <row r="1288" spans="1:8" x14ac:dyDescent="0.3">
      <c r="A1288" s="1" t="s">
        <v>1594</v>
      </c>
      <c r="B1288" s="2">
        <v>44886</v>
      </c>
      <c r="C1288" s="1" t="s">
        <v>165</v>
      </c>
      <c r="D1288" s="1" t="s">
        <v>378</v>
      </c>
      <c r="E1288">
        <v>3</v>
      </c>
      <c r="F1288" s="4">
        <v>929.57</v>
      </c>
      <c r="G1288" s="3">
        <v>0.1</v>
      </c>
      <c r="H1288" s="4">
        <v>213.35</v>
      </c>
    </row>
    <row r="1289" spans="1:8" x14ac:dyDescent="0.3">
      <c r="A1289" s="1" t="s">
        <v>1595</v>
      </c>
      <c r="B1289" s="2">
        <v>44751</v>
      </c>
      <c r="C1289" s="1" t="s">
        <v>334</v>
      </c>
      <c r="D1289" s="1" t="s">
        <v>107</v>
      </c>
      <c r="E1289">
        <v>2</v>
      </c>
      <c r="F1289" s="4">
        <v>1202.17</v>
      </c>
      <c r="G1289" s="3">
        <v>0.3</v>
      </c>
      <c r="H1289" s="4">
        <v>193.16</v>
      </c>
    </row>
    <row r="1290" spans="1:8" x14ac:dyDescent="0.3">
      <c r="A1290" s="1" t="s">
        <v>1596</v>
      </c>
      <c r="B1290" s="2">
        <v>44579</v>
      </c>
      <c r="C1290" s="1" t="s">
        <v>751</v>
      </c>
      <c r="D1290" s="1" t="s">
        <v>156</v>
      </c>
      <c r="E1290">
        <v>3</v>
      </c>
      <c r="F1290" s="4">
        <v>1081.73</v>
      </c>
      <c r="G1290" s="3">
        <v>0</v>
      </c>
      <c r="H1290" s="4">
        <v>252.1</v>
      </c>
    </row>
    <row r="1291" spans="1:8" x14ac:dyDescent="0.3">
      <c r="A1291" s="1" t="s">
        <v>1597</v>
      </c>
      <c r="B1291" s="2">
        <v>45451</v>
      </c>
      <c r="C1291" s="1" t="s">
        <v>126</v>
      </c>
      <c r="D1291" s="1" t="s">
        <v>61</v>
      </c>
      <c r="E1291">
        <v>5</v>
      </c>
      <c r="F1291" s="4">
        <v>1541.67</v>
      </c>
      <c r="G1291" s="3">
        <v>0.2</v>
      </c>
      <c r="H1291" s="4">
        <v>166.89</v>
      </c>
    </row>
    <row r="1292" spans="1:8" x14ac:dyDescent="0.3">
      <c r="A1292" s="1" t="s">
        <v>1598</v>
      </c>
      <c r="B1292" s="2">
        <v>45443</v>
      </c>
      <c r="C1292" s="1" t="s">
        <v>475</v>
      </c>
      <c r="D1292" s="1" t="s">
        <v>253</v>
      </c>
      <c r="E1292">
        <v>2</v>
      </c>
      <c r="F1292" s="4">
        <v>636.74</v>
      </c>
      <c r="G1292" s="3">
        <v>0.3</v>
      </c>
      <c r="H1292" s="4">
        <v>161.28</v>
      </c>
    </row>
    <row r="1293" spans="1:8" x14ac:dyDescent="0.3">
      <c r="A1293" s="1" t="s">
        <v>1599</v>
      </c>
      <c r="B1293" s="2">
        <v>45132</v>
      </c>
      <c r="C1293" s="1" t="s">
        <v>468</v>
      </c>
      <c r="D1293" s="1" t="s">
        <v>323</v>
      </c>
      <c r="E1293">
        <v>4</v>
      </c>
      <c r="F1293" s="4">
        <v>770.8</v>
      </c>
      <c r="G1293" s="3">
        <v>0.3</v>
      </c>
      <c r="H1293" s="4">
        <v>151.93</v>
      </c>
    </row>
    <row r="1294" spans="1:8" x14ac:dyDescent="0.3">
      <c r="A1294" s="1" t="s">
        <v>1600</v>
      </c>
      <c r="B1294" s="2">
        <v>45099</v>
      </c>
      <c r="C1294" s="1" t="s">
        <v>559</v>
      </c>
      <c r="D1294" s="1" t="s">
        <v>195</v>
      </c>
      <c r="E1294">
        <v>3</v>
      </c>
      <c r="F1294" s="4">
        <v>1798.78</v>
      </c>
      <c r="G1294" s="3">
        <v>0.2</v>
      </c>
      <c r="H1294" s="4">
        <v>184.72</v>
      </c>
    </row>
    <row r="1295" spans="1:8" x14ac:dyDescent="0.3">
      <c r="A1295" s="1" t="s">
        <v>1601</v>
      </c>
      <c r="B1295" s="2">
        <v>44579</v>
      </c>
      <c r="C1295" s="1" t="s">
        <v>150</v>
      </c>
      <c r="D1295" s="1" t="s">
        <v>161</v>
      </c>
      <c r="E1295">
        <v>2</v>
      </c>
      <c r="F1295" s="4">
        <v>1898.27</v>
      </c>
      <c r="G1295" s="3">
        <v>0.3</v>
      </c>
      <c r="H1295" s="4">
        <v>207.25</v>
      </c>
    </row>
    <row r="1296" spans="1:8" x14ac:dyDescent="0.3">
      <c r="A1296" s="1" t="s">
        <v>1602</v>
      </c>
      <c r="B1296" s="2">
        <v>44823</v>
      </c>
      <c r="C1296" s="1" t="s">
        <v>394</v>
      </c>
      <c r="D1296" s="1" t="s">
        <v>211</v>
      </c>
      <c r="E1296">
        <v>3</v>
      </c>
      <c r="F1296" s="4">
        <v>1795.86</v>
      </c>
      <c r="G1296" s="3">
        <v>0.1</v>
      </c>
      <c r="H1296" s="4">
        <v>371.76</v>
      </c>
    </row>
    <row r="1297" spans="1:8" x14ac:dyDescent="0.3">
      <c r="A1297" s="1" t="s">
        <v>1603</v>
      </c>
      <c r="B1297" s="2">
        <v>45249</v>
      </c>
      <c r="C1297" s="1" t="s">
        <v>238</v>
      </c>
      <c r="D1297" s="1" t="s">
        <v>249</v>
      </c>
      <c r="E1297">
        <v>2</v>
      </c>
      <c r="F1297" s="4">
        <v>896.95</v>
      </c>
      <c r="G1297" s="3">
        <v>0.2</v>
      </c>
      <c r="H1297" s="4">
        <v>230.95</v>
      </c>
    </row>
    <row r="1298" spans="1:8" x14ac:dyDescent="0.3">
      <c r="A1298" s="1" t="s">
        <v>1604</v>
      </c>
      <c r="B1298" s="2">
        <v>45153</v>
      </c>
      <c r="C1298" s="1" t="s">
        <v>425</v>
      </c>
      <c r="D1298" s="1" t="s">
        <v>296</v>
      </c>
      <c r="E1298">
        <v>1</v>
      </c>
      <c r="F1298" s="4">
        <v>1582.69</v>
      </c>
      <c r="G1298" s="3">
        <v>0.3</v>
      </c>
      <c r="H1298" s="4">
        <v>243.59</v>
      </c>
    </row>
    <row r="1299" spans="1:8" x14ac:dyDescent="0.3">
      <c r="A1299" s="1" t="s">
        <v>1605</v>
      </c>
      <c r="B1299" s="2">
        <v>44714</v>
      </c>
      <c r="C1299" s="1" t="s">
        <v>751</v>
      </c>
      <c r="D1299" s="1" t="s">
        <v>392</v>
      </c>
      <c r="E1299">
        <v>3</v>
      </c>
      <c r="F1299" s="4">
        <v>1005.04</v>
      </c>
      <c r="G1299" s="3">
        <v>0.2</v>
      </c>
      <c r="H1299" s="4">
        <v>115.15</v>
      </c>
    </row>
    <row r="1300" spans="1:8" x14ac:dyDescent="0.3">
      <c r="A1300" s="1" t="s">
        <v>1606</v>
      </c>
      <c r="B1300" s="2">
        <v>45432</v>
      </c>
      <c r="C1300" s="1" t="s">
        <v>248</v>
      </c>
      <c r="D1300" s="1" t="s">
        <v>669</v>
      </c>
      <c r="E1300">
        <v>4</v>
      </c>
      <c r="F1300" s="4">
        <v>1045.33</v>
      </c>
      <c r="G1300" s="3">
        <v>0.2</v>
      </c>
      <c r="H1300" s="4">
        <v>278.83999999999997</v>
      </c>
    </row>
    <row r="1301" spans="1:8" x14ac:dyDescent="0.3">
      <c r="A1301" s="1" t="s">
        <v>1607</v>
      </c>
      <c r="B1301" s="2">
        <v>45115</v>
      </c>
      <c r="C1301" s="1" t="s">
        <v>647</v>
      </c>
      <c r="D1301" s="1" t="s">
        <v>269</v>
      </c>
      <c r="E1301">
        <v>4</v>
      </c>
      <c r="F1301" s="4">
        <v>488.89</v>
      </c>
      <c r="G1301" s="3">
        <v>0.2</v>
      </c>
      <c r="H1301" s="4">
        <v>106.24</v>
      </c>
    </row>
    <row r="1302" spans="1:8" x14ac:dyDescent="0.3">
      <c r="A1302" s="1" t="s">
        <v>1608</v>
      </c>
      <c r="B1302" s="2">
        <v>45195</v>
      </c>
      <c r="C1302" s="1" t="s">
        <v>637</v>
      </c>
      <c r="D1302" s="1" t="s">
        <v>323</v>
      </c>
      <c r="E1302">
        <v>5</v>
      </c>
      <c r="F1302" s="4">
        <v>1223.1500000000001</v>
      </c>
      <c r="G1302" s="3">
        <v>0</v>
      </c>
      <c r="H1302" s="4">
        <v>198.18</v>
      </c>
    </row>
    <row r="1303" spans="1:8" x14ac:dyDescent="0.3">
      <c r="A1303" s="1" t="s">
        <v>1609</v>
      </c>
      <c r="B1303" s="2">
        <v>45262</v>
      </c>
      <c r="C1303" s="1" t="s">
        <v>330</v>
      </c>
      <c r="D1303" s="1" t="s">
        <v>19</v>
      </c>
      <c r="E1303">
        <v>2</v>
      </c>
      <c r="F1303" s="4">
        <v>453.66</v>
      </c>
      <c r="G1303" s="3">
        <v>0.3</v>
      </c>
      <c r="H1303" s="4">
        <v>78.02</v>
      </c>
    </row>
    <row r="1304" spans="1:8" x14ac:dyDescent="0.3">
      <c r="A1304" s="1" t="s">
        <v>1610</v>
      </c>
      <c r="B1304" s="2">
        <v>45221</v>
      </c>
      <c r="C1304" s="1" t="s">
        <v>53</v>
      </c>
      <c r="D1304" s="1" t="s">
        <v>269</v>
      </c>
      <c r="E1304">
        <v>3</v>
      </c>
      <c r="F1304" s="4">
        <v>729.97</v>
      </c>
      <c r="G1304" s="3">
        <v>0</v>
      </c>
      <c r="H1304" s="4">
        <v>73.77</v>
      </c>
    </row>
    <row r="1305" spans="1:8" x14ac:dyDescent="0.3">
      <c r="A1305" s="1" t="s">
        <v>1611</v>
      </c>
      <c r="B1305" s="2">
        <v>45174</v>
      </c>
      <c r="C1305" s="1" t="s">
        <v>388</v>
      </c>
      <c r="D1305" s="1" t="s">
        <v>304</v>
      </c>
      <c r="E1305">
        <v>5</v>
      </c>
      <c r="F1305" s="4">
        <v>1724.56</v>
      </c>
      <c r="G1305" s="3">
        <v>0.3</v>
      </c>
      <c r="H1305" s="4">
        <v>356.47</v>
      </c>
    </row>
    <row r="1306" spans="1:8" x14ac:dyDescent="0.3">
      <c r="A1306" s="1" t="s">
        <v>1612</v>
      </c>
      <c r="B1306" s="2">
        <v>45111</v>
      </c>
      <c r="C1306" s="1" t="s">
        <v>777</v>
      </c>
      <c r="D1306" s="1" t="s">
        <v>369</v>
      </c>
      <c r="E1306">
        <v>3</v>
      </c>
      <c r="F1306" s="4">
        <v>493.44</v>
      </c>
      <c r="G1306" s="3">
        <v>0.1</v>
      </c>
      <c r="H1306" s="4">
        <v>68.930000000000007</v>
      </c>
    </row>
    <row r="1307" spans="1:8" x14ac:dyDescent="0.3">
      <c r="A1307" s="1" t="s">
        <v>1613</v>
      </c>
      <c r="B1307" s="2">
        <v>44897</v>
      </c>
      <c r="C1307" s="1" t="s">
        <v>265</v>
      </c>
      <c r="D1307" s="1" t="s">
        <v>304</v>
      </c>
      <c r="E1307">
        <v>2</v>
      </c>
      <c r="F1307" s="4">
        <v>235.2</v>
      </c>
      <c r="G1307" s="3">
        <v>0.1</v>
      </c>
      <c r="H1307" s="4">
        <v>70.3</v>
      </c>
    </row>
    <row r="1308" spans="1:8" x14ac:dyDescent="0.3">
      <c r="A1308" s="1" t="s">
        <v>1614</v>
      </c>
      <c r="B1308" s="2">
        <v>45376</v>
      </c>
      <c r="C1308" s="1" t="s">
        <v>33</v>
      </c>
      <c r="D1308" s="1" t="s">
        <v>221</v>
      </c>
      <c r="E1308">
        <v>4</v>
      </c>
      <c r="F1308" s="4">
        <v>231.11</v>
      </c>
      <c r="G1308" s="3">
        <v>0.1</v>
      </c>
      <c r="H1308" s="4">
        <v>39.299999999999997</v>
      </c>
    </row>
    <row r="1309" spans="1:8" x14ac:dyDescent="0.3">
      <c r="A1309" s="1" t="s">
        <v>1615</v>
      </c>
      <c r="B1309" s="2">
        <v>44692</v>
      </c>
      <c r="C1309" s="1" t="s">
        <v>978</v>
      </c>
      <c r="D1309" s="1" t="s">
        <v>256</v>
      </c>
      <c r="E1309">
        <v>1</v>
      </c>
      <c r="F1309" s="4">
        <v>1887.49</v>
      </c>
      <c r="G1309" s="3">
        <v>0.3</v>
      </c>
      <c r="H1309" s="4">
        <v>323.64999999999998</v>
      </c>
    </row>
    <row r="1310" spans="1:8" x14ac:dyDescent="0.3">
      <c r="A1310" s="1" t="s">
        <v>1616</v>
      </c>
      <c r="B1310" s="2">
        <v>45242</v>
      </c>
      <c r="C1310" s="1" t="s">
        <v>588</v>
      </c>
      <c r="D1310" s="1" t="s">
        <v>258</v>
      </c>
      <c r="E1310">
        <v>4</v>
      </c>
      <c r="F1310" s="4">
        <v>1063.1500000000001</v>
      </c>
      <c r="G1310" s="3">
        <v>0.2</v>
      </c>
      <c r="H1310" s="4">
        <v>203.55</v>
      </c>
    </row>
    <row r="1311" spans="1:8" x14ac:dyDescent="0.3">
      <c r="A1311" s="1" t="s">
        <v>1617</v>
      </c>
      <c r="B1311" s="2">
        <v>45404</v>
      </c>
      <c r="C1311" s="1" t="s">
        <v>1043</v>
      </c>
      <c r="D1311" s="1" t="s">
        <v>304</v>
      </c>
      <c r="E1311">
        <v>5</v>
      </c>
      <c r="F1311" s="4">
        <v>877.88</v>
      </c>
      <c r="G1311" s="3">
        <v>0.2</v>
      </c>
      <c r="H1311" s="4">
        <v>245.09</v>
      </c>
    </row>
    <row r="1312" spans="1:8" x14ac:dyDescent="0.3">
      <c r="A1312" s="1" t="s">
        <v>1618</v>
      </c>
      <c r="B1312" s="2">
        <v>44631</v>
      </c>
      <c r="C1312" s="1" t="s">
        <v>12</v>
      </c>
      <c r="D1312" s="1" t="s">
        <v>341</v>
      </c>
      <c r="E1312">
        <v>1</v>
      </c>
      <c r="F1312" s="4">
        <v>1640.67</v>
      </c>
      <c r="G1312" s="3">
        <v>0</v>
      </c>
      <c r="H1312" s="4">
        <v>410.5</v>
      </c>
    </row>
    <row r="1313" spans="1:8" x14ac:dyDescent="0.3">
      <c r="A1313" s="1" t="s">
        <v>1619</v>
      </c>
      <c r="B1313" s="2">
        <v>44586</v>
      </c>
      <c r="C1313" s="1" t="s">
        <v>691</v>
      </c>
      <c r="D1313" s="1" t="s">
        <v>364</v>
      </c>
      <c r="E1313">
        <v>5</v>
      </c>
      <c r="F1313" s="4">
        <v>1688.07</v>
      </c>
      <c r="G1313" s="3">
        <v>0</v>
      </c>
      <c r="H1313" s="4">
        <v>274.79000000000002</v>
      </c>
    </row>
    <row r="1314" spans="1:8" x14ac:dyDescent="0.3">
      <c r="A1314" s="1" t="s">
        <v>1620</v>
      </c>
      <c r="B1314" s="2">
        <v>44915</v>
      </c>
      <c r="C1314" s="1" t="s">
        <v>466</v>
      </c>
      <c r="D1314" s="1" t="s">
        <v>249</v>
      </c>
      <c r="E1314">
        <v>2</v>
      </c>
      <c r="F1314" s="4">
        <v>731.16</v>
      </c>
      <c r="G1314" s="3">
        <v>0.1</v>
      </c>
      <c r="H1314" s="4">
        <v>167.93</v>
      </c>
    </row>
    <row r="1315" spans="1:8" x14ac:dyDescent="0.3">
      <c r="A1315" s="1" t="s">
        <v>1621</v>
      </c>
      <c r="B1315" s="2">
        <v>44631</v>
      </c>
      <c r="C1315" s="1" t="s">
        <v>332</v>
      </c>
      <c r="D1315" s="1" t="s">
        <v>458</v>
      </c>
      <c r="E1315">
        <v>1</v>
      </c>
      <c r="F1315" s="4">
        <v>1417.87</v>
      </c>
      <c r="G1315" s="3">
        <v>0</v>
      </c>
      <c r="H1315" s="4">
        <v>278.69</v>
      </c>
    </row>
    <row r="1316" spans="1:8" x14ac:dyDescent="0.3">
      <c r="A1316" s="1" t="s">
        <v>1622</v>
      </c>
      <c r="B1316" s="2">
        <v>45010</v>
      </c>
      <c r="C1316" s="1" t="s">
        <v>739</v>
      </c>
      <c r="D1316" s="1" t="s">
        <v>603</v>
      </c>
      <c r="E1316">
        <v>5</v>
      </c>
      <c r="F1316" s="4">
        <v>1565.13</v>
      </c>
      <c r="G1316" s="3">
        <v>0.3</v>
      </c>
      <c r="H1316" s="4">
        <v>270.91000000000003</v>
      </c>
    </row>
    <row r="1317" spans="1:8" x14ac:dyDescent="0.3">
      <c r="A1317" s="1" t="s">
        <v>1623</v>
      </c>
      <c r="B1317" s="2">
        <v>45360</v>
      </c>
      <c r="C1317" s="1" t="s">
        <v>233</v>
      </c>
      <c r="D1317" s="1" t="s">
        <v>234</v>
      </c>
      <c r="E1317">
        <v>2</v>
      </c>
      <c r="F1317" s="4">
        <v>1343.84</v>
      </c>
      <c r="G1317" s="3">
        <v>0.3</v>
      </c>
      <c r="H1317" s="4">
        <v>131.80000000000001</v>
      </c>
    </row>
    <row r="1318" spans="1:8" x14ac:dyDescent="0.3">
      <c r="A1318" s="1" t="s">
        <v>1624</v>
      </c>
      <c r="B1318" s="2">
        <v>45371</v>
      </c>
      <c r="C1318" s="1" t="s">
        <v>248</v>
      </c>
      <c r="D1318" s="1" t="s">
        <v>61</v>
      </c>
      <c r="E1318">
        <v>4</v>
      </c>
      <c r="F1318" s="4">
        <v>388.03</v>
      </c>
      <c r="G1318" s="3">
        <v>0</v>
      </c>
      <c r="H1318" s="4">
        <v>64.41</v>
      </c>
    </row>
    <row r="1319" spans="1:8" x14ac:dyDescent="0.3">
      <c r="A1319" s="1" t="s">
        <v>1625</v>
      </c>
      <c r="B1319" s="2">
        <v>45269</v>
      </c>
      <c r="C1319" s="1" t="s">
        <v>685</v>
      </c>
      <c r="D1319" s="1" t="s">
        <v>215</v>
      </c>
      <c r="E1319">
        <v>2</v>
      </c>
      <c r="F1319" s="4">
        <v>1764.18</v>
      </c>
      <c r="G1319" s="3">
        <v>0</v>
      </c>
      <c r="H1319" s="4">
        <v>196.63</v>
      </c>
    </row>
    <row r="1320" spans="1:8" x14ac:dyDescent="0.3">
      <c r="A1320" s="1" t="s">
        <v>1626</v>
      </c>
      <c r="B1320" s="2">
        <v>45428</v>
      </c>
      <c r="C1320" s="1" t="s">
        <v>396</v>
      </c>
      <c r="D1320" s="1" t="s">
        <v>16</v>
      </c>
      <c r="E1320">
        <v>3</v>
      </c>
      <c r="F1320" s="4">
        <v>1124.28</v>
      </c>
      <c r="G1320" s="3">
        <v>0</v>
      </c>
      <c r="H1320" s="4">
        <v>313.35000000000002</v>
      </c>
    </row>
    <row r="1321" spans="1:8" x14ac:dyDescent="0.3">
      <c r="A1321" s="1" t="s">
        <v>1627</v>
      </c>
      <c r="B1321" s="2">
        <v>44906</v>
      </c>
      <c r="C1321" s="1" t="s">
        <v>647</v>
      </c>
      <c r="D1321" s="1" t="s">
        <v>364</v>
      </c>
      <c r="E1321">
        <v>2</v>
      </c>
      <c r="F1321" s="4">
        <v>636.70000000000005</v>
      </c>
      <c r="G1321" s="3">
        <v>0</v>
      </c>
      <c r="H1321" s="4">
        <v>85.22</v>
      </c>
    </row>
    <row r="1322" spans="1:8" x14ac:dyDescent="0.3">
      <c r="A1322" s="1" t="s">
        <v>1628</v>
      </c>
      <c r="B1322" s="2">
        <v>45115</v>
      </c>
      <c r="C1322" s="1" t="s">
        <v>1143</v>
      </c>
      <c r="D1322" s="1" t="s">
        <v>10</v>
      </c>
      <c r="E1322">
        <v>2</v>
      </c>
      <c r="F1322" s="4">
        <v>907.93</v>
      </c>
      <c r="G1322" s="3">
        <v>0.1</v>
      </c>
      <c r="H1322" s="4">
        <v>261.54000000000002</v>
      </c>
    </row>
    <row r="1323" spans="1:8" x14ac:dyDescent="0.3">
      <c r="A1323" s="1" t="s">
        <v>1629</v>
      </c>
      <c r="B1323" s="2">
        <v>44974</v>
      </c>
      <c r="C1323" s="1" t="s">
        <v>406</v>
      </c>
      <c r="D1323" s="1" t="s">
        <v>89</v>
      </c>
      <c r="E1323">
        <v>3</v>
      </c>
      <c r="F1323" s="4">
        <v>171.39</v>
      </c>
      <c r="G1323" s="3">
        <v>0.1</v>
      </c>
      <c r="H1323" s="4">
        <v>31.41</v>
      </c>
    </row>
    <row r="1324" spans="1:8" x14ac:dyDescent="0.3">
      <c r="A1324" s="1" t="s">
        <v>1630</v>
      </c>
      <c r="B1324" s="2">
        <v>44706</v>
      </c>
      <c r="C1324" s="1" t="s">
        <v>115</v>
      </c>
      <c r="D1324" s="1" t="s">
        <v>502</v>
      </c>
      <c r="E1324">
        <v>5</v>
      </c>
      <c r="F1324" s="4">
        <v>342.95</v>
      </c>
      <c r="G1324" s="3">
        <v>0</v>
      </c>
      <c r="H1324" s="4">
        <v>71.290000000000006</v>
      </c>
    </row>
    <row r="1325" spans="1:8" x14ac:dyDescent="0.3">
      <c r="A1325" s="1" t="s">
        <v>1631</v>
      </c>
      <c r="B1325" s="2">
        <v>45238</v>
      </c>
      <c r="C1325" s="1" t="s">
        <v>449</v>
      </c>
      <c r="D1325" s="1" t="s">
        <v>22</v>
      </c>
      <c r="E1325">
        <v>5</v>
      </c>
      <c r="F1325" s="4">
        <v>1554.54</v>
      </c>
      <c r="G1325" s="3">
        <v>0.3</v>
      </c>
      <c r="H1325" s="4">
        <v>288.73</v>
      </c>
    </row>
    <row r="1326" spans="1:8" x14ac:dyDescent="0.3">
      <c r="A1326" s="1" t="s">
        <v>1632</v>
      </c>
      <c r="B1326" s="2">
        <v>45443</v>
      </c>
      <c r="C1326" s="1" t="s">
        <v>231</v>
      </c>
      <c r="D1326" s="1" t="s">
        <v>83</v>
      </c>
      <c r="E1326">
        <v>2</v>
      </c>
      <c r="F1326" s="4">
        <v>100.02</v>
      </c>
      <c r="G1326" s="3">
        <v>0.1</v>
      </c>
      <c r="H1326" s="4">
        <v>8.24</v>
      </c>
    </row>
    <row r="1327" spans="1:8" x14ac:dyDescent="0.3">
      <c r="A1327" s="1" t="s">
        <v>1633</v>
      </c>
      <c r="B1327" s="2">
        <v>45386</v>
      </c>
      <c r="C1327" s="1" t="s">
        <v>118</v>
      </c>
      <c r="D1327" s="1" t="s">
        <v>283</v>
      </c>
      <c r="E1327">
        <v>3</v>
      </c>
      <c r="F1327" s="4">
        <v>891.48</v>
      </c>
      <c r="G1327" s="3">
        <v>0.3</v>
      </c>
      <c r="H1327" s="4">
        <v>128.33000000000001</v>
      </c>
    </row>
    <row r="1328" spans="1:8" x14ac:dyDescent="0.3">
      <c r="A1328" s="1" t="s">
        <v>1634</v>
      </c>
      <c r="B1328" s="2">
        <v>44772</v>
      </c>
      <c r="C1328" s="1" t="s">
        <v>192</v>
      </c>
      <c r="D1328" s="1" t="s">
        <v>147</v>
      </c>
      <c r="E1328">
        <v>3</v>
      </c>
      <c r="F1328" s="4">
        <v>1092.77</v>
      </c>
      <c r="G1328" s="3">
        <v>0.2</v>
      </c>
      <c r="H1328" s="4">
        <v>81.72</v>
      </c>
    </row>
    <row r="1329" spans="1:8" x14ac:dyDescent="0.3">
      <c r="A1329" s="1" t="s">
        <v>1635</v>
      </c>
      <c r="B1329" s="2">
        <v>44773</v>
      </c>
      <c r="C1329" s="1" t="s">
        <v>150</v>
      </c>
      <c r="D1329" s="1" t="s">
        <v>278</v>
      </c>
      <c r="E1329">
        <v>4</v>
      </c>
      <c r="F1329" s="4">
        <v>203.81</v>
      </c>
      <c r="G1329" s="3">
        <v>0.3</v>
      </c>
      <c r="H1329" s="4">
        <v>41.93</v>
      </c>
    </row>
    <row r="1330" spans="1:8" x14ac:dyDescent="0.3">
      <c r="A1330" s="1" t="s">
        <v>1636</v>
      </c>
      <c r="B1330" s="2">
        <v>44976</v>
      </c>
      <c r="C1330" s="1" t="s">
        <v>228</v>
      </c>
      <c r="D1330" s="1" t="s">
        <v>502</v>
      </c>
      <c r="E1330">
        <v>5</v>
      </c>
      <c r="F1330" s="4">
        <v>1948.85</v>
      </c>
      <c r="G1330" s="3">
        <v>0</v>
      </c>
      <c r="H1330" s="4">
        <v>315.17</v>
      </c>
    </row>
    <row r="1331" spans="1:8" x14ac:dyDescent="0.3">
      <c r="A1331" s="1" t="s">
        <v>1637</v>
      </c>
      <c r="B1331" s="2">
        <v>45132</v>
      </c>
      <c r="C1331" s="1" t="s">
        <v>238</v>
      </c>
      <c r="D1331" s="1" t="s">
        <v>226</v>
      </c>
      <c r="E1331">
        <v>1</v>
      </c>
      <c r="F1331" s="4">
        <v>529.64</v>
      </c>
      <c r="G1331" s="3">
        <v>0.2</v>
      </c>
      <c r="H1331" s="4">
        <v>129.49</v>
      </c>
    </row>
    <row r="1332" spans="1:8" x14ac:dyDescent="0.3">
      <c r="A1332" s="1" t="s">
        <v>1638</v>
      </c>
      <c r="B1332" s="2">
        <v>44732</v>
      </c>
      <c r="C1332" s="1" t="s">
        <v>280</v>
      </c>
      <c r="D1332" s="1" t="s">
        <v>451</v>
      </c>
      <c r="E1332">
        <v>5</v>
      </c>
      <c r="F1332" s="4">
        <v>677.98</v>
      </c>
      <c r="G1332" s="3">
        <v>0.1</v>
      </c>
      <c r="H1332" s="4">
        <v>71.27</v>
      </c>
    </row>
    <row r="1333" spans="1:8" x14ac:dyDescent="0.3">
      <c r="A1333" s="1" t="s">
        <v>1639</v>
      </c>
      <c r="B1333" s="2">
        <v>44803</v>
      </c>
      <c r="C1333" s="1" t="s">
        <v>53</v>
      </c>
      <c r="D1333" s="1" t="s">
        <v>294</v>
      </c>
      <c r="E1333">
        <v>5</v>
      </c>
      <c r="F1333" s="4">
        <v>677.49</v>
      </c>
      <c r="G1333" s="3">
        <v>0.1</v>
      </c>
      <c r="H1333" s="4">
        <v>61.75</v>
      </c>
    </row>
    <row r="1334" spans="1:8" x14ac:dyDescent="0.3">
      <c r="A1334" s="1" t="s">
        <v>1640</v>
      </c>
      <c r="B1334" s="2">
        <v>44666</v>
      </c>
      <c r="C1334" s="1" t="s">
        <v>325</v>
      </c>
      <c r="D1334" s="1" t="s">
        <v>170</v>
      </c>
      <c r="E1334">
        <v>4</v>
      </c>
      <c r="F1334" s="4">
        <v>537.79</v>
      </c>
      <c r="G1334" s="3">
        <v>0.2</v>
      </c>
      <c r="H1334" s="4">
        <v>81.52</v>
      </c>
    </row>
    <row r="1335" spans="1:8" x14ac:dyDescent="0.3">
      <c r="A1335" s="1" t="s">
        <v>1641</v>
      </c>
      <c r="B1335" s="2">
        <v>44834</v>
      </c>
      <c r="C1335" s="1" t="s">
        <v>300</v>
      </c>
      <c r="D1335" s="1" t="s">
        <v>364</v>
      </c>
      <c r="E1335">
        <v>1</v>
      </c>
      <c r="F1335" s="4">
        <v>102.8</v>
      </c>
      <c r="G1335" s="3">
        <v>0.3</v>
      </c>
      <c r="H1335" s="4">
        <v>28.95</v>
      </c>
    </row>
    <row r="1336" spans="1:8" x14ac:dyDescent="0.3">
      <c r="A1336" s="1" t="s">
        <v>1642</v>
      </c>
      <c r="B1336" s="2">
        <v>44860</v>
      </c>
      <c r="C1336" s="1" t="s">
        <v>179</v>
      </c>
      <c r="D1336" s="1" t="s">
        <v>263</v>
      </c>
      <c r="E1336">
        <v>4</v>
      </c>
      <c r="F1336" s="4">
        <v>1485.76</v>
      </c>
      <c r="G1336" s="3">
        <v>0.1</v>
      </c>
      <c r="H1336" s="4">
        <v>338.17</v>
      </c>
    </row>
    <row r="1337" spans="1:8" x14ac:dyDescent="0.3">
      <c r="A1337" s="1" t="s">
        <v>1643</v>
      </c>
      <c r="B1337" s="2">
        <v>44681</v>
      </c>
      <c r="C1337" s="1" t="s">
        <v>610</v>
      </c>
      <c r="D1337" s="1" t="s">
        <v>19</v>
      </c>
      <c r="E1337">
        <v>1</v>
      </c>
      <c r="F1337" s="4">
        <v>1937.01</v>
      </c>
      <c r="G1337" s="3">
        <v>0</v>
      </c>
      <c r="H1337" s="4">
        <v>299.72000000000003</v>
      </c>
    </row>
    <row r="1338" spans="1:8" x14ac:dyDescent="0.3">
      <c r="A1338" s="1" t="s">
        <v>1644</v>
      </c>
      <c r="B1338" s="2">
        <v>45362</v>
      </c>
      <c r="C1338" s="1" t="s">
        <v>729</v>
      </c>
      <c r="D1338" s="1" t="s">
        <v>161</v>
      </c>
      <c r="E1338">
        <v>2</v>
      </c>
      <c r="F1338" s="4">
        <v>526.16</v>
      </c>
      <c r="G1338" s="3">
        <v>0.2</v>
      </c>
      <c r="H1338" s="4">
        <v>94.35</v>
      </c>
    </row>
    <row r="1339" spans="1:8" x14ac:dyDescent="0.3">
      <c r="A1339" s="1" t="s">
        <v>1645</v>
      </c>
      <c r="B1339" s="2">
        <v>44943</v>
      </c>
      <c r="C1339" s="1" t="s">
        <v>74</v>
      </c>
      <c r="D1339" s="1" t="s">
        <v>64</v>
      </c>
      <c r="E1339">
        <v>1</v>
      </c>
      <c r="F1339" s="4">
        <v>1359.79</v>
      </c>
      <c r="G1339" s="3">
        <v>0</v>
      </c>
      <c r="H1339" s="4">
        <v>96.62</v>
      </c>
    </row>
    <row r="1340" spans="1:8" x14ac:dyDescent="0.3">
      <c r="A1340" s="1" t="s">
        <v>1646</v>
      </c>
      <c r="B1340" s="2">
        <v>45097</v>
      </c>
      <c r="C1340" s="1" t="s">
        <v>172</v>
      </c>
      <c r="D1340" s="1" t="s">
        <v>163</v>
      </c>
      <c r="E1340">
        <v>4</v>
      </c>
      <c r="F1340" s="4">
        <v>1509.6</v>
      </c>
      <c r="G1340" s="3">
        <v>0.2</v>
      </c>
      <c r="H1340" s="4">
        <v>447.06</v>
      </c>
    </row>
    <row r="1341" spans="1:8" x14ac:dyDescent="0.3">
      <c r="A1341" s="1" t="s">
        <v>1647</v>
      </c>
      <c r="B1341" s="2">
        <v>44617</v>
      </c>
      <c r="C1341" s="1" t="s">
        <v>657</v>
      </c>
      <c r="D1341" s="1" t="s">
        <v>64</v>
      </c>
      <c r="E1341">
        <v>5</v>
      </c>
      <c r="F1341" s="4">
        <v>1712.01</v>
      </c>
      <c r="G1341" s="3">
        <v>0.1</v>
      </c>
      <c r="H1341" s="4">
        <v>370.82</v>
      </c>
    </row>
    <row r="1342" spans="1:8" x14ac:dyDescent="0.3">
      <c r="A1342" s="1" t="s">
        <v>1648</v>
      </c>
      <c r="B1342" s="2">
        <v>45090</v>
      </c>
      <c r="C1342" s="1" t="s">
        <v>542</v>
      </c>
      <c r="D1342" s="1" t="s">
        <v>757</v>
      </c>
      <c r="E1342">
        <v>1</v>
      </c>
      <c r="F1342" s="4">
        <v>903</v>
      </c>
      <c r="G1342" s="3">
        <v>0.3</v>
      </c>
      <c r="H1342" s="4">
        <v>109.58</v>
      </c>
    </row>
    <row r="1343" spans="1:8" x14ac:dyDescent="0.3">
      <c r="A1343" s="1" t="s">
        <v>1649</v>
      </c>
      <c r="B1343" s="2">
        <v>45154</v>
      </c>
      <c r="C1343" s="1" t="s">
        <v>673</v>
      </c>
      <c r="D1343" s="1" t="s">
        <v>283</v>
      </c>
      <c r="E1343">
        <v>1</v>
      </c>
      <c r="F1343" s="4">
        <v>675.57</v>
      </c>
      <c r="G1343" s="3">
        <v>0.2</v>
      </c>
      <c r="H1343" s="4">
        <v>132.72</v>
      </c>
    </row>
    <row r="1344" spans="1:8" x14ac:dyDescent="0.3">
      <c r="A1344" s="1" t="s">
        <v>1650</v>
      </c>
      <c r="B1344" s="2">
        <v>44831</v>
      </c>
      <c r="C1344" s="1" t="s">
        <v>53</v>
      </c>
      <c r="D1344" s="1" t="s">
        <v>130</v>
      </c>
      <c r="E1344">
        <v>3</v>
      </c>
      <c r="F1344" s="4">
        <v>718.06</v>
      </c>
      <c r="G1344" s="3">
        <v>0.2</v>
      </c>
      <c r="H1344" s="4">
        <v>55.56</v>
      </c>
    </row>
    <row r="1345" spans="1:8" x14ac:dyDescent="0.3">
      <c r="A1345" s="1" t="s">
        <v>1651</v>
      </c>
      <c r="B1345" s="2">
        <v>44964</v>
      </c>
      <c r="C1345" s="1" t="s">
        <v>160</v>
      </c>
      <c r="D1345" s="1" t="s">
        <v>89</v>
      </c>
      <c r="E1345">
        <v>5</v>
      </c>
      <c r="F1345" s="4">
        <v>1453.98</v>
      </c>
      <c r="G1345" s="3">
        <v>0</v>
      </c>
      <c r="H1345" s="4">
        <v>423.78</v>
      </c>
    </row>
    <row r="1346" spans="1:8" x14ac:dyDescent="0.3">
      <c r="A1346" s="1" t="s">
        <v>1652</v>
      </c>
      <c r="B1346" s="2">
        <v>45031</v>
      </c>
      <c r="C1346" s="1" t="s">
        <v>637</v>
      </c>
      <c r="D1346" s="1" t="s">
        <v>201</v>
      </c>
      <c r="E1346">
        <v>2</v>
      </c>
      <c r="F1346" s="4">
        <v>1651.88</v>
      </c>
      <c r="G1346" s="3">
        <v>0.1</v>
      </c>
      <c r="H1346" s="4">
        <v>154.77000000000001</v>
      </c>
    </row>
    <row r="1347" spans="1:8" x14ac:dyDescent="0.3">
      <c r="A1347" s="1" t="s">
        <v>1653</v>
      </c>
      <c r="B1347" s="2">
        <v>45407</v>
      </c>
      <c r="C1347" s="1" t="s">
        <v>282</v>
      </c>
      <c r="D1347" s="1" t="s">
        <v>40</v>
      </c>
      <c r="E1347">
        <v>4</v>
      </c>
      <c r="F1347" s="4">
        <v>445.07</v>
      </c>
      <c r="G1347" s="3">
        <v>0</v>
      </c>
      <c r="H1347" s="4">
        <v>94.36</v>
      </c>
    </row>
    <row r="1348" spans="1:8" x14ac:dyDescent="0.3">
      <c r="A1348" s="1" t="s">
        <v>1654</v>
      </c>
      <c r="B1348" s="2">
        <v>44943</v>
      </c>
      <c r="C1348" s="1" t="s">
        <v>402</v>
      </c>
      <c r="D1348" s="1" t="s">
        <v>226</v>
      </c>
      <c r="E1348">
        <v>2</v>
      </c>
      <c r="F1348" s="4">
        <v>804.79</v>
      </c>
      <c r="G1348" s="3">
        <v>0.1</v>
      </c>
      <c r="H1348" s="4">
        <v>89.62</v>
      </c>
    </row>
    <row r="1349" spans="1:8" x14ac:dyDescent="0.3">
      <c r="A1349" s="1" t="s">
        <v>1655</v>
      </c>
      <c r="B1349" s="2">
        <v>44896</v>
      </c>
      <c r="C1349" s="1" t="s">
        <v>510</v>
      </c>
      <c r="D1349" s="1" t="s">
        <v>45</v>
      </c>
      <c r="E1349">
        <v>5</v>
      </c>
      <c r="F1349" s="4">
        <v>1813.69</v>
      </c>
      <c r="G1349" s="3">
        <v>0</v>
      </c>
      <c r="H1349" s="4">
        <v>416.04</v>
      </c>
    </row>
    <row r="1350" spans="1:8" x14ac:dyDescent="0.3">
      <c r="A1350" s="1" t="s">
        <v>1656</v>
      </c>
      <c r="B1350" s="2">
        <v>44968</v>
      </c>
      <c r="C1350" s="1" t="s">
        <v>422</v>
      </c>
      <c r="D1350" s="1" t="s">
        <v>502</v>
      </c>
      <c r="E1350">
        <v>1</v>
      </c>
      <c r="F1350" s="4">
        <v>1632.72</v>
      </c>
      <c r="G1350" s="3">
        <v>0.2</v>
      </c>
      <c r="H1350" s="4">
        <v>398.72</v>
      </c>
    </row>
    <row r="1351" spans="1:8" x14ac:dyDescent="0.3">
      <c r="A1351" s="1" t="s">
        <v>1657</v>
      </c>
      <c r="B1351" s="2">
        <v>44615</v>
      </c>
      <c r="C1351" s="1" t="s">
        <v>233</v>
      </c>
      <c r="D1351" s="1" t="s">
        <v>296</v>
      </c>
      <c r="E1351">
        <v>1</v>
      </c>
      <c r="F1351" s="4">
        <v>1971.23</v>
      </c>
      <c r="G1351" s="3">
        <v>0</v>
      </c>
      <c r="H1351" s="4">
        <v>430.43</v>
      </c>
    </row>
    <row r="1352" spans="1:8" x14ac:dyDescent="0.3">
      <c r="A1352" s="1" t="s">
        <v>1658</v>
      </c>
      <c r="B1352" s="2">
        <v>44979</v>
      </c>
      <c r="C1352" s="1" t="s">
        <v>980</v>
      </c>
      <c r="D1352" s="1" t="s">
        <v>28</v>
      </c>
      <c r="E1352">
        <v>5</v>
      </c>
      <c r="F1352" s="4">
        <v>1533.07</v>
      </c>
      <c r="G1352" s="3">
        <v>0.3</v>
      </c>
      <c r="H1352" s="4">
        <v>312.17</v>
      </c>
    </row>
    <row r="1353" spans="1:8" x14ac:dyDescent="0.3">
      <c r="A1353" s="1" t="s">
        <v>1659</v>
      </c>
      <c r="B1353" s="2">
        <v>45053</v>
      </c>
      <c r="C1353" s="1" t="s">
        <v>176</v>
      </c>
      <c r="D1353" s="1" t="s">
        <v>679</v>
      </c>
      <c r="E1353">
        <v>1</v>
      </c>
      <c r="F1353" s="4">
        <v>847.07</v>
      </c>
      <c r="G1353" s="3">
        <v>0.1</v>
      </c>
      <c r="H1353" s="4">
        <v>231.35</v>
      </c>
    </row>
    <row r="1354" spans="1:8" x14ac:dyDescent="0.3">
      <c r="A1354" s="1" t="s">
        <v>1660</v>
      </c>
      <c r="B1354" s="2">
        <v>44997</v>
      </c>
      <c r="C1354" s="1" t="s">
        <v>946</v>
      </c>
      <c r="D1354" s="1" t="s">
        <v>211</v>
      </c>
      <c r="E1354">
        <v>1</v>
      </c>
      <c r="F1354" s="4">
        <v>1222.21</v>
      </c>
      <c r="G1354" s="3">
        <v>0.1</v>
      </c>
      <c r="H1354" s="4">
        <v>85.14</v>
      </c>
    </row>
    <row r="1355" spans="1:8" x14ac:dyDescent="0.3">
      <c r="A1355" s="1" t="s">
        <v>1661</v>
      </c>
      <c r="B1355" s="2">
        <v>44923</v>
      </c>
      <c r="C1355" s="1" t="s">
        <v>287</v>
      </c>
      <c r="D1355" s="1" t="s">
        <v>186</v>
      </c>
      <c r="E1355">
        <v>1</v>
      </c>
      <c r="F1355" s="4">
        <v>1355.93</v>
      </c>
      <c r="G1355" s="3">
        <v>0.2</v>
      </c>
      <c r="H1355" s="4">
        <v>179.97</v>
      </c>
    </row>
    <row r="1356" spans="1:8" x14ac:dyDescent="0.3">
      <c r="A1356" s="1" t="s">
        <v>1662</v>
      </c>
      <c r="B1356" s="2">
        <v>45061</v>
      </c>
      <c r="C1356" s="1" t="s">
        <v>491</v>
      </c>
      <c r="D1356" s="1" t="s">
        <v>397</v>
      </c>
      <c r="E1356">
        <v>4</v>
      </c>
      <c r="F1356" s="4">
        <v>249.07</v>
      </c>
      <c r="G1356" s="3">
        <v>0.1</v>
      </c>
      <c r="H1356" s="4">
        <v>27.91</v>
      </c>
    </row>
    <row r="1357" spans="1:8" x14ac:dyDescent="0.3">
      <c r="A1357" s="1" t="s">
        <v>1663</v>
      </c>
      <c r="B1357" s="2">
        <v>45311</v>
      </c>
      <c r="C1357" s="1" t="s">
        <v>412</v>
      </c>
      <c r="D1357" s="1" t="s">
        <v>603</v>
      </c>
      <c r="E1357">
        <v>4</v>
      </c>
      <c r="F1357" s="4">
        <v>1134.54</v>
      </c>
      <c r="G1357" s="3">
        <v>0.3</v>
      </c>
      <c r="H1357" s="4">
        <v>336.96</v>
      </c>
    </row>
    <row r="1358" spans="1:8" x14ac:dyDescent="0.3">
      <c r="A1358" s="1" t="s">
        <v>1664</v>
      </c>
      <c r="B1358" s="2">
        <v>45205</v>
      </c>
      <c r="C1358" s="1" t="s">
        <v>336</v>
      </c>
      <c r="D1358" s="1" t="s">
        <v>132</v>
      </c>
      <c r="E1358">
        <v>3</v>
      </c>
      <c r="F1358" s="4">
        <v>1447.71</v>
      </c>
      <c r="G1358" s="3">
        <v>0</v>
      </c>
      <c r="H1358" s="4">
        <v>213.32</v>
      </c>
    </row>
    <row r="1359" spans="1:8" x14ac:dyDescent="0.3">
      <c r="A1359" s="1" t="s">
        <v>1665</v>
      </c>
      <c r="B1359" s="2">
        <v>45237</v>
      </c>
      <c r="C1359" s="1" t="s">
        <v>290</v>
      </c>
      <c r="D1359" s="1" t="s">
        <v>40</v>
      </c>
      <c r="E1359">
        <v>2</v>
      </c>
      <c r="F1359" s="4">
        <v>417.91</v>
      </c>
      <c r="G1359" s="3">
        <v>0.2</v>
      </c>
      <c r="H1359" s="4">
        <v>97.44</v>
      </c>
    </row>
    <row r="1360" spans="1:8" x14ac:dyDescent="0.3">
      <c r="A1360" s="1" t="s">
        <v>1666</v>
      </c>
      <c r="B1360" s="2">
        <v>45244</v>
      </c>
      <c r="C1360" s="1" t="s">
        <v>325</v>
      </c>
      <c r="D1360" s="1" t="s">
        <v>242</v>
      </c>
      <c r="E1360">
        <v>5</v>
      </c>
      <c r="F1360" s="4">
        <v>1583.2</v>
      </c>
      <c r="G1360" s="3">
        <v>0.3</v>
      </c>
      <c r="H1360" s="4">
        <v>350.17</v>
      </c>
    </row>
    <row r="1361" spans="1:8" x14ac:dyDescent="0.3">
      <c r="A1361" s="1" t="s">
        <v>1667</v>
      </c>
      <c r="B1361" s="2">
        <v>44648</v>
      </c>
      <c r="C1361" s="1" t="s">
        <v>198</v>
      </c>
      <c r="D1361" s="1" t="s">
        <v>309</v>
      </c>
      <c r="E1361">
        <v>5</v>
      </c>
      <c r="F1361" s="4">
        <v>1209.17</v>
      </c>
      <c r="G1361" s="3">
        <v>0.1</v>
      </c>
      <c r="H1361" s="4">
        <v>124.57</v>
      </c>
    </row>
    <row r="1362" spans="1:8" x14ac:dyDescent="0.3">
      <c r="A1362" s="1" t="s">
        <v>1668</v>
      </c>
      <c r="B1362" s="2">
        <v>45447</v>
      </c>
      <c r="C1362" s="1" t="s">
        <v>380</v>
      </c>
      <c r="D1362" s="1" t="s">
        <v>253</v>
      </c>
      <c r="E1362">
        <v>5</v>
      </c>
      <c r="F1362" s="4">
        <v>1909.22</v>
      </c>
      <c r="G1362" s="3">
        <v>0.1</v>
      </c>
      <c r="H1362" s="4">
        <v>209.54</v>
      </c>
    </row>
    <row r="1363" spans="1:8" x14ac:dyDescent="0.3">
      <c r="A1363" s="1" t="s">
        <v>1669</v>
      </c>
      <c r="B1363" s="2">
        <v>44695</v>
      </c>
      <c r="C1363" s="1" t="s">
        <v>260</v>
      </c>
      <c r="D1363" s="1" t="s">
        <v>364</v>
      </c>
      <c r="E1363">
        <v>3</v>
      </c>
      <c r="F1363" s="4">
        <v>180.6</v>
      </c>
      <c r="G1363" s="3">
        <v>0.3</v>
      </c>
      <c r="H1363" s="4">
        <v>21.73</v>
      </c>
    </row>
    <row r="1364" spans="1:8" x14ac:dyDescent="0.3">
      <c r="A1364" s="1" t="s">
        <v>1670</v>
      </c>
      <c r="B1364" s="2">
        <v>45083</v>
      </c>
      <c r="C1364" s="1" t="s">
        <v>15</v>
      </c>
      <c r="D1364" s="1" t="s">
        <v>221</v>
      </c>
      <c r="E1364">
        <v>4</v>
      </c>
      <c r="F1364" s="4">
        <v>604.12</v>
      </c>
      <c r="G1364" s="3">
        <v>0</v>
      </c>
      <c r="H1364" s="4">
        <v>92.3</v>
      </c>
    </row>
    <row r="1365" spans="1:8" x14ac:dyDescent="0.3">
      <c r="A1365" s="1" t="s">
        <v>1671</v>
      </c>
      <c r="B1365" s="2">
        <v>44758</v>
      </c>
      <c r="C1365" s="1" t="s">
        <v>466</v>
      </c>
      <c r="D1365" s="1" t="s">
        <v>323</v>
      </c>
      <c r="E1365">
        <v>3</v>
      </c>
      <c r="F1365" s="4">
        <v>1242.95</v>
      </c>
      <c r="G1365" s="3">
        <v>0</v>
      </c>
      <c r="H1365" s="4">
        <v>134.96</v>
      </c>
    </row>
    <row r="1366" spans="1:8" x14ac:dyDescent="0.3">
      <c r="A1366" s="1" t="s">
        <v>1672</v>
      </c>
      <c r="B1366" s="2">
        <v>45129</v>
      </c>
      <c r="C1366" s="1" t="s">
        <v>184</v>
      </c>
      <c r="D1366" s="1" t="s">
        <v>278</v>
      </c>
      <c r="E1366">
        <v>5</v>
      </c>
      <c r="F1366" s="4">
        <v>663.46</v>
      </c>
      <c r="G1366" s="3">
        <v>0.2</v>
      </c>
      <c r="H1366" s="4">
        <v>36.43</v>
      </c>
    </row>
    <row r="1367" spans="1:8" x14ac:dyDescent="0.3">
      <c r="A1367" s="1" t="s">
        <v>1673</v>
      </c>
      <c r="B1367" s="2">
        <v>45158</v>
      </c>
      <c r="C1367" s="1" t="s">
        <v>205</v>
      </c>
      <c r="D1367" s="1" t="s">
        <v>209</v>
      </c>
      <c r="E1367">
        <v>2</v>
      </c>
      <c r="F1367" s="4">
        <v>1457.41</v>
      </c>
      <c r="G1367" s="3">
        <v>0.1</v>
      </c>
      <c r="H1367" s="4">
        <v>393.28</v>
      </c>
    </row>
    <row r="1368" spans="1:8" x14ac:dyDescent="0.3">
      <c r="A1368" s="1" t="s">
        <v>1674</v>
      </c>
      <c r="B1368" s="2">
        <v>44963</v>
      </c>
      <c r="C1368" s="1" t="s">
        <v>30</v>
      </c>
      <c r="D1368" s="1" t="s">
        <v>269</v>
      </c>
      <c r="E1368">
        <v>1</v>
      </c>
      <c r="F1368" s="4">
        <v>1542.11</v>
      </c>
      <c r="G1368" s="3">
        <v>0.3</v>
      </c>
      <c r="H1368" s="4">
        <v>449.37</v>
      </c>
    </row>
    <row r="1369" spans="1:8" x14ac:dyDescent="0.3">
      <c r="A1369" s="1" t="s">
        <v>1675</v>
      </c>
      <c r="B1369" s="2">
        <v>44726</v>
      </c>
      <c r="C1369" s="1" t="s">
        <v>542</v>
      </c>
      <c r="D1369" s="1" t="s">
        <v>369</v>
      </c>
      <c r="E1369">
        <v>4</v>
      </c>
      <c r="F1369" s="4">
        <v>294.77999999999997</v>
      </c>
      <c r="G1369" s="3">
        <v>0</v>
      </c>
      <c r="H1369" s="4">
        <v>39.909999999999997</v>
      </c>
    </row>
    <row r="1370" spans="1:8" x14ac:dyDescent="0.3">
      <c r="A1370" s="1" t="s">
        <v>1676</v>
      </c>
      <c r="B1370" s="2">
        <v>44804</v>
      </c>
      <c r="C1370" s="1" t="s">
        <v>160</v>
      </c>
      <c r="D1370" s="1" t="s">
        <v>296</v>
      </c>
      <c r="E1370">
        <v>4</v>
      </c>
      <c r="F1370" s="4">
        <v>1076.32</v>
      </c>
      <c r="G1370" s="3">
        <v>0.2</v>
      </c>
      <c r="H1370" s="4">
        <v>144.9</v>
      </c>
    </row>
    <row r="1371" spans="1:8" x14ac:dyDescent="0.3">
      <c r="A1371" s="1" t="s">
        <v>1677</v>
      </c>
      <c r="B1371" s="2">
        <v>45384</v>
      </c>
      <c r="C1371" s="1" t="s">
        <v>473</v>
      </c>
      <c r="D1371" s="1" t="s">
        <v>309</v>
      </c>
      <c r="E1371">
        <v>3</v>
      </c>
      <c r="F1371" s="4">
        <v>1066.8900000000001</v>
      </c>
      <c r="G1371" s="3">
        <v>0.1</v>
      </c>
      <c r="H1371" s="4">
        <v>55.24</v>
      </c>
    </row>
    <row r="1372" spans="1:8" x14ac:dyDescent="0.3">
      <c r="A1372" s="1" t="s">
        <v>1678</v>
      </c>
      <c r="B1372" s="2">
        <v>45444</v>
      </c>
      <c r="C1372" s="1" t="s">
        <v>69</v>
      </c>
      <c r="D1372" s="1" t="s">
        <v>170</v>
      </c>
      <c r="E1372">
        <v>4</v>
      </c>
      <c r="F1372" s="4">
        <v>801.63</v>
      </c>
      <c r="G1372" s="3">
        <v>0.1</v>
      </c>
      <c r="H1372" s="4">
        <v>176.41</v>
      </c>
    </row>
    <row r="1373" spans="1:8" x14ac:dyDescent="0.3">
      <c r="A1373" s="1" t="s">
        <v>1679</v>
      </c>
      <c r="B1373" s="2">
        <v>45044</v>
      </c>
      <c r="C1373" s="1" t="s">
        <v>182</v>
      </c>
      <c r="D1373" s="1" t="s">
        <v>256</v>
      </c>
      <c r="E1373">
        <v>5</v>
      </c>
      <c r="F1373" s="4">
        <v>1872.56</v>
      </c>
      <c r="G1373" s="3">
        <v>0.2</v>
      </c>
      <c r="H1373" s="4">
        <v>480.05</v>
      </c>
    </row>
    <row r="1374" spans="1:8" x14ac:dyDescent="0.3">
      <c r="A1374" s="1" t="s">
        <v>1680</v>
      </c>
      <c r="B1374" s="2">
        <v>44767</v>
      </c>
      <c r="C1374" s="1" t="s">
        <v>129</v>
      </c>
      <c r="D1374" s="1" t="s">
        <v>679</v>
      </c>
      <c r="E1374">
        <v>5</v>
      </c>
      <c r="F1374" s="4">
        <v>1672.26</v>
      </c>
      <c r="G1374" s="3">
        <v>0.2</v>
      </c>
      <c r="H1374" s="4">
        <v>144.9</v>
      </c>
    </row>
    <row r="1375" spans="1:8" x14ac:dyDescent="0.3">
      <c r="A1375" s="1" t="s">
        <v>1681</v>
      </c>
      <c r="B1375" s="2">
        <v>45223</v>
      </c>
      <c r="C1375" s="1" t="s">
        <v>436</v>
      </c>
      <c r="D1375" s="1" t="s">
        <v>86</v>
      </c>
      <c r="E1375">
        <v>3</v>
      </c>
      <c r="F1375" s="4">
        <v>1424.7</v>
      </c>
      <c r="G1375" s="3">
        <v>0</v>
      </c>
      <c r="H1375" s="4">
        <v>128.1</v>
      </c>
    </row>
    <row r="1376" spans="1:8" x14ac:dyDescent="0.3">
      <c r="A1376" s="1" t="s">
        <v>1682</v>
      </c>
      <c r="B1376" s="2">
        <v>44813</v>
      </c>
      <c r="C1376" s="1" t="s">
        <v>388</v>
      </c>
      <c r="D1376" s="1" t="s">
        <v>234</v>
      </c>
      <c r="E1376">
        <v>5</v>
      </c>
      <c r="F1376" s="4">
        <v>1457.22</v>
      </c>
      <c r="G1376" s="3">
        <v>0.3</v>
      </c>
      <c r="H1376" s="4">
        <v>360.69</v>
      </c>
    </row>
    <row r="1377" spans="1:8" x14ac:dyDescent="0.3">
      <c r="A1377" s="1" t="s">
        <v>1683</v>
      </c>
      <c r="B1377" s="2">
        <v>44904</v>
      </c>
      <c r="C1377" s="1" t="s">
        <v>85</v>
      </c>
      <c r="D1377" s="1" t="s">
        <v>97</v>
      </c>
      <c r="E1377">
        <v>2</v>
      </c>
      <c r="F1377" s="4">
        <v>977.26</v>
      </c>
      <c r="G1377" s="3">
        <v>0.1</v>
      </c>
      <c r="H1377" s="4">
        <v>199.43</v>
      </c>
    </row>
    <row r="1378" spans="1:8" x14ac:dyDescent="0.3">
      <c r="A1378" s="1" t="s">
        <v>1684</v>
      </c>
      <c r="B1378" s="2">
        <v>44948</v>
      </c>
      <c r="C1378" s="1" t="s">
        <v>169</v>
      </c>
      <c r="D1378" s="1" t="s">
        <v>455</v>
      </c>
      <c r="E1378">
        <v>3</v>
      </c>
      <c r="F1378" s="4">
        <v>1849.89</v>
      </c>
      <c r="G1378" s="3">
        <v>0.3</v>
      </c>
      <c r="H1378" s="4">
        <v>113.24</v>
      </c>
    </row>
    <row r="1379" spans="1:8" x14ac:dyDescent="0.3">
      <c r="A1379" s="1" t="s">
        <v>1685</v>
      </c>
      <c r="B1379" s="2">
        <v>44710</v>
      </c>
      <c r="C1379" s="1" t="s">
        <v>529</v>
      </c>
      <c r="D1379" s="1" t="s">
        <v>89</v>
      </c>
      <c r="E1379">
        <v>2</v>
      </c>
      <c r="F1379" s="4">
        <v>1419.73</v>
      </c>
      <c r="G1379" s="3">
        <v>0.1</v>
      </c>
      <c r="H1379" s="4">
        <v>291.95</v>
      </c>
    </row>
    <row r="1380" spans="1:8" x14ac:dyDescent="0.3">
      <c r="A1380" s="1" t="s">
        <v>1686</v>
      </c>
      <c r="B1380" s="2">
        <v>45207</v>
      </c>
      <c r="C1380" s="1" t="s">
        <v>605</v>
      </c>
      <c r="D1380" s="1" t="s">
        <v>364</v>
      </c>
      <c r="E1380">
        <v>1</v>
      </c>
      <c r="F1380" s="4">
        <v>1485.06</v>
      </c>
      <c r="G1380" s="3">
        <v>0.1</v>
      </c>
      <c r="H1380" s="4">
        <v>188.94</v>
      </c>
    </row>
    <row r="1381" spans="1:8" x14ac:dyDescent="0.3">
      <c r="A1381" s="1" t="s">
        <v>1687</v>
      </c>
      <c r="B1381" s="2">
        <v>45186</v>
      </c>
      <c r="C1381" s="1" t="s">
        <v>526</v>
      </c>
      <c r="D1381" s="1" t="s">
        <v>170</v>
      </c>
      <c r="E1381">
        <v>2</v>
      </c>
      <c r="F1381" s="4">
        <v>1737.21</v>
      </c>
      <c r="G1381" s="3">
        <v>0.3</v>
      </c>
      <c r="H1381" s="4">
        <v>247</v>
      </c>
    </row>
    <row r="1382" spans="1:8" x14ac:dyDescent="0.3">
      <c r="A1382" s="1" t="s">
        <v>1688</v>
      </c>
      <c r="B1382" s="2">
        <v>45115</v>
      </c>
      <c r="C1382" s="1" t="s">
        <v>417</v>
      </c>
      <c r="D1382" s="1" t="s">
        <v>25</v>
      </c>
      <c r="E1382">
        <v>1</v>
      </c>
      <c r="F1382" s="4">
        <v>620.74</v>
      </c>
      <c r="G1382" s="3">
        <v>0.2</v>
      </c>
      <c r="H1382" s="4">
        <v>150.49</v>
      </c>
    </row>
    <row r="1383" spans="1:8" x14ac:dyDescent="0.3">
      <c r="A1383" s="1" t="s">
        <v>1689</v>
      </c>
      <c r="B1383" s="2">
        <v>45303</v>
      </c>
      <c r="C1383" s="1" t="s">
        <v>344</v>
      </c>
      <c r="D1383" s="1" t="s">
        <v>78</v>
      </c>
      <c r="E1383">
        <v>1</v>
      </c>
      <c r="F1383" s="4">
        <v>1633.43</v>
      </c>
      <c r="G1383" s="3">
        <v>0</v>
      </c>
      <c r="H1383" s="4">
        <v>412.82</v>
      </c>
    </row>
    <row r="1384" spans="1:8" x14ac:dyDescent="0.3">
      <c r="A1384" s="1" t="s">
        <v>1690</v>
      </c>
      <c r="B1384" s="2">
        <v>45186</v>
      </c>
      <c r="C1384" s="1" t="s">
        <v>1043</v>
      </c>
      <c r="D1384" s="1" t="s">
        <v>400</v>
      </c>
      <c r="E1384">
        <v>2</v>
      </c>
      <c r="F1384" s="4">
        <v>470.96</v>
      </c>
      <c r="G1384" s="3">
        <v>0.1</v>
      </c>
      <c r="H1384" s="4">
        <v>70.69</v>
      </c>
    </row>
    <row r="1385" spans="1:8" x14ac:dyDescent="0.3">
      <c r="A1385" s="1" t="s">
        <v>1691</v>
      </c>
      <c r="B1385" s="2">
        <v>45313</v>
      </c>
      <c r="C1385" s="1" t="s">
        <v>282</v>
      </c>
      <c r="D1385" s="1" t="s">
        <v>226</v>
      </c>
      <c r="E1385">
        <v>3</v>
      </c>
      <c r="F1385" s="4">
        <v>756.15</v>
      </c>
      <c r="G1385" s="3">
        <v>0.2</v>
      </c>
      <c r="H1385" s="4">
        <v>216.85</v>
      </c>
    </row>
    <row r="1386" spans="1:8" x14ac:dyDescent="0.3">
      <c r="A1386" s="1" t="s">
        <v>1692</v>
      </c>
      <c r="B1386" s="2">
        <v>44965</v>
      </c>
      <c r="C1386" s="1" t="s">
        <v>744</v>
      </c>
      <c r="D1386" s="1" t="s">
        <v>253</v>
      </c>
      <c r="E1386">
        <v>5</v>
      </c>
      <c r="F1386" s="4">
        <v>737.66</v>
      </c>
      <c r="G1386" s="3">
        <v>0.1</v>
      </c>
      <c r="H1386" s="4">
        <v>111.84</v>
      </c>
    </row>
    <row r="1387" spans="1:8" x14ac:dyDescent="0.3">
      <c r="A1387" s="1" t="s">
        <v>1693</v>
      </c>
      <c r="B1387" s="2">
        <v>44678</v>
      </c>
      <c r="C1387" s="1" t="s">
        <v>332</v>
      </c>
      <c r="D1387" s="1" t="s">
        <v>180</v>
      </c>
      <c r="E1387">
        <v>5</v>
      </c>
      <c r="F1387" s="4">
        <v>1959.2</v>
      </c>
      <c r="G1387" s="3">
        <v>0</v>
      </c>
      <c r="H1387" s="4">
        <v>476.01</v>
      </c>
    </row>
    <row r="1388" spans="1:8" x14ac:dyDescent="0.3">
      <c r="A1388" s="1" t="s">
        <v>1694</v>
      </c>
      <c r="B1388" s="2">
        <v>44970</v>
      </c>
      <c r="C1388" s="1" t="s">
        <v>777</v>
      </c>
      <c r="D1388" s="1" t="s">
        <v>72</v>
      </c>
      <c r="E1388">
        <v>1</v>
      </c>
      <c r="F1388" s="4">
        <v>1727.42</v>
      </c>
      <c r="G1388" s="3">
        <v>0.1</v>
      </c>
      <c r="H1388" s="4">
        <v>295.33999999999997</v>
      </c>
    </row>
    <row r="1389" spans="1:8" x14ac:dyDescent="0.3">
      <c r="A1389" s="1" t="s">
        <v>1695</v>
      </c>
      <c r="B1389" s="2">
        <v>44882</v>
      </c>
      <c r="C1389" s="1" t="s">
        <v>610</v>
      </c>
      <c r="D1389" s="1" t="s">
        <v>188</v>
      </c>
      <c r="E1389">
        <v>1</v>
      </c>
      <c r="F1389" s="4">
        <v>1432.22</v>
      </c>
      <c r="G1389" s="3">
        <v>0</v>
      </c>
      <c r="H1389" s="4">
        <v>392.98</v>
      </c>
    </row>
    <row r="1390" spans="1:8" x14ac:dyDescent="0.3">
      <c r="A1390" s="1" t="s">
        <v>1696</v>
      </c>
      <c r="B1390" s="2">
        <v>44973</v>
      </c>
      <c r="C1390" s="1" t="s">
        <v>420</v>
      </c>
      <c r="D1390" s="1" t="s">
        <v>19</v>
      </c>
      <c r="E1390">
        <v>3</v>
      </c>
      <c r="F1390" s="4">
        <v>1481.41</v>
      </c>
      <c r="G1390" s="3">
        <v>0</v>
      </c>
      <c r="H1390" s="4">
        <v>410.26</v>
      </c>
    </row>
    <row r="1391" spans="1:8" x14ac:dyDescent="0.3">
      <c r="A1391" s="1" t="s">
        <v>1697</v>
      </c>
      <c r="B1391" s="2">
        <v>44876</v>
      </c>
      <c r="C1391" s="1" t="s">
        <v>167</v>
      </c>
      <c r="D1391" s="1" t="s">
        <v>314</v>
      </c>
      <c r="E1391">
        <v>4</v>
      </c>
      <c r="F1391" s="4">
        <v>1167.94</v>
      </c>
      <c r="G1391" s="3">
        <v>0.1</v>
      </c>
      <c r="H1391" s="4">
        <v>83.92</v>
      </c>
    </row>
    <row r="1392" spans="1:8" x14ac:dyDescent="0.3">
      <c r="A1392" s="1" t="s">
        <v>1698</v>
      </c>
      <c r="B1392" s="2">
        <v>44763</v>
      </c>
      <c r="C1392" s="1" t="s">
        <v>203</v>
      </c>
      <c r="D1392" s="1" t="s">
        <v>249</v>
      </c>
      <c r="E1392">
        <v>2</v>
      </c>
      <c r="F1392" s="4">
        <v>1899.47</v>
      </c>
      <c r="G1392" s="3">
        <v>0.1</v>
      </c>
      <c r="H1392" s="4">
        <v>539.67999999999995</v>
      </c>
    </row>
    <row r="1393" spans="1:8" x14ac:dyDescent="0.3">
      <c r="A1393" s="1" t="s">
        <v>1699</v>
      </c>
      <c r="B1393" s="2">
        <v>45311</v>
      </c>
      <c r="C1393" s="1" t="s">
        <v>1093</v>
      </c>
      <c r="D1393" s="1" t="s">
        <v>188</v>
      </c>
      <c r="E1393">
        <v>1</v>
      </c>
      <c r="F1393" s="4">
        <v>1042.8900000000001</v>
      </c>
      <c r="G1393" s="3">
        <v>0</v>
      </c>
      <c r="H1393" s="4">
        <v>267.38</v>
      </c>
    </row>
    <row r="1394" spans="1:8" x14ac:dyDescent="0.3">
      <c r="A1394" s="1" t="s">
        <v>1700</v>
      </c>
      <c r="B1394" s="2">
        <v>45066</v>
      </c>
      <c r="C1394" s="1" t="s">
        <v>744</v>
      </c>
      <c r="D1394" s="1" t="s">
        <v>40</v>
      </c>
      <c r="E1394">
        <v>5</v>
      </c>
      <c r="F1394" s="4">
        <v>822.98</v>
      </c>
      <c r="G1394" s="3">
        <v>0.2</v>
      </c>
      <c r="H1394" s="4">
        <v>203.96</v>
      </c>
    </row>
    <row r="1395" spans="1:8" x14ac:dyDescent="0.3">
      <c r="A1395" s="1" t="s">
        <v>1701</v>
      </c>
      <c r="B1395" s="2">
        <v>45050</v>
      </c>
      <c r="C1395" s="1" t="s">
        <v>165</v>
      </c>
      <c r="D1395" s="1" t="s">
        <v>122</v>
      </c>
      <c r="E1395">
        <v>3</v>
      </c>
      <c r="F1395" s="4">
        <v>409.77</v>
      </c>
      <c r="G1395" s="3">
        <v>0.3</v>
      </c>
      <c r="H1395" s="4">
        <v>41.07</v>
      </c>
    </row>
    <row r="1396" spans="1:8" x14ac:dyDescent="0.3">
      <c r="A1396" s="1" t="s">
        <v>1702</v>
      </c>
      <c r="B1396" s="2">
        <v>45108</v>
      </c>
      <c r="C1396" s="1" t="s">
        <v>69</v>
      </c>
      <c r="D1396" s="1" t="s">
        <v>669</v>
      </c>
      <c r="E1396">
        <v>2</v>
      </c>
      <c r="F1396" s="4">
        <v>1593.79</v>
      </c>
      <c r="G1396" s="3">
        <v>0</v>
      </c>
      <c r="H1396" s="4">
        <v>400.49</v>
      </c>
    </row>
    <row r="1397" spans="1:8" x14ac:dyDescent="0.3">
      <c r="A1397" s="1" t="s">
        <v>1703</v>
      </c>
      <c r="B1397" s="2">
        <v>45188</v>
      </c>
      <c r="C1397" s="1" t="s">
        <v>99</v>
      </c>
      <c r="D1397" s="1" t="s">
        <v>502</v>
      </c>
      <c r="E1397">
        <v>3</v>
      </c>
      <c r="F1397" s="4">
        <v>1495.44</v>
      </c>
      <c r="G1397" s="3">
        <v>0.1</v>
      </c>
      <c r="H1397" s="4">
        <v>392.6</v>
      </c>
    </row>
    <row r="1398" spans="1:8" x14ac:dyDescent="0.3">
      <c r="A1398" s="1" t="s">
        <v>1704</v>
      </c>
      <c r="B1398" s="2">
        <v>44656</v>
      </c>
      <c r="C1398" s="1" t="s">
        <v>9</v>
      </c>
      <c r="D1398" s="1" t="s">
        <v>253</v>
      </c>
      <c r="E1398">
        <v>2</v>
      </c>
      <c r="F1398" s="4">
        <v>830.27</v>
      </c>
      <c r="G1398" s="3">
        <v>0.1</v>
      </c>
      <c r="H1398" s="4">
        <v>101.53</v>
      </c>
    </row>
    <row r="1399" spans="1:8" x14ac:dyDescent="0.3">
      <c r="A1399" s="1" t="s">
        <v>1705</v>
      </c>
      <c r="B1399" s="2">
        <v>45129</v>
      </c>
      <c r="C1399" s="1" t="s">
        <v>246</v>
      </c>
      <c r="D1399" s="1" t="s">
        <v>309</v>
      </c>
      <c r="E1399">
        <v>2</v>
      </c>
      <c r="F1399" s="4">
        <v>147.87</v>
      </c>
      <c r="G1399" s="3">
        <v>0.2</v>
      </c>
      <c r="H1399" s="4">
        <v>42.6</v>
      </c>
    </row>
    <row r="1400" spans="1:8" x14ac:dyDescent="0.3">
      <c r="A1400" s="1" t="s">
        <v>1706</v>
      </c>
      <c r="B1400" s="2">
        <v>44576</v>
      </c>
      <c r="C1400" s="1" t="s">
        <v>334</v>
      </c>
      <c r="D1400" s="1" t="s">
        <v>215</v>
      </c>
      <c r="E1400">
        <v>1</v>
      </c>
      <c r="F1400" s="4">
        <v>1694.09</v>
      </c>
      <c r="G1400" s="3">
        <v>0.3</v>
      </c>
      <c r="H1400" s="4">
        <v>105.82</v>
      </c>
    </row>
    <row r="1401" spans="1:8" x14ac:dyDescent="0.3">
      <c r="A1401" s="1" t="s">
        <v>1707</v>
      </c>
      <c r="B1401" s="2">
        <v>45228</v>
      </c>
      <c r="C1401" s="1" t="s">
        <v>182</v>
      </c>
      <c r="D1401" s="1" t="s">
        <v>13</v>
      </c>
      <c r="E1401">
        <v>3</v>
      </c>
      <c r="F1401" s="4">
        <v>121.69</v>
      </c>
      <c r="G1401" s="3">
        <v>0</v>
      </c>
      <c r="H1401" s="4">
        <v>10.65</v>
      </c>
    </row>
    <row r="1402" spans="1:8" x14ac:dyDescent="0.3">
      <c r="A1402" s="1" t="s">
        <v>1708</v>
      </c>
      <c r="B1402" s="2">
        <v>44875</v>
      </c>
      <c r="C1402" s="1" t="s">
        <v>425</v>
      </c>
      <c r="D1402" s="1" t="s">
        <v>201</v>
      </c>
      <c r="E1402">
        <v>3</v>
      </c>
      <c r="F1402" s="4">
        <v>1437.03</v>
      </c>
      <c r="G1402" s="3">
        <v>0</v>
      </c>
      <c r="H1402" s="4">
        <v>264.98</v>
      </c>
    </row>
    <row r="1403" spans="1:8" x14ac:dyDescent="0.3">
      <c r="A1403" s="1" t="s">
        <v>1709</v>
      </c>
      <c r="B1403" s="2">
        <v>45351</v>
      </c>
      <c r="C1403" s="1" t="s">
        <v>1043</v>
      </c>
      <c r="D1403" s="1" t="s">
        <v>13</v>
      </c>
      <c r="E1403">
        <v>5</v>
      </c>
      <c r="F1403" s="4">
        <v>1943.49</v>
      </c>
      <c r="G1403" s="3">
        <v>0.3</v>
      </c>
      <c r="H1403" s="4">
        <v>376.94</v>
      </c>
    </row>
    <row r="1404" spans="1:8" x14ac:dyDescent="0.3">
      <c r="A1404" s="1" t="s">
        <v>1710</v>
      </c>
      <c r="B1404" s="2">
        <v>44585</v>
      </c>
      <c r="C1404" s="1" t="s">
        <v>94</v>
      </c>
      <c r="D1404" s="1" t="s">
        <v>54</v>
      </c>
      <c r="E1404">
        <v>5</v>
      </c>
      <c r="F1404" s="4">
        <v>931.56</v>
      </c>
      <c r="G1404" s="3">
        <v>0</v>
      </c>
      <c r="H1404" s="4">
        <v>196.83</v>
      </c>
    </row>
    <row r="1405" spans="1:8" x14ac:dyDescent="0.3">
      <c r="A1405" s="1" t="s">
        <v>1711</v>
      </c>
      <c r="B1405" s="2">
        <v>45344</v>
      </c>
      <c r="C1405" s="1" t="s">
        <v>902</v>
      </c>
      <c r="D1405" s="1" t="s">
        <v>48</v>
      </c>
      <c r="E1405">
        <v>1</v>
      </c>
      <c r="F1405" s="4">
        <v>546.45000000000005</v>
      </c>
      <c r="G1405" s="3">
        <v>0.3</v>
      </c>
      <c r="H1405" s="4">
        <v>29.64</v>
      </c>
    </row>
    <row r="1406" spans="1:8" x14ac:dyDescent="0.3">
      <c r="A1406" s="1" t="s">
        <v>1712</v>
      </c>
      <c r="B1406" s="2">
        <v>45104</v>
      </c>
      <c r="C1406" s="1" t="s">
        <v>63</v>
      </c>
      <c r="D1406" s="1" t="s">
        <v>397</v>
      </c>
      <c r="E1406">
        <v>1</v>
      </c>
      <c r="F1406" s="4">
        <v>1439.25</v>
      </c>
      <c r="G1406" s="3">
        <v>0.1</v>
      </c>
      <c r="H1406" s="4">
        <v>417.51</v>
      </c>
    </row>
    <row r="1407" spans="1:8" x14ac:dyDescent="0.3">
      <c r="A1407" s="1" t="s">
        <v>1713</v>
      </c>
      <c r="B1407" s="2">
        <v>45334</v>
      </c>
      <c r="C1407" s="1" t="s">
        <v>350</v>
      </c>
      <c r="D1407" s="1" t="s">
        <v>43</v>
      </c>
      <c r="E1407">
        <v>4</v>
      </c>
      <c r="F1407" s="4">
        <v>1652.54</v>
      </c>
      <c r="G1407" s="3">
        <v>0.3</v>
      </c>
      <c r="H1407" s="4">
        <v>101.05</v>
      </c>
    </row>
    <row r="1408" spans="1:8" x14ac:dyDescent="0.3">
      <c r="A1408" s="1" t="s">
        <v>1714</v>
      </c>
      <c r="B1408" s="2">
        <v>45373</v>
      </c>
      <c r="C1408" s="1" t="s">
        <v>723</v>
      </c>
      <c r="D1408" s="1" t="s">
        <v>34</v>
      </c>
      <c r="E1408">
        <v>5</v>
      </c>
      <c r="F1408" s="4">
        <v>1138.22</v>
      </c>
      <c r="G1408" s="3">
        <v>0</v>
      </c>
      <c r="H1408" s="4">
        <v>97.62</v>
      </c>
    </row>
    <row r="1409" spans="1:8" x14ac:dyDescent="0.3">
      <c r="A1409" s="1" t="s">
        <v>1715</v>
      </c>
      <c r="B1409" s="2">
        <v>44885</v>
      </c>
      <c r="C1409" s="1" t="s">
        <v>192</v>
      </c>
      <c r="D1409" s="1" t="s">
        <v>253</v>
      </c>
      <c r="E1409">
        <v>2</v>
      </c>
      <c r="F1409" s="4">
        <v>1937.37</v>
      </c>
      <c r="G1409" s="3">
        <v>0.3</v>
      </c>
      <c r="H1409" s="4">
        <v>103.66</v>
      </c>
    </row>
    <row r="1410" spans="1:8" x14ac:dyDescent="0.3">
      <c r="A1410" s="1" t="s">
        <v>1716</v>
      </c>
      <c r="B1410" s="2">
        <v>45034</v>
      </c>
      <c r="C1410" s="1" t="s">
        <v>174</v>
      </c>
      <c r="D1410" s="1" t="s">
        <v>51</v>
      </c>
      <c r="E1410">
        <v>3</v>
      </c>
      <c r="F1410" s="4">
        <v>198.17</v>
      </c>
      <c r="G1410" s="3">
        <v>0.2</v>
      </c>
      <c r="H1410" s="4">
        <v>37.99</v>
      </c>
    </row>
    <row r="1411" spans="1:8" x14ac:dyDescent="0.3">
      <c r="A1411" s="1" t="s">
        <v>1717</v>
      </c>
      <c r="B1411" s="2">
        <v>45365</v>
      </c>
      <c r="C1411" s="1" t="s">
        <v>252</v>
      </c>
      <c r="D1411" s="1" t="s">
        <v>400</v>
      </c>
      <c r="E1411">
        <v>1</v>
      </c>
      <c r="F1411" s="4">
        <v>1059.1099999999999</v>
      </c>
      <c r="G1411" s="3">
        <v>0.1</v>
      </c>
      <c r="H1411" s="4">
        <v>299.8</v>
      </c>
    </row>
    <row r="1412" spans="1:8" x14ac:dyDescent="0.3">
      <c r="A1412" s="1" t="s">
        <v>1718</v>
      </c>
      <c r="B1412" s="2">
        <v>44715</v>
      </c>
      <c r="C1412" s="1" t="s">
        <v>113</v>
      </c>
      <c r="D1412" s="1" t="s">
        <v>97</v>
      </c>
      <c r="E1412">
        <v>3</v>
      </c>
      <c r="F1412" s="4">
        <v>1465.06</v>
      </c>
      <c r="G1412" s="3">
        <v>0.1</v>
      </c>
      <c r="H1412" s="4">
        <v>317.17</v>
      </c>
    </row>
    <row r="1413" spans="1:8" x14ac:dyDescent="0.3">
      <c r="A1413" s="1" t="s">
        <v>1719</v>
      </c>
      <c r="B1413" s="2">
        <v>45222</v>
      </c>
      <c r="C1413" s="1" t="s">
        <v>238</v>
      </c>
      <c r="D1413" s="1" t="s">
        <v>400</v>
      </c>
      <c r="E1413">
        <v>3</v>
      </c>
      <c r="F1413" s="4">
        <v>1739.02</v>
      </c>
      <c r="G1413" s="3">
        <v>0.3</v>
      </c>
      <c r="H1413" s="4">
        <v>444.61</v>
      </c>
    </row>
    <row r="1414" spans="1:8" x14ac:dyDescent="0.3">
      <c r="A1414" s="1" t="s">
        <v>1720</v>
      </c>
      <c r="B1414" s="2">
        <v>45032</v>
      </c>
      <c r="C1414" s="1" t="s">
        <v>554</v>
      </c>
      <c r="D1414" s="1" t="s">
        <v>314</v>
      </c>
      <c r="E1414">
        <v>4</v>
      </c>
      <c r="F1414" s="4">
        <v>440.59</v>
      </c>
      <c r="G1414" s="3">
        <v>0</v>
      </c>
      <c r="H1414" s="4">
        <v>23.49</v>
      </c>
    </row>
    <row r="1415" spans="1:8" x14ac:dyDescent="0.3">
      <c r="A1415" s="1" t="s">
        <v>1721</v>
      </c>
      <c r="B1415" s="2">
        <v>45043</v>
      </c>
      <c r="C1415" s="1" t="s">
        <v>723</v>
      </c>
      <c r="D1415" s="1" t="s">
        <v>25</v>
      </c>
      <c r="E1415">
        <v>5</v>
      </c>
      <c r="F1415" s="4">
        <v>1620.01</v>
      </c>
      <c r="G1415" s="3">
        <v>0.2</v>
      </c>
      <c r="H1415" s="4">
        <v>300.52</v>
      </c>
    </row>
    <row r="1416" spans="1:8" x14ac:dyDescent="0.3">
      <c r="A1416" s="1" t="s">
        <v>1722</v>
      </c>
      <c r="B1416" s="2">
        <v>45095</v>
      </c>
      <c r="C1416" s="1" t="s">
        <v>248</v>
      </c>
      <c r="D1416" s="1" t="s">
        <v>67</v>
      </c>
      <c r="E1416">
        <v>1</v>
      </c>
      <c r="F1416" s="4">
        <v>1150.1400000000001</v>
      </c>
      <c r="G1416" s="3">
        <v>0.1</v>
      </c>
      <c r="H1416" s="4">
        <v>189.65</v>
      </c>
    </row>
    <row r="1417" spans="1:8" x14ac:dyDescent="0.3">
      <c r="A1417" s="1" t="s">
        <v>1723</v>
      </c>
      <c r="B1417" s="2">
        <v>44934</v>
      </c>
      <c r="C1417" s="1" t="s">
        <v>328</v>
      </c>
      <c r="D1417" s="1" t="s">
        <v>400</v>
      </c>
      <c r="E1417">
        <v>3</v>
      </c>
      <c r="F1417" s="4">
        <v>853.45</v>
      </c>
      <c r="G1417" s="3">
        <v>0.1</v>
      </c>
      <c r="H1417" s="4">
        <v>149.13</v>
      </c>
    </row>
    <row r="1418" spans="1:8" x14ac:dyDescent="0.3">
      <c r="A1418" s="1" t="s">
        <v>1724</v>
      </c>
      <c r="B1418" s="2">
        <v>45010</v>
      </c>
      <c r="C1418" s="1" t="s">
        <v>198</v>
      </c>
      <c r="D1418" s="1" t="s">
        <v>86</v>
      </c>
      <c r="E1418">
        <v>1</v>
      </c>
      <c r="F1418" s="4">
        <v>350.26</v>
      </c>
      <c r="G1418" s="3">
        <v>0</v>
      </c>
      <c r="H1418" s="4">
        <v>23.84</v>
      </c>
    </row>
    <row r="1419" spans="1:8" x14ac:dyDescent="0.3">
      <c r="A1419" s="1" t="s">
        <v>1725</v>
      </c>
      <c r="B1419" s="2">
        <v>44793</v>
      </c>
      <c r="C1419" s="1" t="s">
        <v>1061</v>
      </c>
      <c r="D1419" s="1" t="s">
        <v>22</v>
      </c>
      <c r="E1419">
        <v>2</v>
      </c>
      <c r="F1419" s="4">
        <v>1744.06</v>
      </c>
      <c r="G1419" s="3">
        <v>0</v>
      </c>
      <c r="H1419" s="4">
        <v>385.63</v>
      </c>
    </row>
    <row r="1420" spans="1:8" x14ac:dyDescent="0.3">
      <c r="A1420" s="1" t="s">
        <v>1726</v>
      </c>
      <c r="B1420" s="2">
        <v>45405</v>
      </c>
      <c r="C1420" s="1" t="s">
        <v>723</v>
      </c>
      <c r="D1420" s="1" t="s">
        <v>147</v>
      </c>
      <c r="E1420">
        <v>4</v>
      </c>
      <c r="F1420" s="4">
        <v>398.82</v>
      </c>
      <c r="G1420" s="3">
        <v>0.2</v>
      </c>
      <c r="H1420" s="4">
        <v>70.11</v>
      </c>
    </row>
    <row r="1421" spans="1:8" x14ac:dyDescent="0.3">
      <c r="A1421" s="1" t="s">
        <v>1727</v>
      </c>
      <c r="B1421" s="2">
        <v>45016</v>
      </c>
      <c r="C1421" s="1" t="s">
        <v>238</v>
      </c>
      <c r="D1421" s="1" t="s">
        <v>341</v>
      </c>
      <c r="E1421">
        <v>2</v>
      </c>
      <c r="F1421" s="4">
        <v>688.6</v>
      </c>
      <c r="G1421" s="3">
        <v>0.3</v>
      </c>
      <c r="H1421" s="4">
        <v>166.15</v>
      </c>
    </row>
    <row r="1422" spans="1:8" x14ac:dyDescent="0.3">
      <c r="A1422" s="1" t="s">
        <v>1728</v>
      </c>
      <c r="B1422" s="2">
        <v>44672</v>
      </c>
      <c r="C1422" s="1" t="s">
        <v>533</v>
      </c>
      <c r="D1422" s="1" t="s">
        <v>679</v>
      </c>
      <c r="E1422">
        <v>1</v>
      </c>
      <c r="F1422" s="4">
        <v>651.09</v>
      </c>
      <c r="G1422" s="3">
        <v>0</v>
      </c>
      <c r="H1422" s="4">
        <v>111.55</v>
      </c>
    </row>
    <row r="1423" spans="1:8" x14ac:dyDescent="0.3">
      <c r="A1423" s="1" t="s">
        <v>1729</v>
      </c>
      <c r="B1423" s="2">
        <v>44900</v>
      </c>
      <c r="C1423" s="1" t="s">
        <v>280</v>
      </c>
      <c r="D1423" s="1" t="s">
        <v>161</v>
      </c>
      <c r="E1423">
        <v>1</v>
      </c>
      <c r="F1423" s="4">
        <v>1755.69</v>
      </c>
      <c r="G1423" s="3">
        <v>0.3</v>
      </c>
      <c r="H1423" s="4">
        <v>153.35</v>
      </c>
    </row>
    <row r="1424" spans="1:8" x14ac:dyDescent="0.3">
      <c r="A1424" s="1" t="s">
        <v>1730</v>
      </c>
      <c r="B1424" s="2">
        <v>45250</v>
      </c>
      <c r="C1424" s="1" t="s">
        <v>1061</v>
      </c>
      <c r="D1424" s="1" t="s">
        <v>177</v>
      </c>
      <c r="E1424">
        <v>5</v>
      </c>
      <c r="F1424" s="4">
        <v>1378.14</v>
      </c>
      <c r="G1424" s="3">
        <v>0.2</v>
      </c>
      <c r="H1424" s="4">
        <v>292.25</v>
      </c>
    </row>
    <row r="1425" spans="1:8" x14ac:dyDescent="0.3">
      <c r="A1425" s="1" t="s">
        <v>1731</v>
      </c>
      <c r="B1425" s="2">
        <v>44918</v>
      </c>
      <c r="C1425" s="1" t="s">
        <v>332</v>
      </c>
      <c r="D1425" s="1" t="s">
        <v>59</v>
      </c>
      <c r="E1425">
        <v>3</v>
      </c>
      <c r="F1425" s="4">
        <v>1613.69</v>
      </c>
      <c r="G1425" s="3">
        <v>0.3</v>
      </c>
      <c r="H1425" s="4">
        <v>150.22999999999999</v>
      </c>
    </row>
    <row r="1426" spans="1:8" x14ac:dyDescent="0.3">
      <c r="A1426" s="1" t="s">
        <v>1732</v>
      </c>
      <c r="B1426" s="2">
        <v>45375</v>
      </c>
      <c r="C1426" s="1" t="s">
        <v>902</v>
      </c>
      <c r="D1426" s="1" t="s">
        <v>218</v>
      </c>
      <c r="E1426">
        <v>3</v>
      </c>
      <c r="F1426" s="4">
        <v>575.89</v>
      </c>
      <c r="G1426" s="3">
        <v>0.1</v>
      </c>
      <c r="H1426" s="4">
        <v>154.4</v>
      </c>
    </row>
    <row r="1427" spans="1:8" x14ac:dyDescent="0.3">
      <c r="A1427" s="1" t="s">
        <v>1733</v>
      </c>
      <c r="B1427" s="2">
        <v>44764</v>
      </c>
      <c r="C1427" s="1" t="s">
        <v>777</v>
      </c>
      <c r="D1427" s="1" t="s">
        <v>51</v>
      </c>
      <c r="E1427">
        <v>2</v>
      </c>
      <c r="F1427" s="4">
        <v>1287.26</v>
      </c>
      <c r="G1427" s="3">
        <v>0.3</v>
      </c>
      <c r="H1427" s="4">
        <v>261.67</v>
      </c>
    </row>
    <row r="1428" spans="1:8" x14ac:dyDescent="0.3">
      <c r="A1428" s="1" t="s">
        <v>1734</v>
      </c>
      <c r="B1428" s="2">
        <v>44570</v>
      </c>
      <c r="C1428" s="1" t="s">
        <v>63</v>
      </c>
      <c r="D1428" s="1" t="s">
        <v>301</v>
      </c>
      <c r="E1428">
        <v>4</v>
      </c>
      <c r="F1428" s="4">
        <v>1186.32</v>
      </c>
      <c r="G1428" s="3">
        <v>0.2</v>
      </c>
      <c r="H1428" s="4">
        <v>105.94</v>
      </c>
    </row>
    <row r="1429" spans="1:8" x14ac:dyDescent="0.3">
      <c r="A1429" s="1" t="s">
        <v>1735</v>
      </c>
      <c r="B1429" s="2">
        <v>44822</v>
      </c>
      <c r="C1429" s="1" t="s">
        <v>94</v>
      </c>
      <c r="D1429" s="1" t="s">
        <v>25</v>
      </c>
      <c r="E1429">
        <v>3</v>
      </c>
      <c r="F1429" s="4">
        <v>1682.38</v>
      </c>
      <c r="G1429" s="3">
        <v>0.2</v>
      </c>
      <c r="H1429" s="4">
        <v>488.87</v>
      </c>
    </row>
    <row r="1430" spans="1:8" x14ac:dyDescent="0.3">
      <c r="A1430" s="1" t="s">
        <v>1736</v>
      </c>
      <c r="B1430" s="2">
        <v>44602</v>
      </c>
      <c r="C1430" s="1" t="s">
        <v>662</v>
      </c>
      <c r="D1430" s="1" t="s">
        <v>253</v>
      </c>
      <c r="E1430">
        <v>5</v>
      </c>
      <c r="F1430" s="4">
        <v>1821.57</v>
      </c>
      <c r="G1430" s="3">
        <v>0.2</v>
      </c>
      <c r="H1430" s="4">
        <v>327.14</v>
      </c>
    </row>
    <row r="1431" spans="1:8" x14ac:dyDescent="0.3">
      <c r="A1431" s="1" t="s">
        <v>1737</v>
      </c>
      <c r="B1431" s="2">
        <v>44668</v>
      </c>
      <c r="C1431" s="1" t="s">
        <v>94</v>
      </c>
      <c r="D1431" s="1" t="s">
        <v>585</v>
      </c>
      <c r="E1431">
        <v>2</v>
      </c>
      <c r="F1431" s="4">
        <v>123.1</v>
      </c>
      <c r="G1431" s="3">
        <v>0.3</v>
      </c>
      <c r="H1431" s="4">
        <v>8.4</v>
      </c>
    </row>
    <row r="1432" spans="1:8" x14ac:dyDescent="0.3">
      <c r="A1432" s="1" t="s">
        <v>1738</v>
      </c>
      <c r="B1432" s="2">
        <v>45174</v>
      </c>
      <c r="C1432" s="1" t="s">
        <v>744</v>
      </c>
      <c r="D1432" s="1" t="s">
        <v>141</v>
      </c>
      <c r="E1432">
        <v>2</v>
      </c>
      <c r="F1432" s="4">
        <v>1380.64</v>
      </c>
      <c r="G1432" s="3">
        <v>0.1</v>
      </c>
      <c r="H1432" s="4">
        <v>285.39</v>
      </c>
    </row>
    <row r="1433" spans="1:8" x14ac:dyDescent="0.3">
      <c r="A1433" s="1" t="s">
        <v>1739</v>
      </c>
      <c r="B1433" s="2">
        <v>44569</v>
      </c>
      <c r="C1433" s="1" t="s">
        <v>673</v>
      </c>
      <c r="D1433" s="1" t="s">
        <v>67</v>
      </c>
      <c r="E1433">
        <v>5</v>
      </c>
      <c r="F1433" s="4">
        <v>198.49</v>
      </c>
      <c r="G1433" s="3">
        <v>0</v>
      </c>
      <c r="H1433" s="4">
        <v>22.49</v>
      </c>
    </row>
    <row r="1434" spans="1:8" x14ac:dyDescent="0.3">
      <c r="A1434" s="1" t="s">
        <v>1740</v>
      </c>
      <c r="B1434" s="2">
        <v>45171</v>
      </c>
      <c r="C1434" s="1" t="s">
        <v>205</v>
      </c>
      <c r="D1434" s="1" t="s">
        <v>100</v>
      </c>
      <c r="E1434">
        <v>4</v>
      </c>
      <c r="F1434" s="4">
        <v>1142.83</v>
      </c>
      <c r="G1434" s="3">
        <v>0.1</v>
      </c>
      <c r="H1434" s="4">
        <v>286.76</v>
      </c>
    </row>
    <row r="1435" spans="1:8" x14ac:dyDescent="0.3">
      <c r="A1435" s="1" t="s">
        <v>1741</v>
      </c>
      <c r="B1435" s="2">
        <v>44694</v>
      </c>
      <c r="C1435" s="1" t="s">
        <v>134</v>
      </c>
      <c r="D1435" s="1" t="s">
        <v>585</v>
      </c>
      <c r="E1435">
        <v>5</v>
      </c>
      <c r="F1435" s="4">
        <v>646.5</v>
      </c>
      <c r="G1435" s="3">
        <v>0.3</v>
      </c>
      <c r="H1435" s="4">
        <v>164.51</v>
      </c>
    </row>
    <row r="1436" spans="1:8" x14ac:dyDescent="0.3">
      <c r="A1436" s="1" t="s">
        <v>1742</v>
      </c>
      <c r="B1436" s="2">
        <v>44949</v>
      </c>
      <c r="C1436" s="1" t="s">
        <v>927</v>
      </c>
      <c r="D1436" s="1" t="s">
        <v>757</v>
      </c>
      <c r="E1436">
        <v>4</v>
      </c>
      <c r="F1436" s="4">
        <v>682.88</v>
      </c>
      <c r="G1436" s="3">
        <v>0.3</v>
      </c>
      <c r="H1436" s="4">
        <v>201.27</v>
      </c>
    </row>
    <row r="1437" spans="1:8" x14ac:dyDescent="0.3">
      <c r="A1437" s="1" t="s">
        <v>1743</v>
      </c>
      <c r="B1437" s="2">
        <v>45179</v>
      </c>
      <c r="C1437" s="1" t="s">
        <v>82</v>
      </c>
      <c r="D1437" s="1" t="s">
        <v>119</v>
      </c>
      <c r="E1437">
        <v>5</v>
      </c>
      <c r="F1437" s="4">
        <v>770.62</v>
      </c>
      <c r="G1437" s="3">
        <v>0</v>
      </c>
      <c r="H1437" s="4">
        <v>135.22</v>
      </c>
    </row>
    <row r="1438" spans="1:8" x14ac:dyDescent="0.3">
      <c r="A1438" s="1" t="s">
        <v>1744</v>
      </c>
      <c r="B1438" s="2">
        <v>44817</v>
      </c>
      <c r="C1438" s="1" t="s">
        <v>248</v>
      </c>
      <c r="D1438" s="1" t="s">
        <v>249</v>
      </c>
      <c r="E1438">
        <v>5</v>
      </c>
      <c r="F1438" s="4">
        <v>1280.46</v>
      </c>
      <c r="G1438" s="3">
        <v>0.3</v>
      </c>
      <c r="H1438" s="4">
        <v>209.66</v>
      </c>
    </row>
    <row r="1439" spans="1:8" x14ac:dyDescent="0.3">
      <c r="A1439" s="1" t="s">
        <v>1745</v>
      </c>
      <c r="B1439" s="2">
        <v>45369</v>
      </c>
      <c r="C1439" s="1" t="s">
        <v>306</v>
      </c>
      <c r="D1439" s="1" t="s">
        <v>45</v>
      </c>
      <c r="E1439">
        <v>1</v>
      </c>
      <c r="F1439" s="4">
        <v>734.69</v>
      </c>
      <c r="G1439" s="3">
        <v>0.2</v>
      </c>
      <c r="H1439" s="4">
        <v>175.13</v>
      </c>
    </row>
    <row r="1440" spans="1:8" x14ac:dyDescent="0.3">
      <c r="A1440" s="1" t="s">
        <v>1746</v>
      </c>
      <c r="B1440" s="2">
        <v>44918</v>
      </c>
      <c r="C1440" s="1" t="s">
        <v>287</v>
      </c>
      <c r="D1440" s="1" t="s">
        <v>226</v>
      </c>
      <c r="E1440">
        <v>2</v>
      </c>
      <c r="F1440" s="4">
        <v>1492.13</v>
      </c>
      <c r="G1440" s="3">
        <v>0.2</v>
      </c>
      <c r="H1440" s="4">
        <v>124.02</v>
      </c>
    </row>
    <row r="1441" spans="1:8" x14ac:dyDescent="0.3">
      <c r="A1441" s="1" t="s">
        <v>1747</v>
      </c>
      <c r="B1441" s="2">
        <v>45416</v>
      </c>
      <c r="C1441" s="1" t="s">
        <v>244</v>
      </c>
      <c r="D1441" s="1" t="s">
        <v>111</v>
      </c>
      <c r="E1441">
        <v>5</v>
      </c>
      <c r="F1441" s="4">
        <v>868.6</v>
      </c>
      <c r="G1441" s="3">
        <v>0.2</v>
      </c>
      <c r="H1441" s="4">
        <v>162.19</v>
      </c>
    </row>
    <row r="1442" spans="1:8" x14ac:dyDescent="0.3">
      <c r="A1442" s="1" t="s">
        <v>1748</v>
      </c>
      <c r="B1442" s="2">
        <v>45298</v>
      </c>
      <c r="C1442" s="1" t="s">
        <v>685</v>
      </c>
      <c r="D1442" s="1" t="s">
        <v>392</v>
      </c>
      <c r="E1442">
        <v>5</v>
      </c>
      <c r="F1442" s="4">
        <v>229.87</v>
      </c>
      <c r="G1442" s="3">
        <v>0.2</v>
      </c>
      <c r="H1442" s="4">
        <v>42.88</v>
      </c>
    </row>
    <row r="1443" spans="1:8" x14ac:dyDescent="0.3">
      <c r="A1443" s="1" t="s">
        <v>1749</v>
      </c>
      <c r="B1443" s="2">
        <v>45023</v>
      </c>
      <c r="C1443" s="1" t="s">
        <v>213</v>
      </c>
      <c r="D1443" s="1" t="s">
        <v>40</v>
      </c>
      <c r="E1443">
        <v>3</v>
      </c>
      <c r="F1443" s="4">
        <v>1589.14</v>
      </c>
      <c r="G1443" s="3">
        <v>0.2</v>
      </c>
      <c r="H1443" s="4">
        <v>115</v>
      </c>
    </row>
    <row r="1444" spans="1:8" x14ac:dyDescent="0.3">
      <c r="A1444" s="1" t="s">
        <v>1750</v>
      </c>
      <c r="B1444" s="2">
        <v>45028</v>
      </c>
      <c r="C1444" s="1" t="s">
        <v>384</v>
      </c>
      <c r="D1444" s="1" t="s">
        <v>314</v>
      </c>
      <c r="E1444">
        <v>2</v>
      </c>
      <c r="F1444" s="4">
        <v>642.94000000000005</v>
      </c>
      <c r="G1444" s="3">
        <v>0.3</v>
      </c>
      <c r="H1444" s="4">
        <v>99.33</v>
      </c>
    </row>
    <row r="1445" spans="1:8" x14ac:dyDescent="0.3">
      <c r="A1445" s="1" t="s">
        <v>1751</v>
      </c>
      <c r="B1445" s="2">
        <v>45232</v>
      </c>
      <c r="C1445" s="1" t="s">
        <v>367</v>
      </c>
      <c r="D1445" s="1" t="s">
        <v>13</v>
      </c>
      <c r="E1445">
        <v>3</v>
      </c>
      <c r="F1445" s="4">
        <v>922.26</v>
      </c>
      <c r="G1445" s="3">
        <v>0</v>
      </c>
      <c r="H1445" s="4">
        <v>242.85</v>
      </c>
    </row>
    <row r="1446" spans="1:8" x14ac:dyDescent="0.3">
      <c r="A1446" s="1" t="s">
        <v>1752</v>
      </c>
      <c r="B1446" s="2">
        <v>44696</v>
      </c>
      <c r="C1446" s="1" t="s">
        <v>321</v>
      </c>
      <c r="D1446" s="1" t="s">
        <v>100</v>
      </c>
      <c r="E1446">
        <v>2</v>
      </c>
      <c r="F1446" s="4">
        <v>1402.34</v>
      </c>
      <c r="G1446" s="3">
        <v>0</v>
      </c>
      <c r="H1446" s="4">
        <v>370.27</v>
      </c>
    </row>
    <row r="1447" spans="1:8" x14ac:dyDescent="0.3">
      <c r="A1447" s="1" t="s">
        <v>1753</v>
      </c>
      <c r="B1447" s="2">
        <v>45116</v>
      </c>
      <c r="C1447" s="1" t="s">
        <v>338</v>
      </c>
      <c r="D1447" s="1" t="s">
        <v>341</v>
      </c>
      <c r="E1447">
        <v>3</v>
      </c>
      <c r="F1447" s="4">
        <v>731.67</v>
      </c>
      <c r="G1447" s="3">
        <v>0.2</v>
      </c>
      <c r="H1447" s="4">
        <v>54.74</v>
      </c>
    </row>
    <row r="1448" spans="1:8" x14ac:dyDescent="0.3">
      <c r="A1448" s="1" t="s">
        <v>1754</v>
      </c>
      <c r="B1448" s="2">
        <v>44593</v>
      </c>
      <c r="C1448" s="1" t="s">
        <v>160</v>
      </c>
      <c r="D1448" s="1" t="s">
        <v>660</v>
      </c>
      <c r="E1448">
        <v>5</v>
      </c>
      <c r="F1448" s="4">
        <v>207.51</v>
      </c>
      <c r="G1448" s="3">
        <v>0.3</v>
      </c>
      <c r="H1448" s="4">
        <v>15.08</v>
      </c>
    </row>
    <row r="1449" spans="1:8" x14ac:dyDescent="0.3">
      <c r="A1449" s="1" t="s">
        <v>1755</v>
      </c>
      <c r="B1449" s="2">
        <v>44662</v>
      </c>
      <c r="C1449" s="1" t="s">
        <v>228</v>
      </c>
      <c r="D1449" s="1" t="s">
        <v>585</v>
      </c>
      <c r="E1449">
        <v>5</v>
      </c>
      <c r="F1449" s="4">
        <v>810.45</v>
      </c>
      <c r="G1449" s="3">
        <v>0.1</v>
      </c>
      <c r="H1449" s="4">
        <v>93.75</v>
      </c>
    </row>
    <row r="1450" spans="1:8" x14ac:dyDescent="0.3">
      <c r="A1450" s="1" t="s">
        <v>1756</v>
      </c>
      <c r="B1450" s="2">
        <v>45455</v>
      </c>
      <c r="C1450" s="1" t="s">
        <v>803</v>
      </c>
      <c r="D1450" s="1" t="s">
        <v>361</v>
      </c>
      <c r="E1450">
        <v>1</v>
      </c>
      <c r="F1450" s="4">
        <v>1894.45</v>
      </c>
      <c r="G1450" s="3">
        <v>0.1</v>
      </c>
      <c r="H1450" s="4">
        <v>509.02</v>
      </c>
    </row>
    <row r="1451" spans="1:8" x14ac:dyDescent="0.3">
      <c r="A1451" s="1" t="s">
        <v>1757</v>
      </c>
      <c r="B1451" s="2">
        <v>44796</v>
      </c>
      <c r="C1451" s="1" t="s">
        <v>691</v>
      </c>
      <c r="D1451" s="1" t="s">
        <v>37</v>
      </c>
      <c r="E1451">
        <v>3</v>
      </c>
      <c r="F1451" s="4">
        <v>1319.3</v>
      </c>
      <c r="G1451" s="3">
        <v>0.3</v>
      </c>
      <c r="H1451" s="4">
        <v>108.48</v>
      </c>
    </row>
    <row r="1452" spans="1:8" x14ac:dyDescent="0.3">
      <c r="A1452" s="1" t="s">
        <v>1758</v>
      </c>
      <c r="B1452" s="2">
        <v>45211</v>
      </c>
      <c r="C1452" s="1" t="s">
        <v>205</v>
      </c>
      <c r="D1452" s="1" t="s">
        <v>119</v>
      </c>
      <c r="E1452">
        <v>4</v>
      </c>
      <c r="F1452" s="4">
        <v>1375.81</v>
      </c>
      <c r="G1452" s="3">
        <v>0.2</v>
      </c>
      <c r="H1452" s="4">
        <v>316.44</v>
      </c>
    </row>
    <row r="1453" spans="1:8" x14ac:dyDescent="0.3">
      <c r="A1453" s="1" t="s">
        <v>1759</v>
      </c>
      <c r="B1453" s="2">
        <v>44810</v>
      </c>
      <c r="C1453" s="1" t="s">
        <v>150</v>
      </c>
      <c r="D1453" s="1" t="s">
        <v>89</v>
      </c>
      <c r="E1453">
        <v>1</v>
      </c>
      <c r="F1453" s="4">
        <v>1301.3399999999999</v>
      </c>
      <c r="G1453" s="3">
        <v>0</v>
      </c>
      <c r="H1453" s="4">
        <v>97.98</v>
      </c>
    </row>
    <row r="1454" spans="1:8" x14ac:dyDescent="0.3">
      <c r="A1454" s="1" t="s">
        <v>1760</v>
      </c>
      <c r="B1454" s="2">
        <v>44983</v>
      </c>
      <c r="C1454" s="1" t="s">
        <v>371</v>
      </c>
      <c r="D1454" s="1" t="s">
        <v>31</v>
      </c>
      <c r="E1454">
        <v>3</v>
      </c>
      <c r="F1454" s="4">
        <v>478.09</v>
      </c>
      <c r="G1454" s="3">
        <v>0.3</v>
      </c>
      <c r="H1454" s="4">
        <v>98.38</v>
      </c>
    </row>
    <row r="1455" spans="1:8" x14ac:dyDescent="0.3">
      <c r="A1455" s="1" t="s">
        <v>1761</v>
      </c>
      <c r="B1455" s="2">
        <v>45244</v>
      </c>
      <c r="C1455" s="1" t="s">
        <v>115</v>
      </c>
      <c r="D1455" s="1" t="s">
        <v>258</v>
      </c>
      <c r="E1455">
        <v>3</v>
      </c>
      <c r="F1455" s="4">
        <v>894.83</v>
      </c>
      <c r="G1455" s="3">
        <v>0.1</v>
      </c>
      <c r="H1455" s="4">
        <v>124.4</v>
      </c>
    </row>
    <row r="1456" spans="1:8" x14ac:dyDescent="0.3">
      <c r="A1456" s="1" t="s">
        <v>1762</v>
      </c>
      <c r="B1456" s="2">
        <v>45310</v>
      </c>
      <c r="C1456" s="1" t="s">
        <v>683</v>
      </c>
      <c r="D1456" s="1" t="s">
        <v>314</v>
      </c>
      <c r="E1456">
        <v>1</v>
      </c>
      <c r="F1456" s="4">
        <v>1526.79</v>
      </c>
      <c r="G1456" s="3">
        <v>0.1</v>
      </c>
      <c r="H1456" s="4">
        <v>377.47</v>
      </c>
    </row>
    <row r="1457" spans="1:8" x14ac:dyDescent="0.3">
      <c r="A1457" s="1" t="s">
        <v>1763</v>
      </c>
      <c r="B1457" s="2">
        <v>45124</v>
      </c>
      <c r="C1457" s="1" t="s">
        <v>246</v>
      </c>
      <c r="D1457" s="1" t="s">
        <v>25</v>
      </c>
      <c r="E1457">
        <v>5</v>
      </c>
      <c r="F1457" s="4">
        <v>292.61</v>
      </c>
      <c r="G1457" s="3">
        <v>0.1</v>
      </c>
      <c r="H1457" s="4">
        <v>31.73</v>
      </c>
    </row>
    <row r="1458" spans="1:8" x14ac:dyDescent="0.3">
      <c r="A1458" s="1" t="s">
        <v>1764</v>
      </c>
      <c r="B1458" s="2">
        <v>44941</v>
      </c>
      <c r="C1458" s="1" t="s">
        <v>1061</v>
      </c>
      <c r="D1458" s="1" t="s">
        <v>301</v>
      </c>
      <c r="E1458">
        <v>3</v>
      </c>
      <c r="F1458" s="4">
        <v>627.91999999999996</v>
      </c>
      <c r="G1458" s="3">
        <v>0.2</v>
      </c>
      <c r="H1458" s="4">
        <v>131.74</v>
      </c>
    </row>
    <row r="1459" spans="1:8" x14ac:dyDescent="0.3">
      <c r="A1459" s="1" t="s">
        <v>1765</v>
      </c>
      <c r="B1459" s="2">
        <v>45148</v>
      </c>
      <c r="C1459" s="1" t="s">
        <v>174</v>
      </c>
      <c r="D1459" s="1" t="s">
        <v>234</v>
      </c>
      <c r="E1459">
        <v>5</v>
      </c>
      <c r="F1459" s="4">
        <v>625.01</v>
      </c>
      <c r="G1459" s="3">
        <v>0.1</v>
      </c>
      <c r="H1459" s="4">
        <v>68.08</v>
      </c>
    </row>
    <row r="1460" spans="1:8" x14ac:dyDescent="0.3">
      <c r="A1460" s="1" t="s">
        <v>1766</v>
      </c>
      <c r="B1460" s="2">
        <v>44604</v>
      </c>
      <c r="C1460" s="1" t="s">
        <v>160</v>
      </c>
      <c r="D1460" s="1" t="s">
        <v>141</v>
      </c>
      <c r="E1460">
        <v>1</v>
      </c>
      <c r="F1460" s="4">
        <v>920.84</v>
      </c>
      <c r="G1460" s="3">
        <v>0.3</v>
      </c>
      <c r="H1460" s="4">
        <v>210.33</v>
      </c>
    </row>
    <row r="1461" spans="1:8" x14ac:dyDescent="0.3">
      <c r="A1461" s="1" t="s">
        <v>1767</v>
      </c>
      <c r="B1461" s="2">
        <v>45245</v>
      </c>
      <c r="C1461" s="1" t="s">
        <v>803</v>
      </c>
      <c r="D1461" s="1" t="s">
        <v>309</v>
      </c>
      <c r="E1461">
        <v>5</v>
      </c>
      <c r="F1461" s="4">
        <v>1962.7</v>
      </c>
      <c r="G1461" s="3">
        <v>0.3</v>
      </c>
      <c r="H1461" s="4">
        <v>526.83000000000004</v>
      </c>
    </row>
    <row r="1462" spans="1:8" x14ac:dyDescent="0.3">
      <c r="A1462" s="1" t="s">
        <v>1768</v>
      </c>
      <c r="B1462" s="2">
        <v>44574</v>
      </c>
      <c r="C1462" s="1" t="s">
        <v>1056</v>
      </c>
      <c r="D1462" s="1" t="s">
        <v>34</v>
      </c>
      <c r="E1462">
        <v>2</v>
      </c>
      <c r="F1462" s="4">
        <v>228.25</v>
      </c>
      <c r="G1462" s="3">
        <v>0.1</v>
      </c>
      <c r="H1462" s="4">
        <v>18.649999999999999</v>
      </c>
    </row>
    <row r="1463" spans="1:8" x14ac:dyDescent="0.3">
      <c r="A1463" s="1" t="s">
        <v>1769</v>
      </c>
      <c r="B1463" s="2">
        <v>45189</v>
      </c>
      <c r="C1463" s="1" t="s">
        <v>647</v>
      </c>
      <c r="D1463" s="1" t="s">
        <v>256</v>
      </c>
      <c r="E1463">
        <v>4</v>
      </c>
      <c r="F1463" s="4">
        <v>1085.53</v>
      </c>
      <c r="G1463" s="3">
        <v>0.3</v>
      </c>
      <c r="H1463" s="4">
        <v>289.45999999999998</v>
      </c>
    </row>
    <row r="1464" spans="1:8" x14ac:dyDescent="0.3">
      <c r="A1464" s="1" t="s">
        <v>1770</v>
      </c>
      <c r="B1464" s="2">
        <v>45188</v>
      </c>
      <c r="C1464" s="1" t="s">
        <v>94</v>
      </c>
      <c r="D1464" s="1" t="s">
        <v>78</v>
      </c>
      <c r="E1464">
        <v>3</v>
      </c>
      <c r="F1464" s="4">
        <v>440.79</v>
      </c>
      <c r="G1464" s="3">
        <v>0.1</v>
      </c>
      <c r="H1464" s="4">
        <v>87.45</v>
      </c>
    </row>
    <row r="1465" spans="1:8" x14ac:dyDescent="0.3">
      <c r="A1465" s="1" t="s">
        <v>1771</v>
      </c>
      <c r="B1465" s="2">
        <v>44627</v>
      </c>
      <c r="C1465" s="1" t="s">
        <v>53</v>
      </c>
      <c r="D1465" s="1" t="s">
        <v>296</v>
      </c>
      <c r="E1465">
        <v>4</v>
      </c>
      <c r="F1465" s="4">
        <v>1944.29</v>
      </c>
      <c r="G1465" s="3">
        <v>0.1</v>
      </c>
      <c r="H1465" s="4">
        <v>159</v>
      </c>
    </row>
    <row r="1466" spans="1:8" x14ac:dyDescent="0.3">
      <c r="A1466" s="1" t="s">
        <v>1772</v>
      </c>
      <c r="B1466" s="2">
        <v>45432</v>
      </c>
      <c r="C1466" s="1" t="s">
        <v>273</v>
      </c>
      <c r="D1466" s="1" t="s">
        <v>253</v>
      </c>
      <c r="E1466">
        <v>5</v>
      </c>
      <c r="F1466" s="4">
        <v>315.27999999999997</v>
      </c>
      <c r="G1466" s="3">
        <v>0</v>
      </c>
      <c r="H1466" s="4">
        <v>49.46</v>
      </c>
    </row>
    <row r="1467" spans="1:8" x14ac:dyDescent="0.3">
      <c r="A1467" s="1" t="s">
        <v>1773</v>
      </c>
      <c r="B1467" s="2">
        <v>45337</v>
      </c>
      <c r="C1467" s="1" t="s">
        <v>729</v>
      </c>
      <c r="D1467" s="1" t="s">
        <v>364</v>
      </c>
      <c r="E1467">
        <v>3</v>
      </c>
      <c r="F1467" s="4">
        <v>866.84</v>
      </c>
      <c r="G1467" s="3">
        <v>0.2</v>
      </c>
      <c r="H1467" s="4">
        <v>78.2</v>
      </c>
    </row>
    <row r="1468" spans="1:8" x14ac:dyDescent="0.3">
      <c r="A1468" s="1" t="s">
        <v>1774</v>
      </c>
      <c r="B1468" s="2">
        <v>45264</v>
      </c>
      <c r="C1468" s="1" t="s">
        <v>285</v>
      </c>
      <c r="D1468" s="1" t="s">
        <v>67</v>
      </c>
      <c r="E1468">
        <v>5</v>
      </c>
      <c r="F1468" s="4">
        <v>1501.98</v>
      </c>
      <c r="G1468" s="3">
        <v>0.2</v>
      </c>
      <c r="H1468" s="4">
        <v>338.08</v>
      </c>
    </row>
    <row r="1469" spans="1:8" x14ac:dyDescent="0.3">
      <c r="A1469" s="1" t="s">
        <v>1775</v>
      </c>
      <c r="B1469" s="2">
        <v>44869</v>
      </c>
      <c r="C1469" s="1" t="s">
        <v>282</v>
      </c>
      <c r="D1469" s="1" t="s">
        <v>215</v>
      </c>
      <c r="E1469">
        <v>2</v>
      </c>
      <c r="F1469" s="4">
        <v>1438.65</v>
      </c>
      <c r="G1469" s="3">
        <v>0</v>
      </c>
      <c r="H1469" s="4">
        <v>344.87</v>
      </c>
    </row>
    <row r="1470" spans="1:8" x14ac:dyDescent="0.3">
      <c r="A1470" s="1" t="s">
        <v>1776</v>
      </c>
      <c r="B1470" s="2">
        <v>45033</v>
      </c>
      <c r="C1470" s="1" t="s">
        <v>316</v>
      </c>
      <c r="D1470" s="1" t="s">
        <v>143</v>
      </c>
      <c r="E1470">
        <v>1</v>
      </c>
      <c r="F1470" s="4">
        <v>903.18</v>
      </c>
      <c r="G1470" s="3">
        <v>0</v>
      </c>
      <c r="H1470" s="4">
        <v>69.05</v>
      </c>
    </row>
    <row r="1471" spans="1:8" x14ac:dyDescent="0.3">
      <c r="A1471" s="1" t="s">
        <v>1777</v>
      </c>
      <c r="B1471" s="2">
        <v>45296</v>
      </c>
      <c r="C1471" s="1" t="s">
        <v>391</v>
      </c>
      <c r="D1471" s="1" t="s">
        <v>679</v>
      </c>
      <c r="E1471">
        <v>3</v>
      </c>
      <c r="F1471" s="4">
        <v>758.4</v>
      </c>
      <c r="G1471" s="3">
        <v>0.2</v>
      </c>
      <c r="H1471" s="4">
        <v>133.88</v>
      </c>
    </row>
    <row r="1472" spans="1:8" x14ac:dyDescent="0.3">
      <c r="A1472" s="1" t="s">
        <v>1778</v>
      </c>
      <c r="B1472" s="2">
        <v>45024</v>
      </c>
      <c r="C1472" s="1" t="s">
        <v>473</v>
      </c>
      <c r="D1472" s="1" t="s">
        <v>369</v>
      </c>
      <c r="E1472">
        <v>2</v>
      </c>
      <c r="F1472" s="4">
        <v>855.46</v>
      </c>
      <c r="G1472" s="3">
        <v>0.1</v>
      </c>
      <c r="H1472" s="4">
        <v>216.99</v>
      </c>
    </row>
    <row r="1473" spans="1:8" x14ac:dyDescent="0.3">
      <c r="A1473" s="1" t="s">
        <v>1779</v>
      </c>
      <c r="B1473" s="2">
        <v>44911</v>
      </c>
      <c r="C1473" s="1" t="s">
        <v>391</v>
      </c>
      <c r="D1473" s="1" t="s">
        <v>242</v>
      </c>
      <c r="E1473">
        <v>2</v>
      </c>
      <c r="F1473" s="4">
        <v>602.12</v>
      </c>
      <c r="G1473" s="3">
        <v>0.1</v>
      </c>
      <c r="H1473" s="4">
        <v>171.03</v>
      </c>
    </row>
    <row r="1474" spans="1:8" x14ac:dyDescent="0.3">
      <c r="A1474" s="1" t="s">
        <v>1780</v>
      </c>
      <c r="B1474" s="2">
        <v>44890</v>
      </c>
      <c r="C1474" s="1" t="s">
        <v>685</v>
      </c>
      <c r="D1474" s="1" t="s">
        <v>13</v>
      </c>
      <c r="E1474">
        <v>3</v>
      </c>
      <c r="F1474" s="4">
        <v>490.13</v>
      </c>
      <c r="G1474" s="3">
        <v>0.2</v>
      </c>
      <c r="H1474" s="4">
        <v>87.43</v>
      </c>
    </row>
    <row r="1475" spans="1:8" x14ac:dyDescent="0.3">
      <c r="A1475" s="1" t="s">
        <v>1781</v>
      </c>
      <c r="B1475" s="2">
        <v>44679</v>
      </c>
      <c r="C1475" s="1" t="s">
        <v>88</v>
      </c>
      <c r="D1475" s="1" t="s">
        <v>83</v>
      </c>
      <c r="E1475">
        <v>5</v>
      </c>
      <c r="F1475" s="4">
        <v>1017.78</v>
      </c>
      <c r="G1475" s="3">
        <v>0.1</v>
      </c>
      <c r="H1475" s="4">
        <v>292.68</v>
      </c>
    </row>
    <row r="1476" spans="1:8" x14ac:dyDescent="0.3">
      <c r="A1476" s="1" t="s">
        <v>1782</v>
      </c>
      <c r="B1476" s="2">
        <v>44609</v>
      </c>
      <c r="C1476" s="1" t="s">
        <v>691</v>
      </c>
      <c r="D1476" s="1" t="s">
        <v>28</v>
      </c>
      <c r="E1476">
        <v>2</v>
      </c>
      <c r="F1476" s="4">
        <v>610.21</v>
      </c>
      <c r="G1476" s="3">
        <v>0</v>
      </c>
      <c r="H1476" s="4">
        <v>112.23</v>
      </c>
    </row>
    <row r="1477" spans="1:8" x14ac:dyDescent="0.3">
      <c r="A1477" s="1" t="s">
        <v>1783</v>
      </c>
      <c r="B1477" s="2">
        <v>44643</v>
      </c>
      <c r="C1477" s="1" t="s">
        <v>33</v>
      </c>
      <c r="D1477" s="1" t="s">
        <v>107</v>
      </c>
      <c r="E1477">
        <v>4</v>
      </c>
      <c r="F1477" s="4">
        <v>646.17999999999995</v>
      </c>
      <c r="G1477" s="3">
        <v>0.1</v>
      </c>
      <c r="H1477" s="4">
        <v>95.99</v>
      </c>
    </row>
    <row r="1478" spans="1:8" x14ac:dyDescent="0.3">
      <c r="A1478" s="1" t="s">
        <v>1784</v>
      </c>
      <c r="B1478" s="2">
        <v>44792</v>
      </c>
      <c r="C1478" s="1" t="s">
        <v>678</v>
      </c>
      <c r="D1478" s="1" t="s">
        <v>278</v>
      </c>
      <c r="E1478">
        <v>2</v>
      </c>
      <c r="F1478" s="4">
        <v>1347.84</v>
      </c>
      <c r="G1478" s="3">
        <v>0.1</v>
      </c>
      <c r="H1478" s="4">
        <v>353.2</v>
      </c>
    </row>
    <row r="1479" spans="1:8" x14ac:dyDescent="0.3">
      <c r="A1479" s="1" t="s">
        <v>1785</v>
      </c>
      <c r="B1479" s="2">
        <v>45372</v>
      </c>
      <c r="C1479" s="1" t="s">
        <v>739</v>
      </c>
      <c r="D1479" s="1" t="s">
        <v>188</v>
      </c>
      <c r="E1479">
        <v>5</v>
      </c>
      <c r="F1479" s="4">
        <v>1940.22</v>
      </c>
      <c r="G1479" s="3">
        <v>0.3</v>
      </c>
      <c r="H1479" s="4">
        <v>336.13</v>
      </c>
    </row>
    <row r="1480" spans="1:8" x14ac:dyDescent="0.3">
      <c r="A1480" s="1" t="s">
        <v>1786</v>
      </c>
      <c r="B1480" s="2">
        <v>44949</v>
      </c>
      <c r="C1480" s="1" t="s">
        <v>27</v>
      </c>
      <c r="D1480" s="1" t="s">
        <v>585</v>
      </c>
      <c r="E1480">
        <v>5</v>
      </c>
      <c r="F1480" s="4">
        <v>1246.9100000000001</v>
      </c>
      <c r="G1480" s="3">
        <v>0.3</v>
      </c>
      <c r="H1480" s="4">
        <v>209.45</v>
      </c>
    </row>
    <row r="1481" spans="1:8" x14ac:dyDescent="0.3">
      <c r="A1481" s="1" t="s">
        <v>1787</v>
      </c>
      <c r="B1481" s="2">
        <v>44965</v>
      </c>
      <c r="C1481" s="1" t="s">
        <v>220</v>
      </c>
      <c r="D1481" s="1" t="s">
        <v>64</v>
      </c>
      <c r="E1481">
        <v>4</v>
      </c>
      <c r="F1481" s="4">
        <v>246.26</v>
      </c>
      <c r="G1481" s="3">
        <v>0.3</v>
      </c>
      <c r="H1481" s="4">
        <v>42.5</v>
      </c>
    </row>
    <row r="1482" spans="1:8" x14ac:dyDescent="0.3">
      <c r="A1482" s="1" t="s">
        <v>1788</v>
      </c>
      <c r="B1482" s="2">
        <v>44830</v>
      </c>
      <c r="C1482" s="1" t="s">
        <v>106</v>
      </c>
      <c r="D1482" s="1" t="s">
        <v>585</v>
      </c>
      <c r="E1482">
        <v>2</v>
      </c>
      <c r="F1482" s="4">
        <v>243.61</v>
      </c>
      <c r="G1482" s="3">
        <v>0.1</v>
      </c>
      <c r="H1482" s="4">
        <v>63.75</v>
      </c>
    </row>
    <row r="1483" spans="1:8" x14ac:dyDescent="0.3">
      <c r="A1483" s="1" t="s">
        <v>1789</v>
      </c>
      <c r="B1483" s="2">
        <v>44761</v>
      </c>
      <c r="C1483" s="1" t="s">
        <v>739</v>
      </c>
      <c r="D1483" s="1" t="s">
        <v>727</v>
      </c>
      <c r="E1483">
        <v>5</v>
      </c>
      <c r="F1483" s="4">
        <v>1907.7</v>
      </c>
      <c r="G1483" s="3">
        <v>0.2</v>
      </c>
      <c r="H1483" s="4">
        <v>492.16</v>
      </c>
    </row>
    <row r="1484" spans="1:8" x14ac:dyDescent="0.3">
      <c r="A1484" s="1" t="s">
        <v>1790</v>
      </c>
      <c r="B1484" s="2">
        <v>44945</v>
      </c>
      <c r="C1484" s="1" t="s">
        <v>466</v>
      </c>
      <c r="D1484" s="1" t="s">
        <v>364</v>
      </c>
      <c r="E1484">
        <v>3</v>
      </c>
      <c r="F1484" s="4">
        <v>664.85</v>
      </c>
      <c r="G1484" s="3">
        <v>0</v>
      </c>
      <c r="H1484" s="4">
        <v>100.31</v>
      </c>
    </row>
    <row r="1485" spans="1:8" x14ac:dyDescent="0.3">
      <c r="A1485" s="1" t="s">
        <v>1791</v>
      </c>
      <c r="B1485" s="2">
        <v>45180</v>
      </c>
      <c r="C1485" s="1" t="s">
        <v>124</v>
      </c>
      <c r="D1485" s="1" t="s">
        <v>177</v>
      </c>
      <c r="E1485">
        <v>1</v>
      </c>
      <c r="F1485" s="4">
        <v>274.93</v>
      </c>
      <c r="G1485" s="3">
        <v>0.1</v>
      </c>
      <c r="H1485" s="4">
        <v>36.659999999999997</v>
      </c>
    </row>
    <row r="1486" spans="1:8" x14ac:dyDescent="0.3">
      <c r="A1486" s="1" t="s">
        <v>1792</v>
      </c>
      <c r="B1486" s="2">
        <v>44845</v>
      </c>
      <c r="C1486" s="1" t="s">
        <v>1056</v>
      </c>
      <c r="D1486" s="1" t="s">
        <v>400</v>
      </c>
      <c r="E1486">
        <v>1</v>
      </c>
      <c r="F1486" s="4">
        <v>1238.18</v>
      </c>
      <c r="G1486" s="3">
        <v>0.2</v>
      </c>
      <c r="H1486" s="4">
        <v>214.18</v>
      </c>
    </row>
    <row r="1487" spans="1:8" x14ac:dyDescent="0.3">
      <c r="A1487" s="1" t="s">
        <v>1793</v>
      </c>
      <c r="B1487" s="2">
        <v>45036</v>
      </c>
      <c r="C1487" s="1" t="s">
        <v>685</v>
      </c>
      <c r="D1487" s="1" t="s">
        <v>226</v>
      </c>
      <c r="E1487">
        <v>1</v>
      </c>
      <c r="F1487" s="4">
        <v>1284.93</v>
      </c>
      <c r="G1487" s="3">
        <v>0.1</v>
      </c>
      <c r="H1487" s="4">
        <v>248.24</v>
      </c>
    </row>
    <row r="1488" spans="1:8" x14ac:dyDescent="0.3">
      <c r="A1488" s="1" t="s">
        <v>1794</v>
      </c>
      <c r="B1488" s="2">
        <v>44605</v>
      </c>
      <c r="C1488" s="1" t="s">
        <v>102</v>
      </c>
      <c r="D1488" s="1" t="s">
        <v>75</v>
      </c>
      <c r="E1488">
        <v>2</v>
      </c>
      <c r="F1488" s="4">
        <v>1332.16</v>
      </c>
      <c r="G1488" s="3">
        <v>0</v>
      </c>
      <c r="H1488" s="4">
        <v>145.97999999999999</v>
      </c>
    </row>
    <row r="1489" spans="1:8" x14ac:dyDescent="0.3">
      <c r="A1489" s="1" t="s">
        <v>1795</v>
      </c>
      <c r="B1489" s="2">
        <v>44840</v>
      </c>
      <c r="C1489" s="1" t="s">
        <v>42</v>
      </c>
      <c r="D1489" s="1" t="s">
        <v>278</v>
      </c>
      <c r="E1489">
        <v>4</v>
      </c>
      <c r="F1489" s="4">
        <v>608.05999999999995</v>
      </c>
      <c r="G1489" s="3">
        <v>0.1</v>
      </c>
      <c r="H1489" s="4">
        <v>151.1</v>
      </c>
    </row>
    <row r="1490" spans="1:8" x14ac:dyDescent="0.3">
      <c r="A1490" s="1" t="s">
        <v>1796</v>
      </c>
      <c r="B1490" s="2">
        <v>44778</v>
      </c>
      <c r="C1490" s="1" t="s">
        <v>129</v>
      </c>
      <c r="D1490" s="1" t="s">
        <v>269</v>
      </c>
      <c r="E1490">
        <v>5</v>
      </c>
      <c r="F1490" s="4">
        <v>128.71</v>
      </c>
      <c r="G1490" s="3">
        <v>0</v>
      </c>
      <c r="H1490" s="4">
        <v>22.09</v>
      </c>
    </row>
    <row r="1491" spans="1:8" x14ac:dyDescent="0.3">
      <c r="A1491" s="1" t="s">
        <v>1797</v>
      </c>
      <c r="B1491" s="2">
        <v>44846</v>
      </c>
      <c r="C1491" s="1" t="s">
        <v>444</v>
      </c>
      <c r="D1491" s="1" t="s">
        <v>75</v>
      </c>
      <c r="E1491">
        <v>3</v>
      </c>
      <c r="F1491" s="4">
        <v>1933.53</v>
      </c>
      <c r="G1491" s="3">
        <v>0.1</v>
      </c>
      <c r="H1491" s="4">
        <v>258.14999999999998</v>
      </c>
    </row>
    <row r="1492" spans="1:8" x14ac:dyDescent="0.3">
      <c r="A1492" s="1" t="s">
        <v>1798</v>
      </c>
      <c r="B1492" s="2">
        <v>45153</v>
      </c>
      <c r="C1492" s="1" t="s">
        <v>184</v>
      </c>
      <c r="D1492" s="1" t="s">
        <v>239</v>
      </c>
      <c r="E1492">
        <v>3</v>
      </c>
      <c r="F1492" s="4">
        <v>576.70000000000005</v>
      </c>
      <c r="G1492" s="3">
        <v>0</v>
      </c>
      <c r="H1492" s="4">
        <v>44.24</v>
      </c>
    </row>
    <row r="1493" spans="1:8" x14ac:dyDescent="0.3">
      <c r="A1493" s="1" t="s">
        <v>1799</v>
      </c>
      <c r="B1493" s="2">
        <v>45070</v>
      </c>
      <c r="C1493" s="1" t="s">
        <v>380</v>
      </c>
      <c r="D1493" s="1" t="s">
        <v>215</v>
      </c>
      <c r="E1493">
        <v>2</v>
      </c>
      <c r="F1493" s="4">
        <v>1384.45</v>
      </c>
      <c r="G1493" s="3">
        <v>0.1</v>
      </c>
      <c r="H1493" s="4">
        <v>151.88999999999999</v>
      </c>
    </row>
    <row r="1494" spans="1:8" x14ac:dyDescent="0.3">
      <c r="A1494" s="1" t="s">
        <v>1800</v>
      </c>
      <c r="B1494" s="2">
        <v>45395</v>
      </c>
      <c r="C1494" s="1" t="s">
        <v>751</v>
      </c>
      <c r="D1494" s="1" t="s">
        <v>188</v>
      </c>
      <c r="E1494">
        <v>1</v>
      </c>
      <c r="F1494" s="4">
        <v>1442.6</v>
      </c>
      <c r="G1494" s="3">
        <v>0</v>
      </c>
      <c r="H1494" s="4">
        <v>414.49</v>
      </c>
    </row>
    <row r="1495" spans="1:8" x14ac:dyDescent="0.3">
      <c r="A1495" s="1" t="s">
        <v>1801</v>
      </c>
      <c r="B1495" s="2">
        <v>45041</v>
      </c>
      <c r="C1495" s="1" t="s">
        <v>252</v>
      </c>
      <c r="D1495" s="1" t="s">
        <v>221</v>
      </c>
      <c r="E1495">
        <v>2</v>
      </c>
      <c r="F1495" s="4">
        <v>1259.01</v>
      </c>
      <c r="G1495" s="3">
        <v>0.3</v>
      </c>
      <c r="H1495" s="4">
        <v>158.97999999999999</v>
      </c>
    </row>
    <row r="1496" spans="1:8" x14ac:dyDescent="0.3">
      <c r="A1496" s="1" t="s">
        <v>1802</v>
      </c>
      <c r="B1496" s="2">
        <v>45143</v>
      </c>
      <c r="C1496" s="1" t="s">
        <v>436</v>
      </c>
      <c r="D1496" s="1" t="s">
        <v>249</v>
      </c>
      <c r="E1496">
        <v>4</v>
      </c>
      <c r="F1496" s="4">
        <v>694.52</v>
      </c>
      <c r="G1496" s="3">
        <v>0.1</v>
      </c>
      <c r="H1496" s="4">
        <v>64.05</v>
      </c>
    </row>
    <row r="1497" spans="1:8" x14ac:dyDescent="0.3">
      <c r="A1497" s="1" t="s">
        <v>1803</v>
      </c>
      <c r="B1497" s="2">
        <v>44849</v>
      </c>
      <c r="C1497" s="1" t="s">
        <v>729</v>
      </c>
      <c r="D1497" s="1" t="s">
        <v>54</v>
      </c>
      <c r="E1497">
        <v>4</v>
      </c>
      <c r="F1497" s="4">
        <v>615.08000000000004</v>
      </c>
      <c r="G1497" s="3">
        <v>0.1</v>
      </c>
      <c r="H1497" s="4">
        <v>101.59</v>
      </c>
    </row>
    <row r="1498" spans="1:8" x14ac:dyDescent="0.3">
      <c r="A1498" s="1" t="s">
        <v>1804</v>
      </c>
      <c r="B1498" s="2">
        <v>45347</v>
      </c>
      <c r="C1498" s="1" t="s">
        <v>1143</v>
      </c>
      <c r="D1498" s="1" t="s">
        <v>141</v>
      </c>
      <c r="E1498">
        <v>5</v>
      </c>
      <c r="F1498" s="4">
        <v>1235.57</v>
      </c>
      <c r="G1498" s="3">
        <v>0.2</v>
      </c>
      <c r="H1498" s="4">
        <v>156.63999999999999</v>
      </c>
    </row>
    <row r="1499" spans="1:8" x14ac:dyDescent="0.3">
      <c r="A1499" s="1" t="s">
        <v>1805</v>
      </c>
      <c r="B1499" s="2">
        <v>45130</v>
      </c>
      <c r="C1499" s="1" t="s">
        <v>82</v>
      </c>
      <c r="D1499" s="1" t="s">
        <v>43</v>
      </c>
      <c r="E1499">
        <v>5</v>
      </c>
      <c r="F1499" s="4">
        <v>1745.58</v>
      </c>
      <c r="G1499" s="3">
        <v>0.2</v>
      </c>
      <c r="H1499" s="4">
        <v>102.62</v>
      </c>
    </row>
    <row r="1500" spans="1:8" x14ac:dyDescent="0.3">
      <c r="A1500" s="1" t="s">
        <v>1806</v>
      </c>
      <c r="B1500" s="2">
        <v>44648</v>
      </c>
      <c r="C1500" s="1" t="s">
        <v>406</v>
      </c>
      <c r="D1500" s="1" t="s">
        <v>309</v>
      </c>
      <c r="E1500">
        <v>4</v>
      </c>
      <c r="F1500" s="4">
        <v>1898.79</v>
      </c>
      <c r="G1500" s="3">
        <v>0</v>
      </c>
      <c r="H1500" s="4">
        <v>248.34</v>
      </c>
    </row>
    <row r="1501" spans="1:8" x14ac:dyDescent="0.3">
      <c r="A1501" s="1" t="s">
        <v>1807</v>
      </c>
      <c r="B1501" s="2">
        <v>45189</v>
      </c>
      <c r="C1501" s="1" t="s">
        <v>384</v>
      </c>
      <c r="D1501" s="1" t="s">
        <v>28</v>
      </c>
      <c r="E1501">
        <v>4</v>
      </c>
      <c r="F1501" s="4">
        <v>301.22000000000003</v>
      </c>
      <c r="G1501" s="3">
        <v>0.1</v>
      </c>
      <c r="H1501" s="4">
        <v>56.04</v>
      </c>
    </row>
    <row r="1502" spans="1:8" x14ac:dyDescent="0.3">
      <c r="A1502" s="1" t="s">
        <v>1808</v>
      </c>
      <c r="B1502" s="2">
        <v>45129</v>
      </c>
      <c r="C1502" s="1" t="s">
        <v>30</v>
      </c>
      <c r="D1502" s="1" t="s">
        <v>78</v>
      </c>
      <c r="E1502">
        <v>4</v>
      </c>
      <c r="F1502" s="4">
        <v>394.17</v>
      </c>
      <c r="G1502" s="3">
        <v>0</v>
      </c>
      <c r="H1502" s="4">
        <v>74.08</v>
      </c>
    </row>
    <row r="1503" spans="1:8" x14ac:dyDescent="0.3">
      <c r="A1503" s="1" t="s">
        <v>1809</v>
      </c>
      <c r="B1503" s="2">
        <v>45164</v>
      </c>
      <c r="C1503" s="1" t="s">
        <v>104</v>
      </c>
      <c r="D1503" s="1" t="s">
        <v>40</v>
      </c>
      <c r="E1503">
        <v>2</v>
      </c>
      <c r="F1503" s="4">
        <v>1895</v>
      </c>
      <c r="G1503" s="3">
        <v>0.3</v>
      </c>
      <c r="H1503" s="4">
        <v>263.67</v>
      </c>
    </row>
    <row r="1504" spans="1:8" x14ac:dyDescent="0.3">
      <c r="A1504" s="1" t="s">
        <v>1810</v>
      </c>
      <c r="B1504" s="2">
        <v>44935</v>
      </c>
      <c r="C1504" s="1" t="s">
        <v>402</v>
      </c>
      <c r="D1504" s="1" t="s">
        <v>309</v>
      </c>
      <c r="E1504">
        <v>4</v>
      </c>
      <c r="F1504" s="4">
        <v>1499.42</v>
      </c>
      <c r="G1504" s="3">
        <v>0.2</v>
      </c>
      <c r="H1504" s="4">
        <v>242.64</v>
      </c>
    </row>
    <row r="1505" spans="1:8" x14ac:dyDescent="0.3">
      <c r="A1505" s="1" t="s">
        <v>1811</v>
      </c>
      <c r="B1505" s="2">
        <v>45048</v>
      </c>
      <c r="C1505" s="1" t="s">
        <v>657</v>
      </c>
      <c r="D1505" s="1" t="s">
        <v>242</v>
      </c>
      <c r="E1505">
        <v>3</v>
      </c>
      <c r="F1505" s="4">
        <v>1777.69</v>
      </c>
      <c r="G1505" s="3">
        <v>0</v>
      </c>
      <c r="H1505" s="4">
        <v>517.98</v>
      </c>
    </row>
    <row r="1506" spans="1:8" x14ac:dyDescent="0.3">
      <c r="A1506" s="1" t="s">
        <v>1812</v>
      </c>
      <c r="B1506" s="2">
        <v>44738</v>
      </c>
      <c r="C1506" s="1" t="s">
        <v>662</v>
      </c>
      <c r="D1506" s="1" t="s">
        <v>130</v>
      </c>
      <c r="E1506">
        <v>1</v>
      </c>
      <c r="F1506" s="4">
        <v>485</v>
      </c>
      <c r="G1506" s="3">
        <v>0</v>
      </c>
      <c r="H1506" s="4">
        <v>70</v>
      </c>
    </row>
    <row r="1507" spans="1:8" x14ac:dyDescent="0.3">
      <c r="A1507" s="1" t="s">
        <v>1813</v>
      </c>
      <c r="B1507" s="2">
        <v>45171</v>
      </c>
      <c r="C1507" s="1" t="s">
        <v>94</v>
      </c>
      <c r="D1507" s="1" t="s">
        <v>239</v>
      </c>
      <c r="E1507">
        <v>4</v>
      </c>
      <c r="F1507" s="4">
        <v>1216.4100000000001</v>
      </c>
      <c r="G1507" s="3">
        <v>0.2</v>
      </c>
      <c r="H1507" s="4">
        <v>139.35</v>
      </c>
    </row>
    <row r="1508" spans="1:8" x14ac:dyDescent="0.3">
      <c r="A1508" s="1" t="s">
        <v>1814</v>
      </c>
      <c r="B1508" s="2">
        <v>45197</v>
      </c>
      <c r="C1508" s="1" t="s">
        <v>118</v>
      </c>
      <c r="D1508" s="1" t="s">
        <v>34</v>
      </c>
      <c r="E1508">
        <v>1</v>
      </c>
      <c r="F1508" s="4">
        <v>1432.17</v>
      </c>
      <c r="G1508" s="3">
        <v>0.1</v>
      </c>
      <c r="H1508" s="4">
        <v>158.78</v>
      </c>
    </row>
    <row r="1509" spans="1:8" x14ac:dyDescent="0.3">
      <c r="A1509" s="1" t="s">
        <v>1815</v>
      </c>
      <c r="B1509" s="2">
        <v>44935</v>
      </c>
      <c r="C1509" s="1" t="s">
        <v>353</v>
      </c>
      <c r="D1509" s="1" t="s">
        <v>253</v>
      </c>
      <c r="E1509">
        <v>2</v>
      </c>
      <c r="F1509" s="4">
        <v>1392.21</v>
      </c>
      <c r="G1509" s="3">
        <v>0</v>
      </c>
      <c r="H1509" s="4">
        <v>228.94</v>
      </c>
    </row>
    <row r="1510" spans="1:8" x14ac:dyDescent="0.3">
      <c r="A1510" s="1" t="s">
        <v>1816</v>
      </c>
      <c r="B1510" s="2">
        <v>44935</v>
      </c>
      <c r="C1510" s="1" t="s">
        <v>1043</v>
      </c>
      <c r="D1510" s="1" t="s">
        <v>234</v>
      </c>
      <c r="E1510">
        <v>1</v>
      </c>
      <c r="F1510" s="4">
        <v>875.49</v>
      </c>
      <c r="G1510" s="3">
        <v>0.2</v>
      </c>
      <c r="H1510" s="4">
        <v>210.01</v>
      </c>
    </row>
    <row r="1511" spans="1:8" x14ac:dyDescent="0.3">
      <c r="A1511" s="1" t="s">
        <v>1817</v>
      </c>
      <c r="B1511" s="2">
        <v>45389</v>
      </c>
      <c r="C1511" s="1" t="s">
        <v>319</v>
      </c>
      <c r="D1511" s="1" t="s">
        <v>75</v>
      </c>
      <c r="E1511">
        <v>2</v>
      </c>
      <c r="F1511" s="4">
        <v>129.25</v>
      </c>
      <c r="G1511" s="3">
        <v>0.1</v>
      </c>
      <c r="H1511" s="4">
        <v>13.12</v>
      </c>
    </row>
    <row r="1512" spans="1:8" x14ac:dyDescent="0.3">
      <c r="A1512" s="1" t="s">
        <v>1818</v>
      </c>
      <c r="B1512" s="2">
        <v>44766</v>
      </c>
      <c r="C1512" s="1" t="s">
        <v>167</v>
      </c>
      <c r="D1512" s="1" t="s">
        <v>141</v>
      </c>
      <c r="E1512">
        <v>3</v>
      </c>
      <c r="F1512" s="4">
        <v>1207.56</v>
      </c>
      <c r="G1512" s="3">
        <v>0.3</v>
      </c>
      <c r="H1512" s="4">
        <v>274.51</v>
      </c>
    </row>
    <row r="1513" spans="1:8" x14ac:dyDescent="0.3">
      <c r="A1513" s="1" t="s">
        <v>1819</v>
      </c>
      <c r="B1513" s="2">
        <v>45021</v>
      </c>
      <c r="C1513" s="1" t="s">
        <v>58</v>
      </c>
      <c r="D1513" s="1" t="s">
        <v>256</v>
      </c>
      <c r="E1513">
        <v>2</v>
      </c>
      <c r="F1513" s="4">
        <v>580.89</v>
      </c>
      <c r="G1513" s="3">
        <v>0.2</v>
      </c>
      <c r="H1513" s="4">
        <v>32.119999999999997</v>
      </c>
    </row>
    <row r="1514" spans="1:8" x14ac:dyDescent="0.3">
      <c r="A1514" s="1" t="s">
        <v>1820</v>
      </c>
      <c r="B1514" s="2">
        <v>45316</v>
      </c>
      <c r="C1514" s="1" t="s">
        <v>313</v>
      </c>
      <c r="D1514" s="1" t="s">
        <v>45</v>
      </c>
      <c r="E1514">
        <v>2</v>
      </c>
      <c r="F1514" s="4">
        <v>955.48</v>
      </c>
      <c r="G1514" s="3">
        <v>0</v>
      </c>
      <c r="H1514" s="4">
        <v>147.84</v>
      </c>
    </row>
    <row r="1515" spans="1:8" x14ac:dyDescent="0.3">
      <c r="A1515" s="1" t="s">
        <v>1821</v>
      </c>
      <c r="B1515" s="2">
        <v>45187</v>
      </c>
      <c r="C1515" s="1" t="s">
        <v>56</v>
      </c>
      <c r="D1515" s="1" t="s">
        <v>34</v>
      </c>
      <c r="E1515">
        <v>5</v>
      </c>
      <c r="F1515" s="4">
        <v>1919.4</v>
      </c>
      <c r="G1515" s="3">
        <v>0.3</v>
      </c>
      <c r="H1515" s="4">
        <v>468.27</v>
      </c>
    </row>
    <row r="1516" spans="1:8" x14ac:dyDescent="0.3">
      <c r="A1516" s="1" t="s">
        <v>1822</v>
      </c>
      <c r="B1516" s="2">
        <v>45443</v>
      </c>
      <c r="C1516" s="1" t="s">
        <v>126</v>
      </c>
      <c r="D1516" s="1" t="s">
        <v>186</v>
      </c>
      <c r="E1516">
        <v>4</v>
      </c>
      <c r="F1516" s="4">
        <v>858.17</v>
      </c>
      <c r="G1516" s="3">
        <v>0.1</v>
      </c>
      <c r="H1516" s="4">
        <v>115.58</v>
      </c>
    </row>
    <row r="1517" spans="1:8" x14ac:dyDescent="0.3">
      <c r="A1517" s="1" t="s">
        <v>1823</v>
      </c>
      <c r="B1517" s="2">
        <v>44749</v>
      </c>
      <c r="C1517" s="1" t="s">
        <v>194</v>
      </c>
      <c r="D1517" s="1" t="s">
        <v>309</v>
      </c>
      <c r="E1517">
        <v>4</v>
      </c>
      <c r="F1517" s="4">
        <v>1695.62</v>
      </c>
      <c r="G1517" s="3">
        <v>0.1</v>
      </c>
      <c r="H1517" s="4">
        <v>323.75</v>
      </c>
    </row>
    <row r="1518" spans="1:8" x14ac:dyDescent="0.3">
      <c r="A1518" s="1" t="s">
        <v>1824</v>
      </c>
      <c r="B1518" s="2">
        <v>44867</v>
      </c>
      <c r="C1518" s="1" t="s">
        <v>334</v>
      </c>
      <c r="D1518" s="1" t="s">
        <v>143</v>
      </c>
      <c r="E1518">
        <v>3</v>
      </c>
      <c r="F1518" s="4">
        <v>458.23</v>
      </c>
      <c r="G1518" s="3">
        <v>0.2</v>
      </c>
      <c r="H1518" s="4">
        <v>46.39</v>
      </c>
    </row>
    <row r="1519" spans="1:8" x14ac:dyDescent="0.3">
      <c r="A1519" s="1" t="s">
        <v>1825</v>
      </c>
      <c r="B1519" s="2">
        <v>45339</v>
      </c>
      <c r="C1519" s="1" t="s">
        <v>729</v>
      </c>
      <c r="D1519" s="1" t="s">
        <v>323</v>
      </c>
      <c r="E1519">
        <v>3</v>
      </c>
      <c r="F1519" s="4">
        <v>1377.67</v>
      </c>
      <c r="G1519" s="3">
        <v>0.2</v>
      </c>
      <c r="H1519" s="4">
        <v>324.44</v>
      </c>
    </row>
    <row r="1520" spans="1:8" x14ac:dyDescent="0.3">
      <c r="A1520" s="1" t="s">
        <v>1826</v>
      </c>
      <c r="B1520" s="2">
        <v>44938</v>
      </c>
      <c r="C1520" s="1" t="s">
        <v>697</v>
      </c>
      <c r="D1520" s="1" t="s">
        <v>16</v>
      </c>
      <c r="E1520">
        <v>4</v>
      </c>
      <c r="F1520" s="4">
        <v>1956.31</v>
      </c>
      <c r="G1520" s="3">
        <v>0.2</v>
      </c>
      <c r="H1520" s="4">
        <v>123.38</v>
      </c>
    </row>
    <row r="1521" spans="1:8" x14ac:dyDescent="0.3">
      <c r="A1521" s="1" t="s">
        <v>1827</v>
      </c>
      <c r="B1521" s="2">
        <v>44641</v>
      </c>
      <c r="C1521" s="1" t="s">
        <v>217</v>
      </c>
      <c r="D1521" s="1" t="s">
        <v>283</v>
      </c>
      <c r="E1521">
        <v>5</v>
      </c>
      <c r="F1521" s="4">
        <v>293.60000000000002</v>
      </c>
      <c r="G1521" s="3">
        <v>0.1</v>
      </c>
      <c r="H1521" s="4">
        <v>77.260000000000005</v>
      </c>
    </row>
    <row r="1522" spans="1:8" x14ac:dyDescent="0.3">
      <c r="A1522" s="1" t="s">
        <v>1828</v>
      </c>
      <c r="B1522" s="2">
        <v>45175</v>
      </c>
      <c r="C1522" s="1" t="s">
        <v>134</v>
      </c>
      <c r="D1522" s="1" t="s">
        <v>585</v>
      </c>
      <c r="E1522">
        <v>4</v>
      </c>
      <c r="F1522" s="4">
        <v>115.81</v>
      </c>
      <c r="G1522" s="3">
        <v>0.3</v>
      </c>
      <c r="H1522" s="4">
        <v>11.53</v>
      </c>
    </row>
    <row r="1523" spans="1:8" x14ac:dyDescent="0.3">
      <c r="A1523" s="1" t="s">
        <v>1829</v>
      </c>
      <c r="B1523" s="2">
        <v>45258</v>
      </c>
      <c r="C1523" s="1" t="s">
        <v>505</v>
      </c>
      <c r="D1523" s="1" t="s">
        <v>275</v>
      </c>
      <c r="E1523">
        <v>5</v>
      </c>
      <c r="F1523" s="4">
        <v>923.81</v>
      </c>
      <c r="G1523" s="3">
        <v>0.1</v>
      </c>
      <c r="H1523" s="4">
        <v>248.13</v>
      </c>
    </row>
    <row r="1524" spans="1:8" x14ac:dyDescent="0.3">
      <c r="A1524" s="1" t="s">
        <v>1830</v>
      </c>
      <c r="B1524" s="2">
        <v>45090</v>
      </c>
      <c r="C1524" s="1" t="s">
        <v>213</v>
      </c>
      <c r="D1524" s="1" t="s">
        <v>269</v>
      </c>
      <c r="E1524">
        <v>3</v>
      </c>
      <c r="F1524" s="4">
        <v>275.99</v>
      </c>
      <c r="G1524" s="3">
        <v>0</v>
      </c>
      <c r="H1524" s="4">
        <v>38.119999999999997</v>
      </c>
    </row>
    <row r="1525" spans="1:8" x14ac:dyDescent="0.3">
      <c r="A1525" s="1" t="s">
        <v>1831</v>
      </c>
      <c r="B1525" s="2">
        <v>45091</v>
      </c>
      <c r="C1525" s="1" t="s">
        <v>169</v>
      </c>
      <c r="D1525" s="1" t="s">
        <v>143</v>
      </c>
      <c r="E1525">
        <v>1</v>
      </c>
      <c r="F1525" s="4">
        <v>1521.93</v>
      </c>
      <c r="G1525" s="3">
        <v>0.1</v>
      </c>
      <c r="H1525" s="4">
        <v>351.06</v>
      </c>
    </row>
    <row r="1526" spans="1:8" x14ac:dyDescent="0.3">
      <c r="A1526" s="1" t="s">
        <v>1832</v>
      </c>
      <c r="B1526" s="2">
        <v>44847</v>
      </c>
      <c r="C1526" s="1" t="s">
        <v>524</v>
      </c>
      <c r="D1526" s="1" t="s">
        <v>75</v>
      </c>
      <c r="E1526">
        <v>3</v>
      </c>
      <c r="F1526" s="4">
        <v>1837.64</v>
      </c>
      <c r="G1526" s="3">
        <v>0</v>
      </c>
      <c r="H1526" s="4">
        <v>238.54</v>
      </c>
    </row>
    <row r="1527" spans="1:8" x14ac:dyDescent="0.3">
      <c r="A1527" s="1" t="s">
        <v>1833</v>
      </c>
      <c r="B1527" s="2">
        <v>45123</v>
      </c>
      <c r="C1527" s="1" t="s">
        <v>439</v>
      </c>
      <c r="D1527" s="1" t="s">
        <v>107</v>
      </c>
      <c r="E1527">
        <v>3</v>
      </c>
      <c r="F1527" s="4">
        <v>924.64</v>
      </c>
      <c r="G1527" s="3">
        <v>0.3</v>
      </c>
      <c r="H1527" s="4">
        <v>255.64</v>
      </c>
    </row>
    <row r="1528" spans="1:8" x14ac:dyDescent="0.3">
      <c r="A1528" s="1" t="s">
        <v>1834</v>
      </c>
      <c r="B1528" s="2">
        <v>45217</v>
      </c>
      <c r="C1528" s="1" t="s">
        <v>280</v>
      </c>
      <c r="D1528" s="1" t="s">
        <v>61</v>
      </c>
      <c r="E1528">
        <v>2</v>
      </c>
      <c r="F1528" s="4">
        <v>591.54999999999995</v>
      </c>
      <c r="G1528" s="3">
        <v>0.2</v>
      </c>
      <c r="H1528" s="4">
        <v>48.31</v>
      </c>
    </row>
    <row r="1529" spans="1:8" x14ac:dyDescent="0.3">
      <c r="A1529" s="1" t="s">
        <v>1835</v>
      </c>
      <c r="B1529" s="2">
        <v>44894</v>
      </c>
      <c r="C1529" s="1" t="s">
        <v>182</v>
      </c>
      <c r="D1529" s="1" t="s">
        <v>127</v>
      </c>
      <c r="E1529">
        <v>2</v>
      </c>
      <c r="F1529" s="4">
        <v>925.37</v>
      </c>
      <c r="G1529" s="3">
        <v>0.2</v>
      </c>
      <c r="H1529" s="4">
        <v>87.57</v>
      </c>
    </row>
    <row r="1530" spans="1:8" x14ac:dyDescent="0.3">
      <c r="A1530" s="1" t="s">
        <v>1836</v>
      </c>
      <c r="B1530" s="2">
        <v>44578</v>
      </c>
      <c r="C1530" s="1" t="s">
        <v>220</v>
      </c>
      <c r="D1530" s="1" t="s">
        <v>116</v>
      </c>
      <c r="E1530">
        <v>2</v>
      </c>
      <c r="F1530" s="4">
        <v>1474.55</v>
      </c>
      <c r="G1530" s="3">
        <v>0.1</v>
      </c>
      <c r="H1530" s="4">
        <v>255.48</v>
      </c>
    </row>
    <row r="1531" spans="1:8" x14ac:dyDescent="0.3">
      <c r="A1531" s="1" t="s">
        <v>1837</v>
      </c>
      <c r="B1531" s="2">
        <v>44700</v>
      </c>
      <c r="C1531" s="1" t="s">
        <v>489</v>
      </c>
      <c r="D1531" s="1" t="s">
        <v>455</v>
      </c>
      <c r="E1531">
        <v>2</v>
      </c>
      <c r="F1531" s="4">
        <v>117.2</v>
      </c>
      <c r="G1531" s="3">
        <v>0.2</v>
      </c>
      <c r="H1531" s="4">
        <v>8.26</v>
      </c>
    </row>
    <row r="1532" spans="1:8" x14ac:dyDescent="0.3">
      <c r="A1532" s="1" t="s">
        <v>1838</v>
      </c>
      <c r="B1532" s="2">
        <v>44885</v>
      </c>
      <c r="C1532" s="1" t="s">
        <v>803</v>
      </c>
      <c r="D1532" s="1" t="s">
        <v>392</v>
      </c>
      <c r="E1532">
        <v>5</v>
      </c>
      <c r="F1532" s="4">
        <v>1219.96</v>
      </c>
      <c r="G1532" s="3">
        <v>0.3</v>
      </c>
      <c r="H1532" s="4">
        <v>120.77</v>
      </c>
    </row>
    <row r="1533" spans="1:8" x14ac:dyDescent="0.3">
      <c r="A1533" s="1" t="s">
        <v>1839</v>
      </c>
      <c r="B1533" s="2">
        <v>44818</v>
      </c>
      <c r="C1533" s="1" t="s">
        <v>74</v>
      </c>
      <c r="D1533" s="1" t="s">
        <v>669</v>
      </c>
      <c r="E1533">
        <v>4</v>
      </c>
      <c r="F1533" s="4">
        <v>1265.25</v>
      </c>
      <c r="G1533" s="3">
        <v>0.2</v>
      </c>
      <c r="H1533" s="4">
        <v>361.79</v>
      </c>
    </row>
    <row r="1534" spans="1:8" x14ac:dyDescent="0.3">
      <c r="A1534" s="1" t="s">
        <v>1840</v>
      </c>
      <c r="B1534" s="2">
        <v>45288</v>
      </c>
      <c r="C1534" s="1" t="s">
        <v>526</v>
      </c>
      <c r="D1534" s="1" t="s">
        <v>16</v>
      </c>
      <c r="E1534">
        <v>1</v>
      </c>
      <c r="F1534" s="4">
        <v>1311.61</v>
      </c>
      <c r="G1534" s="3">
        <v>0.1</v>
      </c>
      <c r="H1534" s="4">
        <v>385.77</v>
      </c>
    </row>
    <row r="1535" spans="1:8" x14ac:dyDescent="0.3">
      <c r="A1535" s="1" t="s">
        <v>1841</v>
      </c>
      <c r="B1535" s="2">
        <v>45280</v>
      </c>
      <c r="C1535" s="1" t="s">
        <v>160</v>
      </c>
      <c r="D1535" s="1" t="s">
        <v>34</v>
      </c>
      <c r="E1535">
        <v>3</v>
      </c>
      <c r="F1535" s="4">
        <v>559.84</v>
      </c>
      <c r="G1535" s="3">
        <v>0.3</v>
      </c>
      <c r="H1535" s="4">
        <v>80.650000000000006</v>
      </c>
    </row>
    <row r="1536" spans="1:8" x14ac:dyDescent="0.3">
      <c r="A1536" s="1" t="s">
        <v>1842</v>
      </c>
      <c r="B1536" s="2">
        <v>44877</v>
      </c>
      <c r="C1536" s="1" t="s">
        <v>217</v>
      </c>
      <c r="D1536" s="1" t="s">
        <v>161</v>
      </c>
      <c r="E1536">
        <v>5</v>
      </c>
      <c r="F1536" s="4">
        <v>1456.7</v>
      </c>
      <c r="G1536" s="3">
        <v>0</v>
      </c>
      <c r="H1536" s="4">
        <v>409.07</v>
      </c>
    </row>
    <row r="1537" spans="1:8" x14ac:dyDescent="0.3">
      <c r="A1537" s="1" t="s">
        <v>1843</v>
      </c>
      <c r="B1537" s="2">
        <v>45456</v>
      </c>
      <c r="C1537" s="1" t="s">
        <v>353</v>
      </c>
      <c r="D1537" s="1" t="s">
        <v>256</v>
      </c>
      <c r="E1537">
        <v>1</v>
      </c>
      <c r="F1537" s="4">
        <v>273.64</v>
      </c>
      <c r="G1537" s="3">
        <v>0.1</v>
      </c>
      <c r="H1537" s="4">
        <v>50.95</v>
      </c>
    </row>
    <row r="1538" spans="1:8" x14ac:dyDescent="0.3">
      <c r="A1538" s="1" t="s">
        <v>1844</v>
      </c>
      <c r="B1538" s="2">
        <v>44638</v>
      </c>
      <c r="C1538" s="1" t="s">
        <v>194</v>
      </c>
      <c r="D1538" s="1" t="s">
        <v>97</v>
      </c>
      <c r="E1538">
        <v>5</v>
      </c>
      <c r="F1538" s="4">
        <v>478.61</v>
      </c>
      <c r="G1538" s="3">
        <v>0</v>
      </c>
      <c r="H1538" s="4">
        <v>56.21</v>
      </c>
    </row>
    <row r="1539" spans="1:8" x14ac:dyDescent="0.3">
      <c r="A1539" s="1" t="s">
        <v>1845</v>
      </c>
      <c r="B1539" s="2">
        <v>44585</v>
      </c>
      <c r="C1539" s="1" t="s">
        <v>208</v>
      </c>
      <c r="D1539" s="1" t="s">
        <v>288</v>
      </c>
      <c r="E1539">
        <v>5</v>
      </c>
      <c r="F1539" s="4">
        <v>1767.19</v>
      </c>
      <c r="G1539" s="3">
        <v>0.3</v>
      </c>
      <c r="H1539" s="4">
        <v>398.68</v>
      </c>
    </row>
    <row r="1540" spans="1:8" x14ac:dyDescent="0.3">
      <c r="A1540" s="1" t="s">
        <v>1846</v>
      </c>
      <c r="B1540" s="2">
        <v>45178</v>
      </c>
      <c r="C1540" s="1" t="s">
        <v>598</v>
      </c>
      <c r="D1540" s="1" t="s">
        <v>75</v>
      </c>
      <c r="E1540">
        <v>3</v>
      </c>
      <c r="F1540" s="4">
        <v>1503.57</v>
      </c>
      <c r="G1540" s="3">
        <v>0.1</v>
      </c>
      <c r="H1540" s="4">
        <v>322.85000000000002</v>
      </c>
    </row>
    <row r="1541" spans="1:8" x14ac:dyDescent="0.3">
      <c r="A1541" s="1" t="s">
        <v>1847</v>
      </c>
      <c r="B1541" s="2">
        <v>45291</v>
      </c>
      <c r="C1541" s="1" t="s">
        <v>607</v>
      </c>
      <c r="D1541" s="1" t="s">
        <v>40</v>
      </c>
      <c r="E1541">
        <v>4</v>
      </c>
      <c r="F1541" s="4">
        <v>126.12</v>
      </c>
      <c r="G1541" s="3">
        <v>0.1</v>
      </c>
      <c r="H1541" s="4">
        <v>37.49</v>
      </c>
    </row>
    <row r="1542" spans="1:8" x14ac:dyDescent="0.3">
      <c r="A1542" s="1" t="s">
        <v>1848</v>
      </c>
      <c r="B1542" s="2">
        <v>44939</v>
      </c>
      <c r="C1542" s="1" t="s">
        <v>482</v>
      </c>
      <c r="D1542" s="1" t="s">
        <v>757</v>
      </c>
      <c r="E1542">
        <v>2</v>
      </c>
      <c r="F1542" s="4">
        <v>571.91</v>
      </c>
      <c r="G1542" s="3">
        <v>0.3</v>
      </c>
      <c r="H1542" s="4">
        <v>66.489999999999995</v>
      </c>
    </row>
    <row r="1543" spans="1:8" x14ac:dyDescent="0.3">
      <c r="A1543" s="1" t="s">
        <v>1849</v>
      </c>
      <c r="B1543" s="2">
        <v>45072</v>
      </c>
      <c r="C1543" s="1" t="s">
        <v>63</v>
      </c>
      <c r="D1543" s="1" t="s">
        <v>31</v>
      </c>
      <c r="E1543">
        <v>4</v>
      </c>
      <c r="F1543" s="4">
        <v>507.37</v>
      </c>
      <c r="G1543" s="3">
        <v>0.2</v>
      </c>
      <c r="H1543" s="4">
        <v>110.61</v>
      </c>
    </row>
    <row r="1544" spans="1:8" x14ac:dyDescent="0.3">
      <c r="A1544" s="1" t="s">
        <v>1850</v>
      </c>
      <c r="B1544" s="2">
        <v>44798</v>
      </c>
      <c r="C1544" s="1" t="s">
        <v>1181</v>
      </c>
      <c r="D1544" s="1" t="s">
        <v>97</v>
      </c>
      <c r="E1544">
        <v>3</v>
      </c>
      <c r="F1544" s="4">
        <v>614.53</v>
      </c>
      <c r="G1544" s="3">
        <v>0.1</v>
      </c>
      <c r="H1544" s="4">
        <v>38.72</v>
      </c>
    </row>
    <row r="1545" spans="1:8" x14ac:dyDescent="0.3">
      <c r="A1545" s="1" t="s">
        <v>1851</v>
      </c>
      <c r="B1545" s="2">
        <v>44718</v>
      </c>
      <c r="C1545" s="1" t="s">
        <v>316</v>
      </c>
      <c r="D1545" s="1" t="s">
        <v>392</v>
      </c>
      <c r="E1545">
        <v>3</v>
      </c>
      <c r="F1545" s="4">
        <v>570.36</v>
      </c>
      <c r="G1545" s="3">
        <v>0.1</v>
      </c>
      <c r="H1545" s="4">
        <v>44.72</v>
      </c>
    </row>
    <row r="1546" spans="1:8" x14ac:dyDescent="0.3">
      <c r="A1546" s="1" t="s">
        <v>1852</v>
      </c>
      <c r="B1546" s="2">
        <v>45312</v>
      </c>
      <c r="C1546" s="1" t="s">
        <v>268</v>
      </c>
      <c r="D1546" s="1" t="s">
        <v>278</v>
      </c>
      <c r="E1546">
        <v>3</v>
      </c>
      <c r="F1546" s="4">
        <v>218.8</v>
      </c>
      <c r="G1546" s="3">
        <v>0</v>
      </c>
      <c r="H1546" s="4">
        <v>11.15</v>
      </c>
    </row>
    <row r="1547" spans="1:8" x14ac:dyDescent="0.3">
      <c r="A1547" s="1" t="s">
        <v>1853</v>
      </c>
      <c r="B1547" s="2">
        <v>45440</v>
      </c>
      <c r="C1547" s="1" t="s">
        <v>529</v>
      </c>
      <c r="D1547" s="1" t="s">
        <v>132</v>
      </c>
      <c r="E1547">
        <v>1</v>
      </c>
      <c r="F1547" s="4">
        <v>971.99</v>
      </c>
      <c r="G1547" s="3">
        <v>0.2</v>
      </c>
      <c r="H1547" s="4">
        <v>291.47000000000003</v>
      </c>
    </row>
    <row r="1548" spans="1:8" x14ac:dyDescent="0.3">
      <c r="A1548" s="1" t="s">
        <v>1854</v>
      </c>
      <c r="B1548" s="2">
        <v>45004</v>
      </c>
      <c r="C1548" s="1" t="s">
        <v>729</v>
      </c>
      <c r="D1548" s="1" t="s">
        <v>54</v>
      </c>
      <c r="E1548">
        <v>4</v>
      </c>
      <c r="F1548" s="4">
        <v>1492.19</v>
      </c>
      <c r="G1548" s="3">
        <v>0</v>
      </c>
      <c r="H1548" s="4">
        <v>373.9</v>
      </c>
    </row>
    <row r="1549" spans="1:8" x14ac:dyDescent="0.3">
      <c r="A1549" s="1" t="s">
        <v>1855</v>
      </c>
      <c r="B1549" s="2">
        <v>44721</v>
      </c>
      <c r="C1549" s="1" t="s">
        <v>1043</v>
      </c>
      <c r="D1549" s="1" t="s">
        <v>161</v>
      </c>
      <c r="E1549">
        <v>4</v>
      </c>
      <c r="F1549" s="4">
        <v>1252.79</v>
      </c>
      <c r="G1549" s="3">
        <v>0</v>
      </c>
      <c r="H1549" s="4">
        <v>309.04000000000002</v>
      </c>
    </row>
    <row r="1550" spans="1:8" x14ac:dyDescent="0.3">
      <c r="A1550" s="1" t="s">
        <v>1856</v>
      </c>
      <c r="B1550" s="2">
        <v>44869</v>
      </c>
      <c r="C1550" s="1" t="s">
        <v>88</v>
      </c>
      <c r="D1550" s="1" t="s">
        <v>278</v>
      </c>
      <c r="E1550">
        <v>5</v>
      </c>
      <c r="F1550" s="4">
        <v>1378.46</v>
      </c>
      <c r="G1550" s="3">
        <v>0.2</v>
      </c>
      <c r="H1550" s="4">
        <v>244.58</v>
      </c>
    </row>
    <row r="1551" spans="1:8" x14ac:dyDescent="0.3">
      <c r="A1551" s="1" t="s">
        <v>1857</v>
      </c>
      <c r="B1551" s="2">
        <v>44749</v>
      </c>
      <c r="C1551" s="1" t="s">
        <v>744</v>
      </c>
      <c r="D1551" s="1" t="s">
        <v>392</v>
      </c>
      <c r="E1551">
        <v>5</v>
      </c>
      <c r="F1551" s="4">
        <v>254.18</v>
      </c>
      <c r="G1551" s="3">
        <v>0.2</v>
      </c>
      <c r="H1551" s="4">
        <v>31.78</v>
      </c>
    </row>
    <row r="1552" spans="1:8" x14ac:dyDescent="0.3">
      <c r="A1552" s="1" t="s">
        <v>1858</v>
      </c>
      <c r="B1552" s="2">
        <v>44932</v>
      </c>
      <c r="C1552" s="1" t="s">
        <v>610</v>
      </c>
      <c r="D1552" s="1" t="s">
        <v>309</v>
      </c>
      <c r="E1552">
        <v>5</v>
      </c>
      <c r="F1552" s="4">
        <v>1907.83</v>
      </c>
      <c r="G1552" s="3">
        <v>0.3</v>
      </c>
      <c r="H1552" s="4">
        <v>167.54</v>
      </c>
    </row>
    <row r="1553" spans="1:8" x14ac:dyDescent="0.3">
      <c r="A1553" s="1" t="s">
        <v>1859</v>
      </c>
      <c r="B1553" s="2">
        <v>45254</v>
      </c>
      <c r="C1553" s="1" t="s">
        <v>96</v>
      </c>
      <c r="D1553" s="1" t="s">
        <v>727</v>
      </c>
      <c r="E1553">
        <v>3</v>
      </c>
      <c r="F1553" s="4">
        <v>1693.13</v>
      </c>
      <c r="G1553" s="3">
        <v>0.2</v>
      </c>
      <c r="H1553" s="4">
        <v>205.15</v>
      </c>
    </row>
    <row r="1554" spans="1:8" x14ac:dyDescent="0.3">
      <c r="A1554" s="1" t="s">
        <v>1860</v>
      </c>
      <c r="B1554" s="2">
        <v>44898</v>
      </c>
      <c r="C1554" s="1" t="s">
        <v>1043</v>
      </c>
      <c r="D1554" s="1" t="s">
        <v>234</v>
      </c>
      <c r="E1554">
        <v>4</v>
      </c>
      <c r="F1554" s="4">
        <v>1629.67</v>
      </c>
      <c r="G1554" s="3">
        <v>0.1</v>
      </c>
      <c r="H1554" s="4">
        <v>234.66</v>
      </c>
    </row>
    <row r="1555" spans="1:8" x14ac:dyDescent="0.3">
      <c r="A1555" s="1" t="s">
        <v>1861</v>
      </c>
      <c r="B1555" s="2">
        <v>44700</v>
      </c>
      <c r="C1555" s="1" t="s">
        <v>744</v>
      </c>
      <c r="D1555" s="1" t="s">
        <v>34</v>
      </c>
      <c r="E1555">
        <v>3</v>
      </c>
      <c r="F1555" s="4">
        <v>1663.67</v>
      </c>
      <c r="G1555" s="3">
        <v>0.2</v>
      </c>
      <c r="H1555" s="4">
        <v>397.75</v>
      </c>
    </row>
    <row r="1556" spans="1:8" x14ac:dyDescent="0.3">
      <c r="A1556" s="1" t="s">
        <v>1862</v>
      </c>
      <c r="B1556" s="2">
        <v>44692</v>
      </c>
      <c r="C1556" s="1" t="s">
        <v>106</v>
      </c>
      <c r="D1556" s="1" t="s">
        <v>304</v>
      </c>
      <c r="E1556">
        <v>1</v>
      </c>
      <c r="F1556" s="4">
        <v>1872.15</v>
      </c>
      <c r="G1556" s="3">
        <v>0.3</v>
      </c>
      <c r="H1556" s="4">
        <v>346.19</v>
      </c>
    </row>
    <row r="1557" spans="1:8" x14ac:dyDescent="0.3">
      <c r="A1557" s="1" t="s">
        <v>1863</v>
      </c>
      <c r="B1557" s="2">
        <v>45045</v>
      </c>
      <c r="C1557" s="1" t="s">
        <v>439</v>
      </c>
      <c r="D1557" s="1" t="s">
        <v>314</v>
      </c>
      <c r="E1557">
        <v>5</v>
      </c>
      <c r="F1557" s="4">
        <v>1134.08</v>
      </c>
      <c r="G1557" s="3">
        <v>0.3</v>
      </c>
      <c r="H1557" s="4">
        <v>78.67</v>
      </c>
    </row>
    <row r="1558" spans="1:8" x14ac:dyDescent="0.3">
      <c r="A1558" s="1" t="s">
        <v>1864</v>
      </c>
      <c r="B1558" s="2">
        <v>44703</v>
      </c>
      <c r="C1558" s="1" t="s">
        <v>244</v>
      </c>
      <c r="D1558" s="1" t="s">
        <v>455</v>
      </c>
      <c r="E1558">
        <v>3</v>
      </c>
      <c r="F1558" s="4">
        <v>480.54</v>
      </c>
      <c r="G1558" s="3">
        <v>0.3</v>
      </c>
      <c r="H1558" s="4">
        <v>26.19</v>
      </c>
    </row>
    <row r="1559" spans="1:8" x14ac:dyDescent="0.3">
      <c r="A1559" s="1" t="s">
        <v>1865</v>
      </c>
      <c r="B1559" s="2">
        <v>45268</v>
      </c>
      <c r="C1559" s="1" t="s">
        <v>15</v>
      </c>
      <c r="D1559" s="1" t="s">
        <v>97</v>
      </c>
      <c r="E1559">
        <v>3</v>
      </c>
      <c r="F1559" s="4">
        <v>1271.8900000000001</v>
      </c>
      <c r="G1559" s="3">
        <v>0.2</v>
      </c>
      <c r="H1559" s="4">
        <v>96.13</v>
      </c>
    </row>
    <row r="1560" spans="1:8" x14ac:dyDescent="0.3">
      <c r="A1560" s="1" t="s">
        <v>1866</v>
      </c>
      <c r="B1560" s="2">
        <v>45328</v>
      </c>
      <c r="C1560" s="1" t="s">
        <v>277</v>
      </c>
      <c r="D1560" s="1" t="s">
        <v>16</v>
      </c>
      <c r="E1560">
        <v>1</v>
      </c>
      <c r="F1560" s="4">
        <v>1511.47</v>
      </c>
      <c r="G1560" s="3">
        <v>0.2</v>
      </c>
      <c r="H1560" s="4">
        <v>230.69</v>
      </c>
    </row>
    <row r="1561" spans="1:8" x14ac:dyDescent="0.3">
      <c r="A1561" s="1" t="s">
        <v>1867</v>
      </c>
      <c r="B1561" s="2">
        <v>45417</v>
      </c>
      <c r="C1561" s="1" t="s">
        <v>662</v>
      </c>
      <c r="D1561" s="1" t="s">
        <v>603</v>
      </c>
      <c r="E1561">
        <v>2</v>
      </c>
      <c r="F1561" s="4">
        <v>1502.04</v>
      </c>
      <c r="G1561" s="3">
        <v>0</v>
      </c>
      <c r="H1561" s="4">
        <v>425.53</v>
      </c>
    </row>
    <row r="1562" spans="1:8" x14ac:dyDescent="0.3">
      <c r="A1562" s="1" t="s">
        <v>1868</v>
      </c>
      <c r="B1562" s="2">
        <v>44983</v>
      </c>
      <c r="C1562" s="1" t="s">
        <v>330</v>
      </c>
      <c r="D1562" s="1" t="s">
        <v>19</v>
      </c>
      <c r="E1562">
        <v>4</v>
      </c>
      <c r="F1562" s="4">
        <v>1090.75</v>
      </c>
      <c r="G1562" s="3">
        <v>0</v>
      </c>
      <c r="H1562" s="4">
        <v>228.35</v>
      </c>
    </row>
    <row r="1563" spans="1:8" x14ac:dyDescent="0.3">
      <c r="A1563" s="1" t="s">
        <v>1869</v>
      </c>
      <c r="B1563" s="2">
        <v>44696</v>
      </c>
      <c r="C1563" s="1" t="s">
        <v>449</v>
      </c>
      <c r="D1563" s="1" t="s">
        <v>211</v>
      </c>
      <c r="E1563">
        <v>2</v>
      </c>
      <c r="F1563" s="4">
        <v>230.07</v>
      </c>
      <c r="G1563" s="3">
        <v>0.1</v>
      </c>
      <c r="H1563" s="4">
        <v>57.62</v>
      </c>
    </row>
    <row r="1564" spans="1:8" x14ac:dyDescent="0.3">
      <c r="A1564" s="1" t="s">
        <v>1870</v>
      </c>
      <c r="B1564" s="2">
        <v>45126</v>
      </c>
      <c r="C1564" s="1" t="s">
        <v>328</v>
      </c>
      <c r="D1564" s="1" t="s">
        <v>28</v>
      </c>
      <c r="E1564">
        <v>5</v>
      </c>
      <c r="F1564" s="4">
        <v>805.11</v>
      </c>
      <c r="G1564" s="3">
        <v>0</v>
      </c>
      <c r="H1564" s="4">
        <v>134.13</v>
      </c>
    </row>
    <row r="1565" spans="1:8" x14ac:dyDescent="0.3">
      <c r="A1565" s="1" t="s">
        <v>1871</v>
      </c>
      <c r="B1565" s="2">
        <v>45077</v>
      </c>
      <c r="C1565" s="1" t="s">
        <v>647</v>
      </c>
      <c r="D1565" s="1" t="s">
        <v>323</v>
      </c>
      <c r="E1565">
        <v>3</v>
      </c>
      <c r="F1565" s="4">
        <v>1849.46</v>
      </c>
      <c r="G1565" s="3">
        <v>0.1</v>
      </c>
      <c r="H1565" s="4">
        <v>259.69</v>
      </c>
    </row>
    <row r="1566" spans="1:8" x14ac:dyDescent="0.3">
      <c r="A1566" s="1" t="s">
        <v>1872</v>
      </c>
      <c r="B1566" s="2">
        <v>45451</v>
      </c>
      <c r="C1566" s="1" t="s">
        <v>1143</v>
      </c>
      <c r="D1566" s="1" t="s">
        <v>45</v>
      </c>
      <c r="E1566">
        <v>1</v>
      </c>
      <c r="F1566" s="4">
        <v>1210.45</v>
      </c>
      <c r="G1566" s="3">
        <v>0.3</v>
      </c>
      <c r="H1566" s="4">
        <v>93.33</v>
      </c>
    </row>
    <row r="1567" spans="1:8" x14ac:dyDescent="0.3">
      <c r="A1567" s="1" t="s">
        <v>1873</v>
      </c>
      <c r="B1567" s="2">
        <v>45298</v>
      </c>
      <c r="C1567" s="1" t="s">
        <v>265</v>
      </c>
      <c r="D1567" s="1" t="s">
        <v>83</v>
      </c>
      <c r="E1567">
        <v>1</v>
      </c>
      <c r="F1567" s="4">
        <v>1122.83</v>
      </c>
      <c r="G1567" s="3">
        <v>0</v>
      </c>
      <c r="H1567" s="4">
        <v>302.02</v>
      </c>
    </row>
    <row r="1568" spans="1:8" x14ac:dyDescent="0.3">
      <c r="A1568" s="1" t="s">
        <v>1874</v>
      </c>
      <c r="B1568" s="2">
        <v>44599</v>
      </c>
      <c r="C1568" s="1" t="s">
        <v>927</v>
      </c>
      <c r="D1568" s="1" t="s">
        <v>188</v>
      </c>
      <c r="E1568">
        <v>4</v>
      </c>
      <c r="F1568" s="4">
        <v>610.82000000000005</v>
      </c>
      <c r="G1568" s="3">
        <v>0.2</v>
      </c>
      <c r="H1568" s="4">
        <v>150.13</v>
      </c>
    </row>
    <row r="1569" spans="1:8" x14ac:dyDescent="0.3">
      <c r="A1569" s="1" t="s">
        <v>1875</v>
      </c>
      <c r="B1569" s="2">
        <v>45296</v>
      </c>
      <c r="C1569" s="1" t="s">
        <v>1043</v>
      </c>
      <c r="D1569" s="1" t="s">
        <v>67</v>
      </c>
      <c r="E1569">
        <v>2</v>
      </c>
      <c r="F1569" s="4">
        <v>800.05</v>
      </c>
      <c r="G1569" s="3">
        <v>0</v>
      </c>
      <c r="H1569" s="4">
        <v>73.63</v>
      </c>
    </row>
    <row r="1570" spans="1:8" x14ac:dyDescent="0.3">
      <c r="A1570" s="1" t="s">
        <v>1876</v>
      </c>
      <c r="B1570" s="2">
        <v>44992</v>
      </c>
      <c r="C1570" s="1" t="s">
        <v>436</v>
      </c>
      <c r="D1570" s="1" t="s">
        <v>111</v>
      </c>
      <c r="E1570">
        <v>4</v>
      </c>
      <c r="F1570" s="4">
        <v>1801.16</v>
      </c>
      <c r="G1570" s="3">
        <v>0.1</v>
      </c>
      <c r="H1570" s="4">
        <v>320.72000000000003</v>
      </c>
    </row>
    <row r="1571" spans="1:8" x14ac:dyDescent="0.3">
      <c r="A1571" s="1" t="s">
        <v>1877</v>
      </c>
      <c r="B1571" s="2">
        <v>45416</v>
      </c>
      <c r="C1571" s="1" t="s">
        <v>167</v>
      </c>
      <c r="D1571" s="1" t="s">
        <v>97</v>
      </c>
      <c r="E1571">
        <v>3</v>
      </c>
      <c r="F1571" s="4">
        <v>1366.28</v>
      </c>
      <c r="G1571" s="3">
        <v>0</v>
      </c>
      <c r="H1571" s="4">
        <v>234.79</v>
      </c>
    </row>
    <row r="1572" spans="1:8" x14ac:dyDescent="0.3">
      <c r="A1572" s="1" t="s">
        <v>1878</v>
      </c>
      <c r="B1572" s="2">
        <v>45428</v>
      </c>
      <c r="C1572" s="1" t="s">
        <v>526</v>
      </c>
      <c r="D1572" s="1" t="s">
        <v>170</v>
      </c>
      <c r="E1572">
        <v>4</v>
      </c>
      <c r="F1572" s="4">
        <v>1596.04</v>
      </c>
      <c r="G1572" s="3">
        <v>0.3</v>
      </c>
      <c r="H1572" s="4">
        <v>329.22</v>
      </c>
    </row>
    <row r="1573" spans="1:8" x14ac:dyDescent="0.3">
      <c r="A1573" s="1" t="s">
        <v>1879</v>
      </c>
      <c r="B1573" s="2">
        <v>45375</v>
      </c>
      <c r="C1573" s="1" t="s">
        <v>124</v>
      </c>
      <c r="D1573" s="1" t="s">
        <v>211</v>
      </c>
      <c r="E1573">
        <v>1</v>
      </c>
      <c r="F1573" s="4">
        <v>963.26</v>
      </c>
      <c r="G1573" s="3">
        <v>0.2</v>
      </c>
      <c r="H1573" s="4">
        <v>276.02</v>
      </c>
    </row>
    <row r="1574" spans="1:8" x14ac:dyDescent="0.3">
      <c r="A1574" s="1" t="s">
        <v>1880</v>
      </c>
      <c r="B1574" s="2">
        <v>45367</v>
      </c>
      <c r="C1574" s="1" t="s">
        <v>74</v>
      </c>
      <c r="D1574" s="1" t="s">
        <v>278</v>
      </c>
      <c r="E1574">
        <v>1</v>
      </c>
      <c r="F1574" s="4">
        <v>1297.47</v>
      </c>
      <c r="G1574" s="3">
        <v>0.1</v>
      </c>
      <c r="H1574" s="4">
        <v>252.93</v>
      </c>
    </row>
    <row r="1575" spans="1:8" x14ac:dyDescent="0.3">
      <c r="A1575" s="1" t="s">
        <v>1881</v>
      </c>
      <c r="B1575" s="2">
        <v>45355</v>
      </c>
      <c r="C1575" s="1" t="s">
        <v>1056</v>
      </c>
      <c r="D1575" s="1" t="s">
        <v>139</v>
      </c>
      <c r="E1575">
        <v>5</v>
      </c>
      <c r="F1575" s="4">
        <v>571.92999999999995</v>
      </c>
      <c r="G1575" s="3">
        <v>0.2</v>
      </c>
      <c r="H1575" s="4">
        <v>105.84</v>
      </c>
    </row>
    <row r="1576" spans="1:8" x14ac:dyDescent="0.3">
      <c r="A1576" s="1" t="s">
        <v>1882</v>
      </c>
      <c r="B1576" s="2">
        <v>45082</v>
      </c>
      <c r="C1576" s="1" t="s">
        <v>678</v>
      </c>
      <c r="D1576" s="1" t="s">
        <v>278</v>
      </c>
      <c r="E1576">
        <v>5</v>
      </c>
      <c r="F1576" s="4">
        <v>1440.38</v>
      </c>
      <c r="G1576" s="3">
        <v>0.2</v>
      </c>
      <c r="H1576" s="4">
        <v>90.14</v>
      </c>
    </row>
    <row r="1577" spans="1:8" x14ac:dyDescent="0.3">
      <c r="A1577" s="1" t="s">
        <v>1883</v>
      </c>
      <c r="B1577" s="2">
        <v>44921</v>
      </c>
      <c r="C1577" s="1" t="s">
        <v>233</v>
      </c>
      <c r="D1577" s="1" t="s">
        <v>397</v>
      </c>
      <c r="E1577">
        <v>3</v>
      </c>
      <c r="F1577" s="4">
        <v>912.44</v>
      </c>
      <c r="G1577" s="3">
        <v>0.1</v>
      </c>
      <c r="H1577" s="4">
        <v>59.97</v>
      </c>
    </row>
    <row r="1578" spans="1:8" x14ac:dyDescent="0.3">
      <c r="A1578" s="1" t="s">
        <v>1884</v>
      </c>
      <c r="B1578" s="2">
        <v>44612</v>
      </c>
      <c r="C1578" s="1" t="s">
        <v>66</v>
      </c>
      <c r="D1578" s="1" t="s">
        <v>242</v>
      </c>
      <c r="E1578">
        <v>2</v>
      </c>
      <c r="F1578" s="4">
        <v>940.84</v>
      </c>
      <c r="G1578" s="3">
        <v>0.2</v>
      </c>
      <c r="H1578" s="4">
        <v>91.11</v>
      </c>
    </row>
    <row r="1579" spans="1:8" x14ac:dyDescent="0.3">
      <c r="A1579" s="1" t="s">
        <v>1885</v>
      </c>
      <c r="B1579" s="2">
        <v>45193</v>
      </c>
      <c r="C1579" s="1" t="s">
        <v>436</v>
      </c>
      <c r="D1579" s="1" t="s">
        <v>502</v>
      </c>
      <c r="E1579">
        <v>4</v>
      </c>
      <c r="F1579" s="4">
        <v>1333.71</v>
      </c>
      <c r="G1579" s="3">
        <v>0.2</v>
      </c>
      <c r="H1579" s="4">
        <v>77.510000000000005</v>
      </c>
    </row>
    <row r="1580" spans="1:8" x14ac:dyDescent="0.3">
      <c r="A1580" s="1" t="s">
        <v>1886</v>
      </c>
      <c r="B1580" s="2">
        <v>45324</v>
      </c>
      <c r="C1580" s="1" t="s">
        <v>203</v>
      </c>
      <c r="D1580" s="1" t="s">
        <v>161</v>
      </c>
      <c r="E1580">
        <v>3</v>
      </c>
      <c r="F1580" s="4">
        <v>1878.93</v>
      </c>
      <c r="G1580" s="3">
        <v>0</v>
      </c>
      <c r="H1580" s="4">
        <v>443.12</v>
      </c>
    </row>
    <row r="1581" spans="1:8" x14ac:dyDescent="0.3">
      <c r="A1581" s="1" t="s">
        <v>1887</v>
      </c>
      <c r="B1581" s="2">
        <v>44593</v>
      </c>
      <c r="C1581" s="1" t="s">
        <v>238</v>
      </c>
      <c r="D1581" s="1" t="s">
        <v>253</v>
      </c>
      <c r="E1581">
        <v>5</v>
      </c>
      <c r="F1581" s="4">
        <v>221.61</v>
      </c>
      <c r="G1581" s="3">
        <v>0.2</v>
      </c>
      <c r="H1581" s="4">
        <v>51.15</v>
      </c>
    </row>
    <row r="1582" spans="1:8" x14ac:dyDescent="0.3">
      <c r="A1582" s="1" t="s">
        <v>1888</v>
      </c>
      <c r="B1582" s="2">
        <v>45263</v>
      </c>
      <c r="C1582" s="1" t="s">
        <v>265</v>
      </c>
      <c r="D1582" s="1" t="s">
        <v>141</v>
      </c>
      <c r="E1582">
        <v>4</v>
      </c>
      <c r="F1582" s="4">
        <v>1667.01</v>
      </c>
      <c r="G1582" s="3">
        <v>0.2</v>
      </c>
      <c r="H1582" s="4">
        <v>140.05000000000001</v>
      </c>
    </row>
    <row r="1583" spans="1:8" x14ac:dyDescent="0.3">
      <c r="A1583" s="1" t="s">
        <v>1889</v>
      </c>
      <c r="B1583" s="2">
        <v>45311</v>
      </c>
      <c r="C1583" s="1" t="s">
        <v>336</v>
      </c>
      <c r="D1583" s="1" t="s">
        <v>258</v>
      </c>
      <c r="E1583">
        <v>5</v>
      </c>
      <c r="F1583" s="4">
        <v>655.53</v>
      </c>
      <c r="G1583" s="3">
        <v>0.2</v>
      </c>
      <c r="H1583" s="4">
        <v>169.8</v>
      </c>
    </row>
    <row r="1584" spans="1:8" x14ac:dyDescent="0.3">
      <c r="A1584" s="1" t="s">
        <v>1890</v>
      </c>
      <c r="B1584" s="2">
        <v>45436</v>
      </c>
      <c r="C1584" s="1" t="s">
        <v>12</v>
      </c>
      <c r="D1584" s="1" t="s">
        <v>156</v>
      </c>
      <c r="E1584">
        <v>4</v>
      </c>
      <c r="F1584" s="4">
        <v>943.45</v>
      </c>
      <c r="G1584" s="3">
        <v>0.2</v>
      </c>
      <c r="H1584" s="4">
        <v>83.68</v>
      </c>
    </row>
    <row r="1585" spans="1:8" x14ac:dyDescent="0.3">
      <c r="A1585" s="1" t="s">
        <v>1891</v>
      </c>
      <c r="B1585" s="2">
        <v>45066</v>
      </c>
      <c r="C1585" s="1" t="s">
        <v>529</v>
      </c>
      <c r="D1585" s="1" t="s">
        <v>111</v>
      </c>
      <c r="E1585">
        <v>2</v>
      </c>
      <c r="F1585" s="4">
        <v>141.63999999999999</v>
      </c>
      <c r="G1585" s="3">
        <v>0.1</v>
      </c>
      <c r="H1585" s="4">
        <v>17.75</v>
      </c>
    </row>
    <row r="1586" spans="1:8" x14ac:dyDescent="0.3">
      <c r="A1586" s="1" t="s">
        <v>1892</v>
      </c>
      <c r="B1586" s="2">
        <v>45181</v>
      </c>
      <c r="C1586" s="1" t="s">
        <v>673</v>
      </c>
      <c r="D1586" s="1" t="s">
        <v>61</v>
      </c>
      <c r="E1586">
        <v>3</v>
      </c>
      <c r="F1586" s="4">
        <v>671.99</v>
      </c>
      <c r="G1586" s="3">
        <v>0.3</v>
      </c>
      <c r="H1586" s="4">
        <v>75.430000000000007</v>
      </c>
    </row>
    <row r="1587" spans="1:8" x14ac:dyDescent="0.3">
      <c r="A1587" s="1" t="s">
        <v>1893</v>
      </c>
      <c r="B1587" s="2">
        <v>45065</v>
      </c>
      <c r="C1587" s="1" t="s">
        <v>69</v>
      </c>
      <c r="D1587" s="1" t="s">
        <v>61</v>
      </c>
      <c r="E1587">
        <v>4</v>
      </c>
      <c r="F1587" s="4">
        <v>1055</v>
      </c>
      <c r="G1587" s="3">
        <v>0</v>
      </c>
      <c r="H1587" s="4">
        <v>150.94999999999999</v>
      </c>
    </row>
    <row r="1588" spans="1:8" x14ac:dyDescent="0.3">
      <c r="A1588" s="1" t="s">
        <v>1894</v>
      </c>
      <c r="B1588" s="2">
        <v>44947</v>
      </c>
      <c r="C1588" s="1" t="s">
        <v>344</v>
      </c>
      <c r="D1588" s="1" t="s">
        <v>603</v>
      </c>
      <c r="E1588">
        <v>1</v>
      </c>
      <c r="F1588" s="4">
        <v>206.73</v>
      </c>
      <c r="G1588" s="3">
        <v>0.2</v>
      </c>
      <c r="H1588" s="4">
        <v>23.5</v>
      </c>
    </row>
    <row r="1589" spans="1:8" x14ac:dyDescent="0.3">
      <c r="A1589" s="1" t="s">
        <v>1895</v>
      </c>
      <c r="B1589" s="2">
        <v>45313</v>
      </c>
      <c r="C1589" s="1" t="s">
        <v>203</v>
      </c>
      <c r="D1589" s="1" t="s">
        <v>397</v>
      </c>
      <c r="E1589">
        <v>1</v>
      </c>
      <c r="F1589" s="4">
        <v>1033.08</v>
      </c>
      <c r="G1589" s="3">
        <v>0.2</v>
      </c>
      <c r="H1589" s="4">
        <v>177.94</v>
      </c>
    </row>
    <row r="1590" spans="1:8" x14ac:dyDescent="0.3">
      <c r="A1590" s="1" t="s">
        <v>1896</v>
      </c>
      <c r="B1590" s="2">
        <v>45139</v>
      </c>
      <c r="C1590" s="1" t="s">
        <v>1061</v>
      </c>
      <c r="D1590" s="1" t="s">
        <v>372</v>
      </c>
      <c r="E1590">
        <v>4</v>
      </c>
      <c r="F1590" s="4">
        <v>1861.51</v>
      </c>
      <c r="G1590" s="3">
        <v>0.1</v>
      </c>
      <c r="H1590" s="4">
        <v>282.67</v>
      </c>
    </row>
    <row r="1591" spans="1:8" x14ac:dyDescent="0.3">
      <c r="A1591" s="1" t="s">
        <v>1897</v>
      </c>
      <c r="B1591" s="2">
        <v>45275</v>
      </c>
      <c r="C1591" s="1" t="s">
        <v>1093</v>
      </c>
      <c r="D1591" s="1" t="s">
        <v>59</v>
      </c>
      <c r="E1591">
        <v>4</v>
      </c>
      <c r="F1591" s="4">
        <v>300.25</v>
      </c>
      <c r="G1591" s="3">
        <v>0.3</v>
      </c>
      <c r="H1591" s="4">
        <v>89.07</v>
      </c>
    </row>
    <row r="1592" spans="1:8" x14ac:dyDescent="0.3">
      <c r="A1592" s="1" t="s">
        <v>1898</v>
      </c>
      <c r="B1592" s="2">
        <v>45137</v>
      </c>
      <c r="C1592" s="1" t="s">
        <v>80</v>
      </c>
      <c r="D1592" s="1" t="s">
        <v>234</v>
      </c>
      <c r="E1592">
        <v>4</v>
      </c>
      <c r="F1592" s="4">
        <v>1552.44</v>
      </c>
      <c r="G1592" s="3">
        <v>0.2</v>
      </c>
      <c r="H1592" s="4">
        <v>99.33</v>
      </c>
    </row>
    <row r="1593" spans="1:8" x14ac:dyDescent="0.3">
      <c r="A1593" s="1" t="s">
        <v>1899</v>
      </c>
      <c r="B1593" s="2">
        <v>45330</v>
      </c>
      <c r="C1593" s="1" t="s">
        <v>637</v>
      </c>
      <c r="D1593" s="1" t="s">
        <v>177</v>
      </c>
      <c r="E1593">
        <v>1</v>
      </c>
      <c r="F1593" s="4">
        <v>878.38</v>
      </c>
      <c r="G1593" s="3">
        <v>0.1</v>
      </c>
      <c r="H1593" s="4">
        <v>75.14</v>
      </c>
    </row>
    <row r="1594" spans="1:8" x14ac:dyDescent="0.3">
      <c r="A1594" s="1" t="s">
        <v>1900</v>
      </c>
      <c r="B1594" s="2">
        <v>44756</v>
      </c>
      <c r="C1594" s="1" t="s">
        <v>744</v>
      </c>
      <c r="D1594" s="1" t="s">
        <v>669</v>
      </c>
      <c r="E1594">
        <v>1</v>
      </c>
      <c r="F1594" s="4">
        <v>1344.83</v>
      </c>
      <c r="G1594" s="3">
        <v>0</v>
      </c>
      <c r="H1594" s="4">
        <v>85</v>
      </c>
    </row>
    <row r="1595" spans="1:8" x14ac:dyDescent="0.3">
      <c r="A1595" s="1" t="s">
        <v>1901</v>
      </c>
      <c r="B1595" s="2">
        <v>44652</v>
      </c>
      <c r="C1595" s="1" t="s">
        <v>529</v>
      </c>
      <c r="D1595" s="1" t="s">
        <v>455</v>
      </c>
      <c r="E1595">
        <v>4</v>
      </c>
      <c r="F1595" s="4">
        <v>594.45000000000005</v>
      </c>
      <c r="G1595" s="3">
        <v>0</v>
      </c>
      <c r="H1595" s="4">
        <v>122.73</v>
      </c>
    </row>
    <row r="1596" spans="1:8" x14ac:dyDescent="0.3">
      <c r="A1596" s="1" t="s">
        <v>1902</v>
      </c>
      <c r="B1596" s="2">
        <v>44823</v>
      </c>
      <c r="C1596" s="1" t="s">
        <v>138</v>
      </c>
      <c r="D1596" s="1" t="s">
        <v>218</v>
      </c>
      <c r="E1596">
        <v>5</v>
      </c>
      <c r="F1596" s="4">
        <v>403.04</v>
      </c>
      <c r="G1596" s="3">
        <v>0.2</v>
      </c>
      <c r="H1596" s="4">
        <v>25.64</v>
      </c>
    </row>
    <row r="1597" spans="1:8" x14ac:dyDescent="0.3">
      <c r="A1597" s="1" t="s">
        <v>1903</v>
      </c>
      <c r="B1597" s="2">
        <v>45055</v>
      </c>
      <c r="C1597" s="1" t="s">
        <v>526</v>
      </c>
      <c r="D1597" s="1" t="s">
        <v>458</v>
      </c>
      <c r="E1597">
        <v>5</v>
      </c>
      <c r="F1597" s="4">
        <v>404.88</v>
      </c>
      <c r="G1597" s="3">
        <v>0.2</v>
      </c>
      <c r="H1597" s="4">
        <v>104.91</v>
      </c>
    </row>
    <row r="1598" spans="1:8" x14ac:dyDescent="0.3">
      <c r="A1598" s="1" t="s">
        <v>1904</v>
      </c>
      <c r="B1598" s="2">
        <v>45357</v>
      </c>
      <c r="C1598" s="1" t="s">
        <v>559</v>
      </c>
      <c r="D1598" s="1" t="s">
        <v>301</v>
      </c>
      <c r="E1598">
        <v>2</v>
      </c>
      <c r="F1598" s="4">
        <v>233.93</v>
      </c>
      <c r="G1598" s="3">
        <v>0.3</v>
      </c>
      <c r="H1598" s="4">
        <v>41.64</v>
      </c>
    </row>
    <row r="1599" spans="1:8" x14ac:dyDescent="0.3">
      <c r="A1599" s="1" t="s">
        <v>1905</v>
      </c>
      <c r="B1599" s="2">
        <v>45366</v>
      </c>
      <c r="C1599" s="1" t="s">
        <v>579</v>
      </c>
      <c r="D1599" s="1" t="s">
        <v>215</v>
      </c>
      <c r="E1599">
        <v>3</v>
      </c>
      <c r="F1599" s="4">
        <v>452.73</v>
      </c>
      <c r="G1599" s="3">
        <v>0.3</v>
      </c>
      <c r="H1599" s="4">
        <v>82.28</v>
      </c>
    </row>
    <row r="1600" spans="1:8" x14ac:dyDescent="0.3">
      <c r="A1600" s="1" t="s">
        <v>1906</v>
      </c>
      <c r="B1600" s="2">
        <v>45308</v>
      </c>
      <c r="C1600" s="1" t="s">
        <v>554</v>
      </c>
      <c r="D1600" s="1" t="s">
        <v>143</v>
      </c>
      <c r="E1600">
        <v>5</v>
      </c>
      <c r="F1600" s="4">
        <v>1362.02</v>
      </c>
      <c r="G1600" s="3">
        <v>0.2</v>
      </c>
      <c r="H1600" s="4">
        <v>259.33</v>
      </c>
    </row>
    <row r="1601" spans="1:8" x14ac:dyDescent="0.3">
      <c r="A1601" s="1" t="s">
        <v>1907</v>
      </c>
      <c r="B1601" s="2">
        <v>45040</v>
      </c>
      <c r="C1601" s="1" t="s">
        <v>319</v>
      </c>
      <c r="D1601" s="1" t="s">
        <v>48</v>
      </c>
      <c r="E1601">
        <v>1</v>
      </c>
      <c r="F1601" s="4">
        <v>1775.21</v>
      </c>
      <c r="G1601" s="3">
        <v>0.1</v>
      </c>
      <c r="H1601" s="4">
        <v>164.57</v>
      </c>
    </row>
    <row r="1602" spans="1:8" x14ac:dyDescent="0.3">
      <c r="A1602" s="1" t="s">
        <v>1908</v>
      </c>
      <c r="B1602" s="2">
        <v>44994</v>
      </c>
      <c r="C1602" s="1" t="s">
        <v>520</v>
      </c>
      <c r="D1602" s="1" t="s">
        <v>111</v>
      </c>
      <c r="E1602">
        <v>5</v>
      </c>
      <c r="F1602" s="4">
        <v>1646.84</v>
      </c>
      <c r="G1602" s="3">
        <v>0.3</v>
      </c>
      <c r="H1602" s="4">
        <v>163.72999999999999</v>
      </c>
    </row>
    <row r="1603" spans="1:8" x14ac:dyDescent="0.3">
      <c r="A1603" s="1" t="s">
        <v>1909</v>
      </c>
      <c r="B1603" s="2">
        <v>45120</v>
      </c>
      <c r="C1603" s="1" t="s">
        <v>473</v>
      </c>
      <c r="D1603" s="1" t="s">
        <v>323</v>
      </c>
      <c r="E1603">
        <v>2</v>
      </c>
      <c r="F1603" s="4">
        <v>1401.76</v>
      </c>
      <c r="G1603" s="3">
        <v>0.2</v>
      </c>
      <c r="H1603" s="4">
        <v>181.81</v>
      </c>
    </row>
    <row r="1604" spans="1:8" x14ac:dyDescent="0.3">
      <c r="A1604" s="1" t="s">
        <v>1910</v>
      </c>
      <c r="B1604" s="2">
        <v>45278</v>
      </c>
      <c r="C1604" s="1" t="s">
        <v>344</v>
      </c>
      <c r="D1604" s="1" t="s">
        <v>275</v>
      </c>
      <c r="E1604">
        <v>2</v>
      </c>
      <c r="F1604" s="4">
        <v>309.82</v>
      </c>
      <c r="G1604" s="3">
        <v>0.3</v>
      </c>
      <c r="H1604" s="4">
        <v>61.46</v>
      </c>
    </row>
    <row r="1605" spans="1:8" x14ac:dyDescent="0.3">
      <c r="A1605" s="1" t="s">
        <v>1911</v>
      </c>
      <c r="B1605" s="2">
        <v>44986</v>
      </c>
      <c r="C1605" s="1" t="s">
        <v>334</v>
      </c>
      <c r="D1605" s="1" t="s">
        <v>31</v>
      </c>
      <c r="E1605">
        <v>3</v>
      </c>
      <c r="F1605" s="4">
        <v>649.46</v>
      </c>
      <c r="G1605" s="3">
        <v>0.2</v>
      </c>
      <c r="H1605" s="4">
        <v>66.59</v>
      </c>
    </row>
    <row r="1606" spans="1:8" x14ac:dyDescent="0.3">
      <c r="A1606" s="1" t="s">
        <v>1912</v>
      </c>
      <c r="B1606" s="2">
        <v>45363</v>
      </c>
      <c r="C1606" s="1" t="s">
        <v>198</v>
      </c>
      <c r="D1606" s="1" t="s">
        <v>54</v>
      </c>
      <c r="E1606">
        <v>5</v>
      </c>
      <c r="F1606" s="4">
        <v>688.63</v>
      </c>
      <c r="G1606" s="3">
        <v>0</v>
      </c>
      <c r="H1606" s="4">
        <v>54.46</v>
      </c>
    </row>
    <row r="1607" spans="1:8" x14ac:dyDescent="0.3">
      <c r="A1607" s="1" t="s">
        <v>1913</v>
      </c>
      <c r="B1607" s="2">
        <v>44825</v>
      </c>
      <c r="C1607" s="1" t="s">
        <v>172</v>
      </c>
      <c r="D1607" s="1" t="s">
        <v>364</v>
      </c>
      <c r="E1607">
        <v>1</v>
      </c>
      <c r="F1607" s="4">
        <v>574.91999999999996</v>
      </c>
      <c r="G1607" s="3">
        <v>0.2</v>
      </c>
      <c r="H1607" s="4">
        <v>168.18</v>
      </c>
    </row>
    <row r="1608" spans="1:8" x14ac:dyDescent="0.3">
      <c r="A1608" s="1" t="s">
        <v>1914</v>
      </c>
      <c r="B1608" s="2">
        <v>44727</v>
      </c>
      <c r="C1608" s="1" t="s">
        <v>605</v>
      </c>
      <c r="D1608" s="1" t="s">
        <v>109</v>
      </c>
      <c r="E1608">
        <v>1</v>
      </c>
      <c r="F1608" s="4">
        <v>1078.51</v>
      </c>
      <c r="G1608" s="3">
        <v>0</v>
      </c>
      <c r="H1608" s="4">
        <v>59.85</v>
      </c>
    </row>
    <row r="1609" spans="1:8" x14ac:dyDescent="0.3">
      <c r="A1609" s="1" t="s">
        <v>1915</v>
      </c>
      <c r="B1609" s="2">
        <v>44600</v>
      </c>
      <c r="C1609" s="1" t="s">
        <v>182</v>
      </c>
      <c r="D1609" s="1" t="s">
        <v>28</v>
      </c>
      <c r="E1609">
        <v>4</v>
      </c>
      <c r="F1609" s="4">
        <v>1117.55</v>
      </c>
      <c r="G1609" s="3">
        <v>0.3</v>
      </c>
      <c r="H1609" s="4">
        <v>280.14</v>
      </c>
    </row>
    <row r="1610" spans="1:8" x14ac:dyDescent="0.3">
      <c r="A1610" s="1" t="s">
        <v>1916</v>
      </c>
      <c r="B1610" s="2">
        <v>45364</v>
      </c>
      <c r="C1610" s="1" t="s">
        <v>174</v>
      </c>
      <c r="D1610" s="1" t="s">
        <v>116</v>
      </c>
      <c r="E1610">
        <v>1</v>
      </c>
      <c r="F1610" s="4">
        <v>778.08</v>
      </c>
      <c r="G1610" s="3">
        <v>0.2</v>
      </c>
      <c r="H1610" s="4">
        <v>192.19</v>
      </c>
    </row>
    <row r="1611" spans="1:8" x14ac:dyDescent="0.3">
      <c r="A1611" s="1" t="s">
        <v>1917</v>
      </c>
      <c r="B1611" s="2">
        <v>45454</v>
      </c>
      <c r="C1611" s="1" t="s">
        <v>683</v>
      </c>
      <c r="D1611" s="1" t="s">
        <v>372</v>
      </c>
      <c r="E1611">
        <v>3</v>
      </c>
      <c r="F1611" s="4">
        <v>772.2</v>
      </c>
      <c r="G1611" s="3">
        <v>0.3</v>
      </c>
      <c r="H1611" s="4">
        <v>95.99</v>
      </c>
    </row>
    <row r="1612" spans="1:8" x14ac:dyDescent="0.3">
      <c r="A1612" s="1" t="s">
        <v>1918</v>
      </c>
      <c r="B1612" s="2">
        <v>44600</v>
      </c>
      <c r="C1612" s="1" t="s">
        <v>803</v>
      </c>
      <c r="D1612" s="1" t="s">
        <v>455</v>
      </c>
      <c r="E1612">
        <v>3</v>
      </c>
      <c r="F1612" s="4">
        <v>1674.26</v>
      </c>
      <c r="G1612" s="3">
        <v>0</v>
      </c>
      <c r="H1612" s="4">
        <v>140.47999999999999</v>
      </c>
    </row>
    <row r="1613" spans="1:8" x14ac:dyDescent="0.3">
      <c r="A1613" s="1" t="s">
        <v>1919</v>
      </c>
      <c r="B1613" s="2">
        <v>44696</v>
      </c>
      <c r="C1613" s="1" t="s">
        <v>482</v>
      </c>
      <c r="D1613" s="1" t="s">
        <v>458</v>
      </c>
      <c r="E1613">
        <v>1</v>
      </c>
      <c r="F1613" s="4">
        <v>1599.66</v>
      </c>
      <c r="G1613" s="3">
        <v>0.2</v>
      </c>
      <c r="H1613" s="4">
        <v>138.22</v>
      </c>
    </row>
    <row r="1614" spans="1:8" x14ac:dyDescent="0.3">
      <c r="A1614" s="1" t="s">
        <v>1920</v>
      </c>
      <c r="B1614" s="2">
        <v>45450</v>
      </c>
      <c r="C1614" s="1" t="s">
        <v>174</v>
      </c>
      <c r="D1614" s="1" t="s">
        <v>727</v>
      </c>
      <c r="E1614">
        <v>1</v>
      </c>
      <c r="F1614" s="4">
        <v>684.81</v>
      </c>
      <c r="G1614" s="3">
        <v>0.3</v>
      </c>
      <c r="H1614" s="4">
        <v>153.63999999999999</v>
      </c>
    </row>
    <row r="1615" spans="1:8" x14ac:dyDescent="0.3">
      <c r="A1615" s="1" t="s">
        <v>1921</v>
      </c>
      <c r="B1615" s="2">
        <v>44594</v>
      </c>
      <c r="C1615" s="1" t="s">
        <v>124</v>
      </c>
      <c r="D1615" s="1" t="s">
        <v>28</v>
      </c>
      <c r="E1615">
        <v>4</v>
      </c>
      <c r="F1615" s="4">
        <v>1836.2</v>
      </c>
      <c r="G1615" s="3">
        <v>0</v>
      </c>
      <c r="H1615" s="4">
        <v>386.89</v>
      </c>
    </row>
    <row r="1616" spans="1:8" x14ac:dyDescent="0.3">
      <c r="A1616" s="1" t="s">
        <v>1922</v>
      </c>
      <c r="B1616" s="2">
        <v>45116</v>
      </c>
      <c r="C1616" s="1" t="s">
        <v>134</v>
      </c>
      <c r="D1616" s="1" t="s">
        <v>180</v>
      </c>
      <c r="E1616">
        <v>1</v>
      </c>
      <c r="F1616" s="4">
        <v>1910.35</v>
      </c>
      <c r="G1616" s="3">
        <v>0.3</v>
      </c>
      <c r="H1616" s="4">
        <v>469.35</v>
      </c>
    </row>
    <row r="1617" spans="1:8" x14ac:dyDescent="0.3">
      <c r="A1617" s="1" t="s">
        <v>1923</v>
      </c>
      <c r="B1617" s="2">
        <v>44908</v>
      </c>
      <c r="C1617" s="1" t="s">
        <v>355</v>
      </c>
      <c r="D1617" s="1" t="s">
        <v>660</v>
      </c>
      <c r="E1617">
        <v>4</v>
      </c>
      <c r="F1617" s="4">
        <v>720.81</v>
      </c>
      <c r="G1617" s="3">
        <v>0.1</v>
      </c>
      <c r="H1617" s="4">
        <v>204.98</v>
      </c>
    </row>
    <row r="1618" spans="1:8" x14ac:dyDescent="0.3">
      <c r="A1618" s="1" t="s">
        <v>1924</v>
      </c>
      <c r="B1618" s="2">
        <v>45210</v>
      </c>
      <c r="C1618" s="1" t="s">
        <v>834</v>
      </c>
      <c r="D1618" s="1" t="s">
        <v>111</v>
      </c>
      <c r="E1618">
        <v>4</v>
      </c>
      <c r="F1618" s="4">
        <v>773.41</v>
      </c>
      <c r="G1618" s="3">
        <v>0</v>
      </c>
      <c r="H1618" s="4">
        <v>172.46</v>
      </c>
    </row>
    <row r="1619" spans="1:8" x14ac:dyDescent="0.3">
      <c r="A1619" s="1" t="s">
        <v>1925</v>
      </c>
      <c r="B1619" s="2">
        <v>44793</v>
      </c>
      <c r="C1619" s="1" t="s">
        <v>66</v>
      </c>
      <c r="D1619" s="1" t="s">
        <v>72</v>
      </c>
      <c r="E1619">
        <v>1</v>
      </c>
      <c r="F1619" s="4">
        <v>1060.7</v>
      </c>
      <c r="G1619" s="3">
        <v>0</v>
      </c>
      <c r="H1619" s="4">
        <v>94.36</v>
      </c>
    </row>
    <row r="1620" spans="1:8" x14ac:dyDescent="0.3">
      <c r="A1620" s="1" t="s">
        <v>1926</v>
      </c>
      <c r="B1620" s="2">
        <v>44925</v>
      </c>
      <c r="C1620" s="1" t="s">
        <v>129</v>
      </c>
      <c r="D1620" s="1" t="s">
        <v>48</v>
      </c>
      <c r="E1620">
        <v>2</v>
      </c>
      <c r="F1620" s="4">
        <v>1888.13</v>
      </c>
      <c r="G1620" s="3">
        <v>0</v>
      </c>
      <c r="H1620" s="4">
        <v>209.32</v>
      </c>
    </row>
    <row r="1621" spans="1:8" x14ac:dyDescent="0.3">
      <c r="A1621" s="1" t="s">
        <v>1927</v>
      </c>
      <c r="B1621" s="2">
        <v>44633</v>
      </c>
      <c r="C1621" s="1" t="s">
        <v>559</v>
      </c>
      <c r="D1621" s="1" t="s">
        <v>226</v>
      </c>
      <c r="E1621">
        <v>2</v>
      </c>
      <c r="F1621" s="4">
        <v>1765.01</v>
      </c>
      <c r="G1621" s="3">
        <v>0.2</v>
      </c>
      <c r="H1621" s="4">
        <v>459.87</v>
      </c>
    </row>
    <row r="1622" spans="1:8" x14ac:dyDescent="0.3">
      <c r="A1622" s="1" t="s">
        <v>1928</v>
      </c>
      <c r="B1622" s="2">
        <v>45431</v>
      </c>
      <c r="C1622" s="1" t="s">
        <v>88</v>
      </c>
      <c r="D1622" s="1" t="s">
        <v>660</v>
      </c>
      <c r="E1622">
        <v>4</v>
      </c>
      <c r="F1622" s="4">
        <v>294.88</v>
      </c>
      <c r="G1622" s="3">
        <v>0.2</v>
      </c>
      <c r="H1622" s="4">
        <v>30.17</v>
      </c>
    </row>
    <row r="1623" spans="1:8" x14ac:dyDescent="0.3">
      <c r="A1623" s="1" t="s">
        <v>1929</v>
      </c>
      <c r="B1623" s="2">
        <v>45432</v>
      </c>
      <c r="C1623" s="1" t="s">
        <v>138</v>
      </c>
      <c r="D1623" s="1" t="s">
        <v>186</v>
      </c>
      <c r="E1623">
        <v>1</v>
      </c>
      <c r="F1623" s="4">
        <v>846.19</v>
      </c>
      <c r="G1623" s="3">
        <v>0.2</v>
      </c>
      <c r="H1623" s="4">
        <v>57.65</v>
      </c>
    </row>
    <row r="1624" spans="1:8" x14ac:dyDescent="0.3">
      <c r="A1624" s="1" t="s">
        <v>1930</v>
      </c>
      <c r="B1624" s="2">
        <v>45419</v>
      </c>
      <c r="C1624" s="1" t="s">
        <v>179</v>
      </c>
      <c r="D1624" s="1" t="s">
        <v>451</v>
      </c>
      <c r="E1624">
        <v>2</v>
      </c>
      <c r="F1624" s="4">
        <v>1151.4100000000001</v>
      </c>
      <c r="G1624" s="3">
        <v>0.1</v>
      </c>
      <c r="H1624" s="4">
        <v>260.01</v>
      </c>
    </row>
    <row r="1625" spans="1:8" x14ac:dyDescent="0.3">
      <c r="A1625" s="1" t="s">
        <v>1931</v>
      </c>
      <c r="B1625" s="2">
        <v>45223</v>
      </c>
      <c r="C1625" s="1" t="s">
        <v>176</v>
      </c>
      <c r="D1625" s="1" t="s">
        <v>75</v>
      </c>
      <c r="E1625">
        <v>1</v>
      </c>
      <c r="F1625" s="4">
        <v>1055.95</v>
      </c>
      <c r="G1625" s="3">
        <v>0.1</v>
      </c>
      <c r="H1625" s="4">
        <v>159.06</v>
      </c>
    </row>
    <row r="1626" spans="1:8" x14ac:dyDescent="0.3">
      <c r="A1626" s="1" t="s">
        <v>1932</v>
      </c>
      <c r="B1626" s="2">
        <v>45281</v>
      </c>
      <c r="C1626" s="1" t="s">
        <v>946</v>
      </c>
      <c r="D1626" s="1" t="s">
        <v>111</v>
      </c>
      <c r="E1626">
        <v>1</v>
      </c>
      <c r="F1626" s="4">
        <v>468.34</v>
      </c>
      <c r="G1626" s="3">
        <v>0</v>
      </c>
      <c r="H1626" s="4">
        <v>131.13999999999999</v>
      </c>
    </row>
    <row r="1627" spans="1:8" x14ac:dyDescent="0.3">
      <c r="A1627" s="1" t="s">
        <v>1933</v>
      </c>
      <c r="B1627" s="2">
        <v>45077</v>
      </c>
      <c r="C1627" s="1" t="s">
        <v>217</v>
      </c>
      <c r="D1627" s="1" t="s">
        <v>364</v>
      </c>
      <c r="E1627">
        <v>1</v>
      </c>
      <c r="F1627" s="4">
        <v>1731.75</v>
      </c>
      <c r="G1627" s="3">
        <v>0.1</v>
      </c>
      <c r="H1627" s="4">
        <v>368.11</v>
      </c>
    </row>
    <row r="1628" spans="1:8" x14ac:dyDescent="0.3">
      <c r="A1628" s="1" t="s">
        <v>1934</v>
      </c>
      <c r="B1628" s="2">
        <v>45389</v>
      </c>
      <c r="C1628" s="1" t="s">
        <v>316</v>
      </c>
      <c r="D1628" s="1" t="s">
        <v>51</v>
      </c>
      <c r="E1628">
        <v>5</v>
      </c>
      <c r="F1628" s="4">
        <v>1386.19</v>
      </c>
      <c r="G1628" s="3">
        <v>0.3</v>
      </c>
      <c r="H1628" s="4">
        <v>100.64</v>
      </c>
    </row>
    <row r="1629" spans="1:8" x14ac:dyDescent="0.3">
      <c r="A1629" s="1" t="s">
        <v>1935</v>
      </c>
      <c r="B1629" s="2">
        <v>44677</v>
      </c>
      <c r="C1629" s="1" t="s">
        <v>172</v>
      </c>
      <c r="D1629" s="1" t="s">
        <v>28</v>
      </c>
      <c r="E1629">
        <v>1</v>
      </c>
      <c r="F1629" s="4">
        <v>1692.03</v>
      </c>
      <c r="G1629" s="3">
        <v>0</v>
      </c>
      <c r="H1629" s="4">
        <v>485.55</v>
      </c>
    </row>
    <row r="1630" spans="1:8" x14ac:dyDescent="0.3">
      <c r="A1630" s="1" t="s">
        <v>1936</v>
      </c>
      <c r="B1630" s="2">
        <v>45336</v>
      </c>
      <c r="C1630" s="1" t="s">
        <v>576</v>
      </c>
      <c r="D1630" s="1" t="s">
        <v>28</v>
      </c>
      <c r="E1630">
        <v>5</v>
      </c>
      <c r="F1630" s="4">
        <v>1731.65</v>
      </c>
      <c r="G1630" s="3">
        <v>0</v>
      </c>
      <c r="H1630" s="4">
        <v>198.52</v>
      </c>
    </row>
    <row r="1631" spans="1:8" x14ac:dyDescent="0.3">
      <c r="A1631" s="1" t="s">
        <v>1937</v>
      </c>
      <c r="B1631" s="2">
        <v>45446</v>
      </c>
      <c r="C1631" s="1" t="s">
        <v>134</v>
      </c>
      <c r="D1631" s="1" t="s">
        <v>43</v>
      </c>
      <c r="E1631">
        <v>4</v>
      </c>
      <c r="F1631" s="4">
        <v>1521.88</v>
      </c>
      <c r="G1631" s="3">
        <v>0.3</v>
      </c>
      <c r="H1631" s="4">
        <v>204.39</v>
      </c>
    </row>
    <row r="1632" spans="1:8" x14ac:dyDescent="0.3">
      <c r="A1632" s="1" t="s">
        <v>1938</v>
      </c>
      <c r="B1632" s="2">
        <v>44821</v>
      </c>
      <c r="C1632" s="1" t="s">
        <v>1081</v>
      </c>
      <c r="D1632" s="1" t="s">
        <v>116</v>
      </c>
      <c r="E1632">
        <v>2</v>
      </c>
      <c r="F1632" s="4">
        <v>934.5</v>
      </c>
      <c r="G1632" s="3">
        <v>0</v>
      </c>
      <c r="H1632" s="4">
        <v>140.69999999999999</v>
      </c>
    </row>
    <row r="1633" spans="1:8" x14ac:dyDescent="0.3">
      <c r="A1633" s="1" t="s">
        <v>1939</v>
      </c>
      <c r="B1633" s="2">
        <v>44644</v>
      </c>
      <c r="C1633" s="1" t="s">
        <v>15</v>
      </c>
      <c r="D1633" s="1" t="s">
        <v>660</v>
      </c>
      <c r="E1633">
        <v>2</v>
      </c>
      <c r="F1633" s="4">
        <v>1260.04</v>
      </c>
      <c r="G1633" s="3">
        <v>0.1</v>
      </c>
      <c r="H1633" s="4">
        <v>79.14</v>
      </c>
    </row>
    <row r="1634" spans="1:8" x14ac:dyDescent="0.3">
      <c r="A1634" s="1" t="s">
        <v>1940</v>
      </c>
      <c r="B1634" s="2">
        <v>45311</v>
      </c>
      <c r="C1634" s="1" t="s">
        <v>138</v>
      </c>
      <c r="D1634" s="1" t="s">
        <v>83</v>
      </c>
      <c r="E1634">
        <v>2</v>
      </c>
      <c r="F1634" s="4">
        <v>404.69</v>
      </c>
      <c r="G1634" s="3">
        <v>0.2</v>
      </c>
      <c r="H1634" s="4">
        <v>70.47</v>
      </c>
    </row>
    <row r="1635" spans="1:8" x14ac:dyDescent="0.3">
      <c r="A1635" s="1" t="s">
        <v>1941</v>
      </c>
      <c r="B1635" s="2">
        <v>45355</v>
      </c>
      <c r="C1635" s="1" t="s">
        <v>355</v>
      </c>
      <c r="D1635" s="1" t="s">
        <v>28</v>
      </c>
      <c r="E1635">
        <v>2</v>
      </c>
      <c r="F1635" s="4">
        <v>1379.93</v>
      </c>
      <c r="G1635" s="3">
        <v>0.3</v>
      </c>
      <c r="H1635" s="4">
        <v>111.54</v>
      </c>
    </row>
    <row r="1636" spans="1:8" x14ac:dyDescent="0.3">
      <c r="A1636" s="1" t="s">
        <v>1942</v>
      </c>
      <c r="B1636" s="2">
        <v>45390</v>
      </c>
      <c r="C1636" s="1" t="s">
        <v>406</v>
      </c>
      <c r="D1636" s="1" t="s">
        <v>100</v>
      </c>
      <c r="E1636">
        <v>2</v>
      </c>
      <c r="F1636" s="4">
        <v>440.58</v>
      </c>
      <c r="G1636" s="3">
        <v>0.1</v>
      </c>
      <c r="H1636" s="4">
        <v>66.19</v>
      </c>
    </row>
    <row r="1637" spans="1:8" x14ac:dyDescent="0.3">
      <c r="A1637" s="1" t="s">
        <v>1943</v>
      </c>
      <c r="B1637" s="2">
        <v>45195</v>
      </c>
      <c r="C1637" s="1" t="s">
        <v>260</v>
      </c>
      <c r="D1637" s="1" t="s">
        <v>269</v>
      </c>
      <c r="E1637">
        <v>2</v>
      </c>
      <c r="F1637" s="4">
        <v>1418.5</v>
      </c>
      <c r="G1637" s="3">
        <v>0.3</v>
      </c>
      <c r="H1637" s="4">
        <v>195.3</v>
      </c>
    </row>
    <row r="1638" spans="1:8" x14ac:dyDescent="0.3">
      <c r="A1638" s="1" t="s">
        <v>1944</v>
      </c>
      <c r="B1638" s="2">
        <v>44716</v>
      </c>
      <c r="C1638" s="1" t="s">
        <v>217</v>
      </c>
      <c r="D1638" s="1" t="s">
        <v>283</v>
      </c>
      <c r="E1638">
        <v>2</v>
      </c>
      <c r="F1638" s="4">
        <v>536.24</v>
      </c>
      <c r="G1638" s="3">
        <v>0.3</v>
      </c>
      <c r="H1638" s="4">
        <v>130.41999999999999</v>
      </c>
    </row>
    <row r="1639" spans="1:8" x14ac:dyDescent="0.3">
      <c r="A1639" s="1" t="s">
        <v>1945</v>
      </c>
      <c r="B1639" s="2">
        <v>45222</v>
      </c>
      <c r="C1639" s="1" t="s">
        <v>444</v>
      </c>
      <c r="D1639" s="1" t="s">
        <v>669</v>
      </c>
      <c r="E1639">
        <v>4</v>
      </c>
      <c r="F1639" s="4">
        <v>323.35000000000002</v>
      </c>
      <c r="G1639" s="3">
        <v>0</v>
      </c>
      <c r="H1639" s="4">
        <v>81.09</v>
      </c>
    </row>
    <row r="1640" spans="1:8" x14ac:dyDescent="0.3">
      <c r="A1640" s="1" t="s">
        <v>1946</v>
      </c>
      <c r="B1640" s="2">
        <v>45074</v>
      </c>
      <c r="C1640" s="1" t="s">
        <v>1093</v>
      </c>
      <c r="D1640" s="1" t="s">
        <v>660</v>
      </c>
      <c r="E1640">
        <v>1</v>
      </c>
      <c r="F1640" s="4">
        <v>414.04</v>
      </c>
      <c r="G1640" s="3">
        <v>0</v>
      </c>
      <c r="H1640" s="4">
        <v>36.58</v>
      </c>
    </row>
    <row r="1641" spans="1:8" x14ac:dyDescent="0.3">
      <c r="A1641" s="1" t="s">
        <v>1947</v>
      </c>
      <c r="B1641" s="2">
        <v>45226</v>
      </c>
      <c r="C1641" s="1" t="s">
        <v>220</v>
      </c>
      <c r="D1641" s="1" t="s">
        <v>372</v>
      </c>
      <c r="E1641">
        <v>3</v>
      </c>
      <c r="F1641" s="4">
        <v>103.79</v>
      </c>
      <c r="G1641" s="3">
        <v>0.1</v>
      </c>
      <c r="H1641" s="4">
        <v>14.7</v>
      </c>
    </row>
    <row r="1642" spans="1:8" x14ac:dyDescent="0.3">
      <c r="A1642" s="1" t="s">
        <v>1948</v>
      </c>
      <c r="B1642" s="2">
        <v>44833</v>
      </c>
      <c r="C1642" s="1" t="s">
        <v>422</v>
      </c>
      <c r="D1642" s="1" t="s">
        <v>451</v>
      </c>
      <c r="E1642">
        <v>5</v>
      </c>
      <c r="F1642" s="4">
        <v>1465.61</v>
      </c>
      <c r="G1642" s="3">
        <v>0.3</v>
      </c>
      <c r="H1642" s="4">
        <v>210.08</v>
      </c>
    </row>
    <row r="1643" spans="1:8" x14ac:dyDescent="0.3">
      <c r="A1643" s="1" t="s">
        <v>1949</v>
      </c>
      <c r="B1643" s="2">
        <v>45387</v>
      </c>
      <c r="C1643" s="1" t="s">
        <v>99</v>
      </c>
      <c r="D1643" s="1" t="s">
        <v>97</v>
      </c>
      <c r="E1643">
        <v>3</v>
      </c>
      <c r="F1643" s="4">
        <v>1491.56</v>
      </c>
      <c r="G1643" s="3">
        <v>0</v>
      </c>
      <c r="H1643" s="4">
        <v>131.04</v>
      </c>
    </row>
    <row r="1644" spans="1:8" x14ac:dyDescent="0.3">
      <c r="A1644" s="1" t="s">
        <v>1950</v>
      </c>
      <c r="B1644" s="2">
        <v>45349</v>
      </c>
      <c r="C1644" s="1" t="s">
        <v>182</v>
      </c>
      <c r="D1644" s="1" t="s">
        <v>170</v>
      </c>
      <c r="E1644">
        <v>3</v>
      </c>
      <c r="F1644" s="4">
        <v>1078.3699999999999</v>
      </c>
      <c r="G1644" s="3">
        <v>0</v>
      </c>
      <c r="H1644" s="4">
        <v>269.18</v>
      </c>
    </row>
    <row r="1645" spans="1:8" x14ac:dyDescent="0.3">
      <c r="A1645" s="1" t="s">
        <v>1951</v>
      </c>
      <c r="B1645" s="2">
        <v>45381</v>
      </c>
      <c r="C1645" s="1" t="s">
        <v>260</v>
      </c>
      <c r="D1645" s="1" t="s">
        <v>314</v>
      </c>
      <c r="E1645">
        <v>1</v>
      </c>
      <c r="F1645" s="4">
        <v>406.59</v>
      </c>
      <c r="G1645" s="3">
        <v>0.3</v>
      </c>
      <c r="H1645" s="4">
        <v>92.22</v>
      </c>
    </row>
    <row r="1646" spans="1:8" x14ac:dyDescent="0.3">
      <c r="A1646" s="1" t="s">
        <v>1952</v>
      </c>
      <c r="B1646" s="2">
        <v>45085</v>
      </c>
      <c r="C1646" s="1" t="s">
        <v>723</v>
      </c>
      <c r="D1646" s="1" t="s">
        <v>19</v>
      </c>
      <c r="E1646">
        <v>1</v>
      </c>
      <c r="F1646" s="4">
        <v>258.75</v>
      </c>
      <c r="G1646" s="3">
        <v>0.1</v>
      </c>
      <c r="H1646" s="4">
        <v>25.25</v>
      </c>
    </row>
    <row r="1647" spans="1:8" x14ac:dyDescent="0.3">
      <c r="A1647" s="1" t="s">
        <v>1953</v>
      </c>
      <c r="B1647" s="2">
        <v>44823</v>
      </c>
      <c r="C1647" s="1" t="s">
        <v>447</v>
      </c>
      <c r="D1647" s="1" t="s">
        <v>397</v>
      </c>
      <c r="E1647">
        <v>1</v>
      </c>
      <c r="F1647" s="4">
        <v>136.35</v>
      </c>
      <c r="G1647" s="3">
        <v>0.1</v>
      </c>
      <c r="H1647" s="4">
        <v>19.32</v>
      </c>
    </row>
    <row r="1648" spans="1:8" x14ac:dyDescent="0.3">
      <c r="A1648" s="1" t="s">
        <v>1954</v>
      </c>
      <c r="B1648" s="2">
        <v>45084</v>
      </c>
      <c r="C1648" s="1" t="s">
        <v>520</v>
      </c>
      <c r="D1648" s="1" t="s">
        <v>455</v>
      </c>
      <c r="E1648">
        <v>2</v>
      </c>
      <c r="F1648" s="4">
        <v>414.92</v>
      </c>
      <c r="G1648" s="3">
        <v>0.3</v>
      </c>
      <c r="H1648" s="4">
        <v>31.72</v>
      </c>
    </row>
    <row r="1649" spans="1:8" x14ac:dyDescent="0.3">
      <c r="A1649" s="1" t="s">
        <v>1955</v>
      </c>
      <c r="B1649" s="2">
        <v>45412</v>
      </c>
      <c r="C1649" s="1" t="s">
        <v>42</v>
      </c>
      <c r="D1649" s="1" t="s">
        <v>258</v>
      </c>
      <c r="E1649">
        <v>4</v>
      </c>
      <c r="F1649" s="4">
        <v>1792.63</v>
      </c>
      <c r="G1649" s="3">
        <v>0.1</v>
      </c>
      <c r="H1649" s="4">
        <v>371.17</v>
      </c>
    </row>
    <row r="1650" spans="1:8" x14ac:dyDescent="0.3">
      <c r="A1650" s="1" t="s">
        <v>1956</v>
      </c>
      <c r="B1650" s="2">
        <v>45260</v>
      </c>
      <c r="C1650" s="1" t="s">
        <v>473</v>
      </c>
      <c r="D1650" s="1" t="s">
        <v>369</v>
      </c>
      <c r="E1650">
        <v>2</v>
      </c>
      <c r="F1650" s="4">
        <v>558.91999999999996</v>
      </c>
      <c r="G1650" s="3">
        <v>0</v>
      </c>
      <c r="H1650" s="4">
        <v>44.91</v>
      </c>
    </row>
    <row r="1651" spans="1:8" x14ac:dyDescent="0.3">
      <c r="A1651" s="1" t="s">
        <v>1957</v>
      </c>
      <c r="B1651" s="2">
        <v>44945</v>
      </c>
      <c r="C1651" s="1" t="s">
        <v>36</v>
      </c>
      <c r="D1651" s="1" t="s">
        <v>314</v>
      </c>
      <c r="E1651">
        <v>4</v>
      </c>
      <c r="F1651" s="4">
        <v>773.12</v>
      </c>
      <c r="G1651" s="3">
        <v>0.3</v>
      </c>
      <c r="H1651" s="4">
        <v>229.22</v>
      </c>
    </row>
    <row r="1652" spans="1:8" x14ac:dyDescent="0.3">
      <c r="A1652" s="1" t="s">
        <v>1958</v>
      </c>
      <c r="B1652" s="2">
        <v>44758</v>
      </c>
      <c r="C1652" s="1" t="s">
        <v>533</v>
      </c>
      <c r="D1652" s="1" t="s">
        <v>603</v>
      </c>
      <c r="E1652">
        <v>4</v>
      </c>
      <c r="F1652" s="4">
        <v>300.16000000000003</v>
      </c>
      <c r="G1652" s="3">
        <v>0</v>
      </c>
      <c r="H1652" s="4">
        <v>73.59</v>
      </c>
    </row>
    <row r="1653" spans="1:8" x14ac:dyDescent="0.3">
      <c r="A1653" s="1" t="s">
        <v>1959</v>
      </c>
      <c r="B1653" s="2">
        <v>45298</v>
      </c>
      <c r="C1653" s="1" t="s">
        <v>391</v>
      </c>
      <c r="D1653" s="1" t="s">
        <v>139</v>
      </c>
      <c r="E1653">
        <v>3</v>
      </c>
      <c r="F1653" s="4">
        <v>522.49</v>
      </c>
      <c r="G1653" s="3">
        <v>0.2</v>
      </c>
      <c r="H1653" s="4">
        <v>77.099999999999994</v>
      </c>
    </row>
    <row r="1654" spans="1:8" x14ac:dyDescent="0.3">
      <c r="A1654" s="1" t="s">
        <v>1960</v>
      </c>
      <c r="B1654" s="2">
        <v>44751</v>
      </c>
      <c r="C1654" s="1" t="s">
        <v>371</v>
      </c>
      <c r="D1654" s="1" t="s">
        <v>86</v>
      </c>
      <c r="E1654">
        <v>3</v>
      </c>
      <c r="F1654" s="4">
        <v>1086.53</v>
      </c>
      <c r="G1654" s="3">
        <v>0.2</v>
      </c>
      <c r="H1654" s="4">
        <v>211.48</v>
      </c>
    </row>
    <row r="1655" spans="1:8" x14ac:dyDescent="0.3">
      <c r="A1655" s="1" t="s">
        <v>1961</v>
      </c>
      <c r="B1655" s="2">
        <v>45197</v>
      </c>
      <c r="C1655" s="1" t="s">
        <v>475</v>
      </c>
      <c r="D1655" s="1" t="s">
        <v>218</v>
      </c>
      <c r="E1655">
        <v>4</v>
      </c>
      <c r="F1655" s="4">
        <v>1254.73</v>
      </c>
      <c r="G1655" s="3">
        <v>0.1</v>
      </c>
      <c r="H1655" s="4">
        <v>348.61</v>
      </c>
    </row>
    <row r="1656" spans="1:8" x14ac:dyDescent="0.3">
      <c r="A1656" s="1" t="s">
        <v>1962</v>
      </c>
      <c r="B1656" s="2">
        <v>45008</v>
      </c>
      <c r="C1656" s="1" t="s">
        <v>637</v>
      </c>
      <c r="D1656" s="1" t="s">
        <v>757</v>
      </c>
      <c r="E1656">
        <v>4</v>
      </c>
      <c r="F1656" s="4">
        <v>566.16999999999996</v>
      </c>
      <c r="G1656" s="3">
        <v>0.2</v>
      </c>
      <c r="H1656" s="4">
        <v>106.74</v>
      </c>
    </row>
    <row r="1657" spans="1:8" x14ac:dyDescent="0.3">
      <c r="A1657" s="1" t="s">
        <v>1963</v>
      </c>
      <c r="B1657" s="2">
        <v>45373</v>
      </c>
      <c r="C1657" s="1" t="s">
        <v>396</v>
      </c>
      <c r="D1657" s="1" t="s">
        <v>188</v>
      </c>
      <c r="E1657">
        <v>2</v>
      </c>
      <c r="F1657" s="4">
        <v>209.69</v>
      </c>
      <c r="G1657" s="3">
        <v>0</v>
      </c>
      <c r="H1657" s="4">
        <v>19.63</v>
      </c>
    </row>
    <row r="1658" spans="1:8" x14ac:dyDescent="0.3">
      <c r="A1658" s="1" t="s">
        <v>1964</v>
      </c>
      <c r="B1658" s="2">
        <v>44586</v>
      </c>
      <c r="C1658" s="1" t="s">
        <v>18</v>
      </c>
      <c r="D1658" s="1" t="s">
        <v>296</v>
      </c>
      <c r="E1658">
        <v>2</v>
      </c>
      <c r="F1658" s="4">
        <v>842.96</v>
      </c>
      <c r="G1658" s="3">
        <v>0.2</v>
      </c>
      <c r="H1658" s="4">
        <v>121.96</v>
      </c>
    </row>
    <row r="1659" spans="1:8" x14ac:dyDescent="0.3">
      <c r="A1659" s="1" t="s">
        <v>1965</v>
      </c>
      <c r="B1659" s="2">
        <v>44662</v>
      </c>
      <c r="C1659" s="1" t="s">
        <v>287</v>
      </c>
      <c r="D1659" s="1" t="s">
        <v>669</v>
      </c>
      <c r="E1659">
        <v>3</v>
      </c>
      <c r="F1659" s="4">
        <v>544.99</v>
      </c>
      <c r="G1659" s="3">
        <v>0</v>
      </c>
      <c r="H1659" s="4">
        <v>142.13</v>
      </c>
    </row>
    <row r="1660" spans="1:8" x14ac:dyDescent="0.3">
      <c r="A1660" s="1" t="s">
        <v>1966</v>
      </c>
      <c r="B1660" s="2">
        <v>44885</v>
      </c>
      <c r="C1660" s="1" t="s">
        <v>685</v>
      </c>
      <c r="D1660" s="1" t="s">
        <v>397</v>
      </c>
      <c r="E1660">
        <v>1</v>
      </c>
      <c r="F1660" s="4">
        <v>517.15</v>
      </c>
      <c r="G1660" s="3">
        <v>0.1</v>
      </c>
      <c r="H1660" s="4">
        <v>109.15</v>
      </c>
    </row>
    <row r="1661" spans="1:8" x14ac:dyDescent="0.3">
      <c r="A1661" s="1" t="s">
        <v>1967</v>
      </c>
      <c r="B1661" s="2">
        <v>45242</v>
      </c>
      <c r="C1661" s="1" t="s">
        <v>347</v>
      </c>
      <c r="D1661" s="1" t="s">
        <v>283</v>
      </c>
      <c r="E1661">
        <v>4</v>
      </c>
      <c r="F1661" s="4">
        <v>1923.74</v>
      </c>
      <c r="G1661" s="3">
        <v>0.1</v>
      </c>
      <c r="H1661" s="4">
        <v>409.14</v>
      </c>
    </row>
    <row r="1662" spans="1:8" x14ac:dyDescent="0.3">
      <c r="A1662" s="1" t="s">
        <v>1968</v>
      </c>
      <c r="B1662" s="2">
        <v>44963</v>
      </c>
      <c r="C1662" s="1" t="s">
        <v>505</v>
      </c>
      <c r="D1662" s="1" t="s">
        <v>188</v>
      </c>
      <c r="E1662">
        <v>2</v>
      </c>
      <c r="F1662" s="4">
        <v>1270.97</v>
      </c>
      <c r="G1662" s="3">
        <v>0</v>
      </c>
      <c r="H1662" s="4">
        <v>338.97</v>
      </c>
    </row>
    <row r="1663" spans="1:8" x14ac:dyDescent="0.3">
      <c r="A1663" s="1" t="s">
        <v>1969</v>
      </c>
      <c r="B1663" s="2">
        <v>44780</v>
      </c>
      <c r="C1663" s="1" t="s">
        <v>300</v>
      </c>
      <c r="D1663" s="1" t="s">
        <v>727</v>
      </c>
      <c r="E1663">
        <v>3</v>
      </c>
      <c r="F1663" s="4">
        <v>1158.07</v>
      </c>
      <c r="G1663" s="3">
        <v>0.2</v>
      </c>
      <c r="H1663" s="4">
        <v>316.72000000000003</v>
      </c>
    </row>
    <row r="1664" spans="1:8" x14ac:dyDescent="0.3">
      <c r="A1664" s="1" t="s">
        <v>1970</v>
      </c>
      <c r="B1664" s="2">
        <v>45407</v>
      </c>
      <c r="C1664" s="1" t="s">
        <v>30</v>
      </c>
      <c r="D1664" s="1" t="s">
        <v>89</v>
      </c>
      <c r="E1664">
        <v>2</v>
      </c>
      <c r="F1664" s="4">
        <v>889.97</v>
      </c>
      <c r="G1664" s="3">
        <v>0.1</v>
      </c>
      <c r="H1664" s="4">
        <v>249.15</v>
      </c>
    </row>
    <row r="1665" spans="1:8" x14ac:dyDescent="0.3">
      <c r="A1665" s="1" t="s">
        <v>1971</v>
      </c>
      <c r="B1665" s="2">
        <v>45302</v>
      </c>
      <c r="C1665" s="1" t="s">
        <v>82</v>
      </c>
      <c r="D1665" s="1" t="s">
        <v>64</v>
      </c>
      <c r="E1665">
        <v>4</v>
      </c>
      <c r="F1665" s="4">
        <v>914.99</v>
      </c>
      <c r="G1665" s="3">
        <v>0.3</v>
      </c>
      <c r="H1665" s="4">
        <v>67.45</v>
      </c>
    </row>
    <row r="1666" spans="1:8" x14ac:dyDescent="0.3">
      <c r="A1666" s="1" t="s">
        <v>1972</v>
      </c>
      <c r="B1666" s="2">
        <v>45239</v>
      </c>
      <c r="C1666" s="1" t="s">
        <v>980</v>
      </c>
      <c r="D1666" s="1" t="s">
        <v>54</v>
      </c>
      <c r="E1666">
        <v>4</v>
      </c>
      <c r="F1666" s="4">
        <v>1127.72</v>
      </c>
      <c r="G1666" s="3">
        <v>0.1</v>
      </c>
      <c r="H1666" s="4">
        <v>209.79</v>
      </c>
    </row>
    <row r="1667" spans="1:8" x14ac:dyDescent="0.3">
      <c r="A1667" s="1" t="s">
        <v>1973</v>
      </c>
      <c r="B1667" s="2">
        <v>45346</v>
      </c>
      <c r="C1667" s="1" t="s">
        <v>50</v>
      </c>
      <c r="D1667" s="1" t="s">
        <v>28</v>
      </c>
      <c r="E1667">
        <v>5</v>
      </c>
      <c r="F1667" s="4">
        <v>1423.22</v>
      </c>
      <c r="G1667" s="3">
        <v>0.2</v>
      </c>
      <c r="H1667" s="4">
        <v>334.64</v>
      </c>
    </row>
    <row r="1668" spans="1:8" x14ac:dyDescent="0.3">
      <c r="A1668" s="1" t="s">
        <v>1974</v>
      </c>
      <c r="B1668" s="2">
        <v>45089</v>
      </c>
      <c r="C1668" s="1" t="s">
        <v>167</v>
      </c>
      <c r="D1668" s="1" t="s">
        <v>400</v>
      </c>
      <c r="E1668">
        <v>1</v>
      </c>
      <c r="F1668" s="4">
        <v>1434.08</v>
      </c>
      <c r="G1668" s="3">
        <v>0.3</v>
      </c>
      <c r="H1668" s="4">
        <v>343.08</v>
      </c>
    </row>
    <row r="1669" spans="1:8" x14ac:dyDescent="0.3">
      <c r="A1669" s="1" t="s">
        <v>1975</v>
      </c>
      <c r="B1669" s="2">
        <v>44938</v>
      </c>
      <c r="C1669" s="1" t="s">
        <v>927</v>
      </c>
      <c r="D1669" s="1" t="s">
        <v>70</v>
      </c>
      <c r="E1669">
        <v>5</v>
      </c>
      <c r="F1669" s="4">
        <v>426.22</v>
      </c>
      <c r="G1669" s="3">
        <v>0.2</v>
      </c>
      <c r="H1669" s="4">
        <v>85.96</v>
      </c>
    </row>
    <row r="1670" spans="1:8" x14ac:dyDescent="0.3">
      <c r="A1670" s="1" t="s">
        <v>1976</v>
      </c>
      <c r="B1670" s="2">
        <v>45226</v>
      </c>
      <c r="C1670" s="1" t="s">
        <v>524</v>
      </c>
      <c r="D1670" s="1" t="s">
        <v>34</v>
      </c>
      <c r="E1670">
        <v>3</v>
      </c>
      <c r="F1670" s="4">
        <v>1050.21</v>
      </c>
      <c r="G1670" s="3">
        <v>0</v>
      </c>
      <c r="H1670" s="4">
        <v>96.3</v>
      </c>
    </row>
    <row r="1671" spans="1:8" x14ac:dyDescent="0.3">
      <c r="A1671" s="1" t="s">
        <v>1977</v>
      </c>
      <c r="B1671" s="2">
        <v>44729</v>
      </c>
      <c r="C1671" s="1" t="s">
        <v>282</v>
      </c>
      <c r="D1671" s="1" t="s">
        <v>211</v>
      </c>
      <c r="E1671">
        <v>2</v>
      </c>
      <c r="F1671" s="4">
        <v>882.72</v>
      </c>
      <c r="G1671" s="3">
        <v>0.3</v>
      </c>
      <c r="H1671" s="4">
        <v>220.11</v>
      </c>
    </row>
    <row r="1672" spans="1:8" x14ac:dyDescent="0.3">
      <c r="A1672" s="1" t="s">
        <v>1978</v>
      </c>
      <c r="B1672" s="2">
        <v>45325</v>
      </c>
      <c r="C1672" s="1" t="s">
        <v>82</v>
      </c>
      <c r="D1672" s="1" t="s">
        <v>253</v>
      </c>
      <c r="E1672">
        <v>3</v>
      </c>
      <c r="F1672" s="4">
        <v>1754</v>
      </c>
      <c r="G1672" s="3">
        <v>0.2</v>
      </c>
      <c r="H1672" s="4">
        <v>403.47</v>
      </c>
    </row>
    <row r="1673" spans="1:8" x14ac:dyDescent="0.3">
      <c r="A1673" s="1" t="s">
        <v>1979</v>
      </c>
      <c r="B1673" s="2">
        <v>45415</v>
      </c>
      <c r="C1673" s="1" t="s">
        <v>422</v>
      </c>
      <c r="D1673" s="1" t="s">
        <v>392</v>
      </c>
      <c r="E1673">
        <v>4</v>
      </c>
      <c r="F1673" s="4">
        <v>1299.7</v>
      </c>
      <c r="G1673" s="3">
        <v>0.3</v>
      </c>
      <c r="H1673" s="4">
        <v>92.97</v>
      </c>
    </row>
    <row r="1674" spans="1:8" x14ac:dyDescent="0.3">
      <c r="A1674" s="1" t="s">
        <v>1980</v>
      </c>
      <c r="B1674" s="2">
        <v>45165</v>
      </c>
      <c r="C1674" s="1" t="s">
        <v>321</v>
      </c>
      <c r="D1674" s="1" t="s">
        <v>188</v>
      </c>
      <c r="E1674">
        <v>5</v>
      </c>
      <c r="F1674" s="4">
        <v>1111.76</v>
      </c>
      <c r="G1674" s="3">
        <v>0.2</v>
      </c>
      <c r="H1674" s="4">
        <v>184.5</v>
      </c>
    </row>
    <row r="1675" spans="1:8" x14ac:dyDescent="0.3">
      <c r="A1675" s="1" t="s">
        <v>1981</v>
      </c>
      <c r="B1675" s="2">
        <v>44586</v>
      </c>
      <c r="C1675" s="1" t="s">
        <v>292</v>
      </c>
      <c r="D1675" s="1" t="s">
        <v>25</v>
      </c>
      <c r="E1675">
        <v>5</v>
      </c>
      <c r="F1675" s="4">
        <v>319.25</v>
      </c>
      <c r="G1675" s="3">
        <v>0.3</v>
      </c>
      <c r="H1675" s="4">
        <v>29.85</v>
      </c>
    </row>
    <row r="1676" spans="1:8" x14ac:dyDescent="0.3">
      <c r="A1676" s="1" t="s">
        <v>1982</v>
      </c>
      <c r="B1676" s="2">
        <v>45052</v>
      </c>
      <c r="C1676" s="1" t="s">
        <v>697</v>
      </c>
      <c r="D1676" s="1" t="s">
        <v>226</v>
      </c>
      <c r="E1676">
        <v>5</v>
      </c>
      <c r="F1676" s="4">
        <v>1250.71</v>
      </c>
      <c r="G1676" s="3">
        <v>0.2</v>
      </c>
      <c r="H1676" s="4">
        <v>168.06</v>
      </c>
    </row>
    <row r="1677" spans="1:8" x14ac:dyDescent="0.3">
      <c r="A1677" s="1" t="s">
        <v>1983</v>
      </c>
      <c r="B1677" s="2">
        <v>45100</v>
      </c>
      <c r="C1677" s="1" t="s">
        <v>94</v>
      </c>
      <c r="D1677" s="1" t="s">
        <v>13</v>
      </c>
      <c r="E1677">
        <v>3</v>
      </c>
      <c r="F1677" s="4">
        <v>322.69</v>
      </c>
      <c r="G1677" s="3">
        <v>0</v>
      </c>
      <c r="H1677" s="4">
        <v>17.59</v>
      </c>
    </row>
    <row r="1678" spans="1:8" x14ac:dyDescent="0.3">
      <c r="A1678" s="1" t="s">
        <v>1984</v>
      </c>
      <c r="B1678" s="2">
        <v>45455</v>
      </c>
      <c r="C1678" s="1" t="s">
        <v>316</v>
      </c>
      <c r="D1678" s="1" t="s">
        <v>67</v>
      </c>
      <c r="E1678">
        <v>4</v>
      </c>
      <c r="F1678" s="4">
        <v>740.69</v>
      </c>
      <c r="G1678" s="3">
        <v>0.3</v>
      </c>
      <c r="H1678" s="4">
        <v>111.16</v>
      </c>
    </row>
    <row r="1679" spans="1:8" x14ac:dyDescent="0.3">
      <c r="A1679" s="1" t="s">
        <v>1985</v>
      </c>
      <c r="B1679" s="2">
        <v>45128</v>
      </c>
      <c r="C1679" s="1" t="s">
        <v>213</v>
      </c>
      <c r="D1679" s="1" t="s">
        <v>48</v>
      </c>
      <c r="E1679">
        <v>2</v>
      </c>
      <c r="F1679" s="4">
        <v>371.4</v>
      </c>
      <c r="G1679" s="3">
        <v>0.3</v>
      </c>
      <c r="H1679" s="4">
        <v>69.63</v>
      </c>
    </row>
    <row r="1680" spans="1:8" x14ac:dyDescent="0.3">
      <c r="A1680" s="1" t="s">
        <v>1986</v>
      </c>
      <c r="B1680" s="2">
        <v>45203</v>
      </c>
      <c r="C1680" s="1" t="s">
        <v>179</v>
      </c>
      <c r="D1680" s="1" t="s">
        <v>177</v>
      </c>
      <c r="E1680">
        <v>2</v>
      </c>
      <c r="F1680" s="4">
        <v>1414.94</v>
      </c>
      <c r="G1680" s="3">
        <v>0.3</v>
      </c>
      <c r="H1680" s="4">
        <v>289.92</v>
      </c>
    </row>
    <row r="1681" spans="1:8" x14ac:dyDescent="0.3">
      <c r="A1681" s="1" t="s">
        <v>1987</v>
      </c>
      <c r="B1681" s="2">
        <v>44625</v>
      </c>
      <c r="C1681" s="1" t="s">
        <v>786</v>
      </c>
      <c r="D1681" s="1" t="s">
        <v>89</v>
      </c>
      <c r="E1681">
        <v>3</v>
      </c>
      <c r="F1681" s="4">
        <v>491.88</v>
      </c>
      <c r="G1681" s="3">
        <v>0.3</v>
      </c>
      <c r="H1681" s="4">
        <v>106.18</v>
      </c>
    </row>
    <row r="1682" spans="1:8" x14ac:dyDescent="0.3">
      <c r="A1682" s="1" t="s">
        <v>1988</v>
      </c>
      <c r="B1682" s="2">
        <v>44782</v>
      </c>
      <c r="C1682" s="1" t="s">
        <v>88</v>
      </c>
      <c r="D1682" s="1" t="s">
        <v>585</v>
      </c>
      <c r="E1682">
        <v>5</v>
      </c>
      <c r="F1682" s="4">
        <v>844.53</v>
      </c>
      <c r="G1682" s="3">
        <v>0</v>
      </c>
      <c r="H1682" s="4">
        <v>218.79</v>
      </c>
    </row>
    <row r="1683" spans="1:8" x14ac:dyDescent="0.3">
      <c r="A1683" s="1" t="s">
        <v>1989</v>
      </c>
      <c r="B1683" s="2">
        <v>44685</v>
      </c>
      <c r="C1683" s="1" t="s">
        <v>350</v>
      </c>
      <c r="D1683" s="1" t="s">
        <v>288</v>
      </c>
      <c r="E1683">
        <v>1</v>
      </c>
      <c r="F1683" s="4">
        <v>1801.78</v>
      </c>
      <c r="G1683" s="3">
        <v>0.3</v>
      </c>
      <c r="H1683" s="4">
        <v>187.14</v>
      </c>
    </row>
    <row r="1684" spans="1:8" x14ac:dyDescent="0.3">
      <c r="A1684" s="1" t="s">
        <v>1990</v>
      </c>
      <c r="B1684" s="2">
        <v>44808</v>
      </c>
      <c r="C1684" s="1" t="s">
        <v>271</v>
      </c>
      <c r="D1684" s="1" t="s">
        <v>51</v>
      </c>
      <c r="E1684">
        <v>3</v>
      </c>
      <c r="F1684" s="4">
        <v>488.2</v>
      </c>
      <c r="G1684" s="3">
        <v>0.1</v>
      </c>
      <c r="H1684" s="4">
        <v>39.11</v>
      </c>
    </row>
    <row r="1685" spans="1:8" x14ac:dyDescent="0.3">
      <c r="A1685" s="1" t="s">
        <v>1991</v>
      </c>
      <c r="B1685" s="2">
        <v>44596</v>
      </c>
      <c r="C1685" s="1" t="s">
        <v>388</v>
      </c>
      <c r="D1685" s="1" t="s">
        <v>263</v>
      </c>
      <c r="E1685">
        <v>3</v>
      </c>
      <c r="F1685" s="4">
        <v>1064.83</v>
      </c>
      <c r="G1685" s="3">
        <v>0</v>
      </c>
      <c r="H1685" s="4">
        <v>279.93</v>
      </c>
    </row>
    <row r="1686" spans="1:8" x14ac:dyDescent="0.3">
      <c r="A1686" s="1" t="s">
        <v>1992</v>
      </c>
      <c r="B1686" s="2">
        <v>45350</v>
      </c>
      <c r="C1686" s="1" t="s">
        <v>442</v>
      </c>
      <c r="D1686" s="1" t="s">
        <v>211</v>
      </c>
      <c r="E1686">
        <v>4</v>
      </c>
      <c r="F1686" s="4">
        <v>896.62</v>
      </c>
      <c r="G1686" s="3">
        <v>0.1</v>
      </c>
      <c r="H1686" s="4">
        <v>79.94</v>
      </c>
    </row>
    <row r="1687" spans="1:8" x14ac:dyDescent="0.3">
      <c r="A1687" s="1" t="s">
        <v>1993</v>
      </c>
      <c r="B1687" s="2">
        <v>44811</v>
      </c>
      <c r="C1687" s="1" t="s">
        <v>350</v>
      </c>
      <c r="D1687" s="1" t="s">
        <v>13</v>
      </c>
      <c r="E1687">
        <v>2</v>
      </c>
      <c r="F1687" s="4">
        <v>134.44</v>
      </c>
      <c r="G1687" s="3">
        <v>0.3</v>
      </c>
      <c r="H1687" s="4">
        <v>39.479999999999997</v>
      </c>
    </row>
    <row r="1688" spans="1:8" x14ac:dyDescent="0.3">
      <c r="A1688" s="1" t="s">
        <v>1994</v>
      </c>
      <c r="B1688" s="2">
        <v>45422</v>
      </c>
      <c r="C1688" s="1" t="s">
        <v>190</v>
      </c>
      <c r="D1688" s="1" t="s">
        <v>757</v>
      </c>
      <c r="E1688">
        <v>3</v>
      </c>
      <c r="F1688" s="4">
        <v>1606.24</v>
      </c>
      <c r="G1688" s="3">
        <v>0.2</v>
      </c>
      <c r="H1688" s="4">
        <v>418.64</v>
      </c>
    </row>
    <row r="1689" spans="1:8" x14ac:dyDescent="0.3">
      <c r="A1689" s="1" t="s">
        <v>1995</v>
      </c>
      <c r="B1689" s="2">
        <v>44934</v>
      </c>
      <c r="C1689" s="1" t="s">
        <v>228</v>
      </c>
      <c r="D1689" s="1" t="s">
        <v>78</v>
      </c>
      <c r="E1689">
        <v>3</v>
      </c>
      <c r="F1689" s="4">
        <v>231.19</v>
      </c>
      <c r="G1689" s="3">
        <v>0.1</v>
      </c>
      <c r="H1689" s="4">
        <v>40.51</v>
      </c>
    </row>
    <row r="1690" spans="1:8" x14ac:dyDescent="0.3">
      <c r="A1690" s="1" t="s">
        <v>1996</v>
      </c>
      <c r="B1690" s="2">
        <v>44838</v>
      </c>
      <c r="C1690" s="1" t="s">
        <v>115</v>
      </c>
      <c r="D1690" s="1" t="s">
        <v>92</v>
      </c>
      <c r="E1690">
        <v>5</v>
      </c>
      <c r="F1690" s="4">
        <v>1001.08</v>
      </c>
      <c r="G1690" s="3">
        <v>0.3</v>
      </c>
      <c r="H1690" s="4">
        <v>295.67</v>
      </c>
    </row>
    <row r="1691" spans="1:8" x14ac:dyDescent="0.3">
      <c r="A1691" s="1" t="s">
        <v>1997</v>
      </c>
      <c r="B1691" s="2">
        <v>44834</v>
      </c>
      <c r="C1691" s="1" t="s">
        <v>325</v>
      </c>
      <c r="D1691" s="1" t="s">
        <v>757</v>
      </c>
      <c r="E1691">
        <v>5</v>
      </c>
      <c r="F1691" s="4">
        <v>1165.29</v>
      </c>
      <c r="G1691" s="3">
        <v>0.1</v>
      </c>
      <c r="H1691" s="4">
        <v>86.63</v>
      </c>
    </row>
    <row r="1692" spans="1:8" x14ac:dyDescent="0.3">
      <c r="A1692" s="1" t="s">
        <v>1998</v>
      </c>
      <c r="B1692" s="2">
        <v>45148</v>
      </c>
      <c r="C1692" s="1" t="s">
        <v>102</v>
      </c>
      <c r="D1692" s="1" t="s">
        <v>10</v>
      </c>
      <c r="E1692">
        <v>1</v>
      </c>
      <c r="F1692" s="4">
        <v>1294.01</v>
      </c>
      <c r="G1692" s="3">
        <v>0.3</v>
      </c>
      <c r="H1692" s="4">
        <v>162.74</v>
      </c>
    </row>
    <row r="1693" spans="1:8" x14ac:dyDescent="0.3">
      <c r="A1693" s="1" t="s">
        <v>1999</v>
      </c>
      <c r="B1693" s="2">
        <v>45097</v>
      </c>
      <c r="C1693" s="1" t="s">
        <v>927</v>
      </c>
      <c r="D1693" s="1" t="s">
        <v>109</v>
      </c>
      <c r="E1693">
        <v>4</v>
      </c>
      <c r="F1693" s="4">
        <v>1408.4</v>
      </c>
      <c r="G1693" s="3">
        <v>0.3</v>
      </c>
      <c r="H1693" s="4">
        <v>295.14</v>
      </c>
    </row>
    <row r="1694" spans="1:8" x14ac:dyDescent="0.3">
      <c r="A1694" s="1" t="s">
        <v>2000</v>
      </c>
      <c r="B1694" s="2">
        <v>45227</v>
      </c>
      <c r="C1694" s="1" t="s">
        <v>124</v>
      </c>
      <c r="D1694" s="1" t="s">
        <v>278</v>
      </c>
      <c r="E1694">
        <v>1</v>
      </c>
      <c r="F1694" s="4">
        <v>581.22</v>
      </c>
      <c r="G1694" s="3">
        <v>0.3</v>
      </c>
      <c r="H1694" s="4">
        <v>79.92</v>
      </c>
    </row>
    <row r="1695" spans="1:8" x14ac:dyDescent="0.3">
      <c r="A1695" s="1" t="s">
        <v>2001</v>
      </c>
      <c r="B1695" s="2">
        <v>44932</v>
      </c>
      <c r="C1695" s="1" t="s">
        <v>176</v>
      </c>
      <c r="D1695" s="1" t="s">
        <v>275</v>
      </c>
      <c r="E1695">
        <v>5</v>
      </c>
      <c r="F1695" s="4">
        <v>118.96</v>
      </c>
      <c r="G1695" s="3">
        <v>0.2</v>
      </c>
      <c r="H1695" s="4">
        <v>33.56</v>
      </c>
    </row>
    <row r="1696" spans="1:8" x14ac:dyDescent="0.3">
      <c r="A1696" s="1" t="s">
        <v>2002</v>
      </c>
      <c r="B1696" s="2">
        <v>44637</v>
      </c>
      <c r="C1696" s="1" t="s">
        <v>334</v>
      </c>
      <c r="D1696" s="1" t="s">
        <v>294</v>
      </c>
      <c r="E1696">
        <v>2</v>
      </c>
      <c r="F1696" s="4">
        <v>1474.54</v>
      </c>
      <c r="G1696" s="3">
        <v>0.1</v>
      </c>
      <c r="H1696" s="4">
        <v>97.92</v>
      </c>
    </row>
    <row r="1697" spans="1:8" x14ac:dyDescent="0.3">
      <c r="A1697" s="1" t="s">
        <v>2003</v>
      </c>
      <c r="B1697" s="2">
        <v>45145</v>
      </c>
      <c r="C1697" s="1" t="s">
        <v>228</v>
      </c>
      <c r="D1697" s="1" t="s">
        <v>86</v>
      </c>
      <c r="E1697">
        <v>5</v>
      </c>
      <c r="F1697" s="4">
        <v>1117.75</v>
      </c>
      <c r="G1697" s="3">
        <v>0</v>
      </c>
      <c r="H1697" s="4">
        <v>209.41</v>
      </c>
    </row>
    <row r="1698" spans="1:8" x14ac:dyDescent="0.3">
      <c r="A1698" s="1" t="s">
        <v>2004</v>
      </c>
      <c r="B1698" s="2">
        <v>45124</v>
      </c>
      <c r="C1698" s="1" t="s">
        <v>213</v>
      </c>
      <c r="D1698" s="1" t="s">
        <v>278</v>
      </c>
      <c r="E1698">
        <v>4</v>
      </c>
      <c r="F1698" s="4">
        <v>1688.62</v>
      </c>
      <c r="G1698" s="3">
        <v>0</v>
      </c>
      <c r="H1698" s="4">
        <v>333.87</v>
      </c>
    </row>
    <row r="1699" spans="1:8" x14ac:dyDescent="0.3">
      <c r="A1699" s="1" t="s">
        <v>2005</v>
      </c>
      <c r="B1699" s="2">
        <v>44810</v>
      </c>
      <c r="C1699" s="1" t="s">
        <v>777</v>
      </c>
      <c r="D1699" s="1" t="s">
        <v>195</v>
      </c>
      <c r="E1699">
        <v>5</v>
      </c>
      <c r="F1699" s="4">
        <v>1660.64</v>
      </c>
      <c r="G1699" s="3">
        <v>0</v>
      </c>
      <c r="H1699" s="4">
        <v>354.02</v>
      </c>
    </row>
    <row r="1700" spans="1:8" x14ac:dyDescent="0.3">
      <c r="A1700" s="1" t="s">
        <v>2006</v>
      </c>
      <c r="B1700" s="2">
        <v>44959</v>
      </c>
      <c r="C1700" s="1" t="s">
        <v>402</v>
      </c>
      <c r="D1700" s="1" t="s">
        <v>61</v>
      </c>
      <c r="E1700">
        <v>4</v>
      </c>
      <c r="F1700" s="4">
        <v>1702.32</v>
      </c>
      <c r="G1700" s="3">
        <v>0</v>
      </c>
      <c r="H1700" s="4">
        <v>193.92</v>
      </c>
    </row>
    <row r="1701" spans="1:8" x14ac:dyDescent="0.3">
      <c r="A1701" s="1" t="s">
        <v>2007</v>
      </c>
      <c r="B1701" s="2">
        <v>44666</v>
      </c>
      <c r="C1701" s="1" t="s">
        <v>336</v>
      </c>
      <c r="D1701" s="1" t="s">
        <v>141</v>
      </c>
      <c r="E1701">
        <v>4</v>
      </c>
      <c r="F1701" s="4">
        <v>1021.68</v>
      </c>
      <c r="G1701" s="3">
        <v>0.3</v>
      </c>
      <c r="H1701" s="4">
        <v>144.19999999999999</v>
      </c>
    </row>
    <row r="1702" spans="1:8" x14ac:dyDescent="0.3">
      <c r="A1702" s="1" t="s">
        <v>2008</v>
      </c>
      <c r="B1702" s="2">
        <v>44775</v>
      </c>
      <c r="C1702" s="1" t="s">
        <v>200</v>
      </c>
      <c r="D1702" s="1" t="s">
        <v>54</v>
      </c>
      <c r="E1702">
        <v>4</v>
      </c>
      <c r="F1702" s="4">
        <v>733.89</v>
      </c>
      <c r="G1702" s="3">
        <v>0.1</v>
      </c>
      <c r="H1702" s="4">
        <v>191.49</v>
      </c>
    </row>
    <row r="1703" spans="1:8" x14ac:dyDescent="0.3">
      <c r="A1703" s="1" t="s">
        <v>2009</v>
      </c>
      <c r="B1703" s="2">
        <v>44914</v>
      </c>
      <c r="C1703" s="1" t="s">
        <v>192</v>
      </c>
      <c r="D1703" s="1" t="s">
        <v>43</v>
      </c>
      <c r="E1703">
        <v>4</v>
      </c>
      <c r="F1703" s="4">
        <v>1603.96</v>
      </c>
      <c r="G1703" s="3">
        <v>0.1</v>
      </c>
      <c r="H1703" s="4">
        <v>158.37</v>
      </c>
    </row>
    <row r="1704" spans="1:8" x14ac:dyDescent="0.3">
      <c r="A1704" s="1" t="s">
        <v>2010</v>
      </c>
      <c r="B1704" s="2">
        <v>45158</v>
      </c>
      <c r="C1704" s="1" t="s">
        <v>1081</v>
      </c>
      <c r="D1704" s="1" t="s">
        <v>170</v>
      </c>
      <c r="E1704">
        <v>4</v>
      </c>
      <c r="F1704" s="4">
        <v>957.46</v>
      </c>
      <c r="G1704" s="3">
        <v>0.2</v>
      </c>
      <c r="H1704" s="4">
        <v>245.8</v>
      </c>
    </row>
    <row r="1705" spans="1:8" x14ac:dyDescent="0.3">
      <c r="A1705" s="1" t="s">
        <v>2011</v>
      </c>
      <c r="B1705" s="2">
        <v>44689</v>
      </c>
      <c r="C1705" s="1" t="s">
        <v>325</v>
      </c>
      <c r="D1705" s="1" t="s">
        <v>502</v>
      </c>
      <c r="E1705">
        <v>2</v>
      </c>
      <c r="F1705" s="4">
        <v>448.54</v>
      </c>
      <c r="G1705" s="3">
        <v>0.1</v>
      </c>
      <c r="H1705" s="4">
        <v>85.52</v>
      </c>
    </row>
    <row r="1706" spans="1:8" x14ac:dyDescent="0.3">
      <c r="A1706" s="1" t="s">
        <v>2012</v>
      </c>
      <c r="B1706" s="2">
        <v>45040</v>
      </c>
      <c r="C1706" s="1" t="s">
        <v>729</v>
      </c>
      <c r="D1706" s="1" t="s">
        <v>392</v>
      </c>
      <c r="E1706">
        <v>1</v>
      </c>
      <c r="F1706" s="4">
        <v>1724.45</v>
      </c>
      <c r="G1706" s="3">
        <v>0.1</v>
      </c>
      <c r="H1706" s="4">
        <v>414.81</v>
      </c>
    </row>
    <row r="1707" spans="1:8" x14ac:dyDescent="0.3">
      <c r="A1707" s="1" t="s">
        <v>2013</v>
      </c>
      <c r="B1707" s="2">
        <v>45028</v>
      </c>
      <c r="C1707" s="1" t="s">
        <v>198</v>
      </c>
      <c r="D1707" s="1" t="s">
        <v>100</v>
      </c>
      <c r="E1707">
        <v>3</v>
      </c>
      <c r="F1707" s="4">
        <v>1776.86</v>
      </c>
      <c r="G1707" s="3">
        <v>0.1</v>
      </c>
      <c r="H1707" s="4">
        <v>405.84</v>
      </c>
    </row>
    <row r="1708" spans="1:8" x14ac:dyDescent="0.3">
      <c r="A1708" s="1" t="s">
        <v>2014</v>
      </c>
      <c r="B1708" s="2">
        <v>45247</v>
      </c>
      <c r="C1708" s="1" t="s">
        <v>487</v>
      </c>
      <c r="D1708" s="1" t="s">
        <v>269</v>
      </c>
      <c r="E1708">
        <v>1</v>
      </c>
      <c r="F1708" s="4">
        <v>985.99</v>
      </c>
      <c r="G1708" s="3">
        <v>0.2</v>
      </c>
      <c r="H1708" s="4">
        <v>100.45</v>
      </c>
    </row>
    <row r="1709" spans="1:8" x14ac:dyDescent="0.3">
      <c r="A1709" s="1" t="s">
        <v>2015</v>
      </c>
      <c r="B1709" s="2">
        <v>45363</v>
      </c>
      <c r="C1709" s="1" t="s">
        <v>510</v>
      </c>
      <c r="D1709" s="1" t="s">
        <v>249</v>
      </c>
      <c r="E1709">
        <v>4</v>
      </c>
      <c r="F1709" s="4">
        <v>243.83</v>
      </c>
      <c r="G1709" s="3">
        <v>0</v>
      </c>
      <c r="H1709" s="4">
        <v>46.86</v>
      </c>
    </row>
    <row r="1710" spans="1:8" x14ac:dyDescent="0.3">
      <c r="A1710" s="1" t="s">
        <v>2016</v>
      </c>
      <c r="B1710" s="2">
        <v>44937</v>
      </c>
      <c r="C1710" s="1" t="s">
        <v>42</v>
      </c>
      <c r="D1710" s="1" t="s">
        <v>59</v>
      </c>
      <c r="E1710">
        <v>2</v>
      </c>
      <c r="F1710" s="4">
        <v>836.87</v>
      </c>
      <c r="G1710" s="3">
        <v>0.1</v>
      </c>
      <c r="H1710" s="4">
        <v>223.39</v>
      </c>
    </row>
    <row r="1711" spans="1:8" x14ac:dyDescent="0.3">
      <c r="A1711" s="1" t="s">
        <v>2017</v>
      </c>
      <c r="B1711" s="2">
        <v>45027</v>
      </c>
      <c r="C1711" s="1" t="s">
        <v>106</v>
      </c>
      <c r="D1711" s="1" t="s">
        <v>78</v>
      </c>
      <c r="E1711">
        <v>5</v>
      </c>
      <c r="F1711" s="4">
        <v>1626.72</v>
      </c>
      <c r="G1711" s="3">
        <v>0.2</v>
      </c>
      <c r="H1711" s="4">
        <v>257.07</v>
      </c>
    </row>
    <row r="1712" spans="1:8" x14ac:dyDescent="0.3">
      <c r="A1712" s="1" t="s">
        <v>2018</v>
      </c>
      <c r="B1712" s="2">
        <v>45068</v>
      </c>
      <c r="C1712" s="1" t="s">
        <v>559</v>
      </c>
      <c r="D1712" s="1" t="s">
        <v>19</v>
      </c>
      <c r="E1712">
        <v>2</v>
      </c>
      <c r="F1712" s="4">
        <v>1813.37</v>
      </c>
      <c r="G1712" s="3">
        <v>0.2</v>
      </c>
      <c r="H1712" s="4">
        <v>528.87</v>
      </c>
    </row>
    <row r="1713" spans="1:8" x14ac:dyDescent="0.3">
      <c r="A1713" s="1" t="s">
        <v>2019</v>
      </c>
      <c r="B1713" s="2">
        <v>44714</v>
      </c>
      <c r="C1713" s="1" t="s">
        <v>158</v>
      </c>
      <c r="D1713" s="1" t="s">
        <v>679</v>
      </c>
      <c r="E1713">
        <v>4</v>
      </c>
      <c r="F1713" s="4">
        <v>486.6</v>
      </c>
      <c r="G1713" s="3">
        <v>0.3</v>
      </c>
      <c r="H1713" s="4">
        <v>79.34</v>
      </c>
    </row>
    <row r="1714" spans="1:8" x14ac:dyDescent="0.3">
      <c r="A1714" s="1" t="s">
        <v>2020</v>
      </c>
      <c r="B1714" s="2">
        <v>44815</v>
      </c>
      <c r="C1714" s="1" t="s">
        <v>927</v>
      </c>
      <c r="D1714" s="1" t="s">
        <v>770</v>
      </c>
      <c r="E1714">
        <v>2</v>
      </c>
      <c r="F1714" s="4">
        <v>227.25</v>
      </c>
      <c r="G1714" s="3">
        <v>0.2</v>
      </c>
      <c r="H1714" s="4">
        <v>19.47</v>
      </c>
    </row>
    <row r="1715" spans="1:8" x14ac:dyDescent="0.3">
      <c r="A1715" s="1" t="s">
        <v>2021</v>
      </c>
      <c r="B1715" s="2">
        <v>44791</v>
      </c>
      <c r="C1715" s="1" t="s">
        <v>217</v>
      </c>
      <c r="D1715" s="1" t="s">
        <v>211</v>
      </c>
      <c r="E1715">
        <v>2</v>
      </c>
      <c r="F1715" s="4">
        <v>1766.97</v>
      </c>
      <c r="G1715" s="3">
        <v>0</v>
      </c>
      <c r="H1715" s="4">
        <v>260.38</v>
      </c>
    </row>
    <row r="1716" spans="1:8" x14ac:dyDescent="0.3">
      <c r="A1716" s="1" t="s">
        <v>2022</v>
      </c>
      <c r="B1716" s="2">
        <v>45143</v>
      </c>
      <c r="C1716" s="1" t="s">
        <v>491</v>
      </c>
      <c r="D1716" s="1" t="s">
        <v>234</v>
      </c>
      <c r="E1716">
        <v>4</v>
      </c>
      <c r="F1716" s="4">
        <v>839.87</v>
      </c>
      <c r="G1716" s="3">
        <v>0.1</v>
      </c>
      <c r="H1716" s="4">
        <v>241.82</v>
      </c>
    </row>
    <row r="1717" spans="1:8" x14ac:dyDescent="0.3">
      <c r="A1717" s="1" t="s">
        <v>2023</v>
      </c>
      <c r="B1717" s="2">
        <v>45376</v>
      </c>
      <c r="C1717" s="1" t="s">
        <v>66</v>
      </c>
      <c r="D1717" s="1" t="s">
        <v>660</v>
      </c>
      <c r="E1717">
        <v>2</v>
      </c>
      <c r="F1717" s="4">
        <v>1129.3499999999999</v>
      </c>
      <c r="G1717" s="3">
        <v>0.2</v>
      </c>
      <c r="H1717" s="4">
        <v>146.74</v>
      </c>
    </row>
    <row r="1718" spans="1:8" x14ac:dyDescent="0.3">
      <c r="A1718" s="1" t="s">
        <v>2024</v>
      </c>
      <c r="B1718" s="2">
        <v>45258</v>
      </c>
      <c r="C1718" s="1" t="s">
        <v>347</v>
      </c>
      <c r="D1718" s="1" t="s">
        <v>397</v>
      </c>
      <c r="E1718">
        <v>3</v>
      </c>
      <c r="F1718" s="4">
        <v>1939.33</v>
      </c>
      <c r="G1718" s="3">
        <v>0</v>
      </c>
      <c r="H1718" s="4">
        <v>517.85</v>
      </c>
    </row>
    <row r="1719" spans="1:8" x14ac:dyDescent="0.3">
      <c r="A1719" s="1" t="s">
        <v>2025</v>
      </c>
      <c r="B1719" s="2">
        <v>45342</v>
      </c>
      <c r="C1719" s="1" t="s">
        <v>547</v>
      </c>
      <c r="D1719" s="1" t="s">
        <v>132</v>
      </c>
      <c r="E1719">
        <v>3</v>
      </c>
      <c r="F1719" s="4">
        <v>226.47</v>
      </c>
      <c r="G1719" s="3">
        <v>0.2</v>
      </c>
      <c r="H1719" s="4">
        <v>61.22</v>
      </c>
    </row>
    <row r="1720" spans="1:8" x14ac:dyDescent="0.3">
      <c r="A1720" s="1" t="s">
        <v>2026</v>
      </c>
      <c r="B1720" s="2">
        <v>45324</v>
      </c>
      <c r="C1720" s="1" t="s">
        <v>662</v>
      </c>
      <c r="D1720" s="1" t="s">
        <v>180</v>
      </c>
      <c r="E1720">
        <v>2</v>
      </c>
      <c r="F1720" s="4">
        <v>1331.8</v>
      </c>
      <c r="G1720" s="3">
        <v>0.2</v>
      </c>
      <c r="H1720" s="4">
        <v>183.18</v>
      </c>
    </row>
    <row r="1721" spans="1:8" x14ac:dyDescent="0.3">
      <c r="A1721" s="1" t="s">
        <v>2027</v>
      </c>
      <c r="B1721" s="2">
        <v>44598</v>
      </c>
      <c r="C1721" s="1" t="s">
        <v>203</v>
      </c>
      <c r="D1721" s="1" t="s">
        <v>258</v>
      </c>
      <c r="E1721">
        <v>5</v>
      </c>
      <c r="F1721" s="4">
        <v>240.8</v>
      </c>
      <c r="G1721" s="3">
        <v>0.2</v>
      </c>
      <c r="H1721" s="4">
        <v>17.05</v>
      </c>
    </row>
    <row r="1722" spans="1:8" x14ac:dyDescent="0.3">
      <c r="A1722" s="1" t="s">
        <v>2028</v>
      </c>
      <c r="B1722" s="2">
        <v>45283</v>
      </c>
      <c r="C1722" s="1" t="s">
        <v>657</v>
      </c>
      <c r="D1722" s="1" t="s">
        <v>188</v>
      </c>
      <c r="E1722">
        <v>4</v>
      </c>
      <c r="F1722" s="4">
        <v>813.39</v>
      </c>
      <c r="G1722" s="3">
        <v>0.2</v>
      </c>
      <c r="H1722" s="4">
        <v>188.01</v>
      </c>
    </row>
    <row r="1723" spans="1:8" x14ac:dyDescent="0.3">
      <c r="A1723" s="1" t="s">
        <v>2029</v>
      </c>
      <c r="B1723" s="2">
        <v>45264</v>
      </c>
      <c r="C1723" s="1" t="s">
        <v>554</v>
      </c>
      <c r="D1723" s="1" t="s">
        <v>177</v>
      </c>
      <c r="E1723">
        <v>3</v>
      </c>
      <c r="F1723" s="4">
        <v>1627.25</v>
      </c>
      <c r="G1723" s="3">
        <v>0.2</v>
      </c>
      <c r="H1723" s="4">
        <v>208.09</v>
      </c>
    </row>
    <row r="1724" spans="1:8" x14ac:dyDescent="0.3">
      <c r="A1724" s="1" t="s">
        <v>2030</v>
      </c>
      <c r="B1724" s="2">
        <v>44711</v>
      </c>
      <c r="C1724" s="1" t="s">
        <v>709</v>
      </c>
      <c r="D1724" s="1" t="s">
        <v>218</v>
      </c>
      <c r="E1724">
        <v>5</v>
      </c>
      <c r="F1724" s="4">
        <v>923.6</v>
      </c>
      <c r="G1724" s="3">
        <v>0</v>
      </c>
      <c r="H1724" s="4">
        <v>226.96</v>
      </c>
    </row>
    <row r="1725" spans="1:8" x14ac:dyDescent="0.3">
      <c r="A1725" s="1" t="s">
        <v>2031</v>
      </c>
      <c r="B1725" s="2">
        <v>44744</v>
      </c>
      <c r="C1725" s="1" t="s">
        <v>388</v>
      </c>
      <c r="D1725" s="1" t="s">
        <v>31</v>
      </c>
      <c r="E1725">
        <v>2</v>
      </c>
      <c r="F1725" s="4">
        <v>1994.65</v>
      </c>
      <c r="G1725" s="3">
        <v>0.1</v>
      </c>
      <c r="H1725" s="4">
        <v>320.47000000000003</v>
      </c>
    </row>
    <row r="1726" spans="1:8" x14ac:dyDescent="0.3">
      <c r="A1726" s="1" t="s">
        <v>2032</v>
      </c>
      <c r="B1726" s="2">
        <v>44818</v>
      </c>
      <c r="C1726" s="1" t="s">
        <v>610</v>
      </c>
      <c r="D1726" s="1" t="s">
        <v>256</v>
      </c>
      <c r="E1726">
        <v>5</v>
      </c>
      <c r="F1726" s="4">
        <v>1162.21</v>
      </c>
      <c r="G1726" s="3">
        <v>0.1</v>
      </c>
      <c r="H1726" s="4">
        <v>199.11</v>
      </c>
    </row>
    <row r="1727" spans="1:8" x14ac:dyDescent="0.3">
      <c r="A1727" s="1" t="s">
        <v>2033</v>
      </c>
      <c r="B1727" s="2">
        <v>45203</v>
      </c>
      <c r="C1727" s="1" t="s">
        <v>425</v>
      </c>
      <c r="D1727" s="1" t="s">
        <v>296</v>
      </c>
      <c r="E1727">
        <v>1</v>
      </c>
      <c r="F1727" s="4">
        <v>710.21</v>
      </c>
      <c r="G1727" s="3">
        <v>0.1</v>
      </c>
      <c r="H1727" s="4">
        <v>173.63</v>
      </c>
    </row>
    <row r="1728" spans="1:8" x14ac:dyDescent="0.3">
      <c r="A1728" s="1" t="s">
        <v>2034</v>
      </c>
      <c r="B1728" s="2">
        <v>45194</v>
      </c>
      <c r="C1728" s="1" t="s">
        <v>402</v>
      </c>
      <c r="D1728" s="1" t="s">
        <v>59</v>
      </c>
      <c r="E1728">
        <v>3</v>
      </c>
      <c r="F1728" s="4">
        <v>518.21</v>
      </c>
      <c r="G1728" s="3">
        <v>0.1</v>
      </c>
      <c r="H1728" s="4">
        <v>75.45</v>
      </c>
    </row>
    <row r="1729" spans="1:8" x14ac:dyDescent="0.3">
      <c r="A1729" s="1" t="s">
        <v>2035</v>
      </c>
      <c r="B1729" s="2">
        <v>45060</v>
      </c>
      <c r="C1729" s="1" t="s">
        <v>800</v>
      </c>
      <c r="D1729" s="1" t="s">
        <v>25</v>
      </c>
      <c r="E1729">
        <v>2</v>
      </c>
      <c r="F1729" s="4">
        <v>765.99</v>
      </c>
      <c r="G1729" s="3">
        <v>0</v>
      </c>
      <c r="H1729" s="4">
        <v>123.16</v>
      </c>
    </row>
    <row r="1730" spans="1:8" x14ac:dyDescent="0.3">
      <c r="A1730" s="1" t="s">
        <v>2036</v>
      </c>
      <c r="B1730" s="2">
        <v>45082</v>
      </c>
      <c r="C1730" s="1" t="s">
        <v>167</v>
      </c>
      <c r="D1730" s="1" t="s">
        <v>156</v>
      </c>
      <c r="E1730">
        <v>4</v>
      </c>
      <c r="F1730" s="4">
        <v>807.81</v>
      </c>
      <c r="G1730" s="3">
        <v>0.3</v>
      </c>
      <c r="H1730" s="4">
        <v>116.36</v>
      </c>
    </row>
    <row r="1731" spans="1:8" x14ac:dyDescent="0.3">
      <c r="A1731" s="1" t="s">
        <v>2037</v>
      </c>
      <c r="B1731" s="2">
        <v>44860</v>
      </c>
      <c r="C1731" s="1" t="s">
        <v>946</v>
      </c>
      <c r="D1731" s="1" t="s">
        <v>249</v>
      </c>
      <c r="E1731">
        <v>2</v>
      </c>
      <c r="F1731" s="4">
        <v>230.56</v>
      </c>
      <c r="G1731" s="3">
        <v>0.3</v>
      </c>
      <c r="H1731" s="4">
        <v>32.700000000000003</v>
      </c>
    </row>
    <row r="1732" spans="1:8" x14ac:dyDescent="0.3">
      <c r="A1732" s="1" t="s">
        <v>2038</v>
      </c>
      <c r="B1732" s="2">
        <v>44874</v>
      </c>
      <c r="C1732" s="1" t="s">
        <v>447</v>
      </c>
      <c r="D1732" s="1" t="s">
        <v>304</v>
      </c>
      <c r="E1732">
        <v>4</v>
      </c>
      <c r="F1732" s="4">
        <v>802.19</v>
      </c>
      <c r="G1732" s="3">
        <v>0</v>
      </c>
      <c r="H1732" s="4">
        <v>145.59</v>
      </c>
    </row>
    <row r="1733" spans="1:8" x14ac:dyDescent="0.3">
      <c r="A1733" s="1" t="s">
        <v>2039</v>
      </c>
      <c r="B1733" s="2">
        <v>44734</v>
      </c>
      <c r="C1733" s="1" t="s">
        <v>319</v>
      </c>
      <c r="D1733" s="1" t="s">
        <v>323</v>
      </c>
      <c r="E1733">
        <v>2</v>
      </c>
      <c r="F1733" s="4">
        <v>982.05</v>
      </c>
      <c r="G1733" s="3">
        <v>0</v>
      </c>
      <c r="H1733" s="4">
        <v>247.67</v>
      </c>
    </row>
    <row r="1734" spans="1:8" x14ac:dyDescent="0.3">
      <c r="A1734" s="1" t="s">
        <v>2040</v>
      </c>
      <c r="B1734" s="2">
        <v>45019</v>
      </c>
      <c r="C1734" s="1" t="s">
        <v>834</v>
      </c>
      <c r="D1734" s="1" t="s">
        <v>660</v>
      </c>
      <c r="E1734">
        <v>5</v>
      </c>
      <c r="F1734" s="4">
        <v>1473.2</v>
      </c>
      <c r="G1734" s="3">
        <v>0.2</v>
      </c>
      <c r="H1734" s="4">
        <v>206.9</v>
      </c>
    </row>
    <row r="1735" spans="1:8" x14ac:dyDescent="0.3">
      <c r="A1735" s="1" t="s">
        <v>2041</v>
      </c>
      <c r="B1735" s="2">
        <v>44696</v>
      </c>
      <c r="C1735" s="1" t="s">
        <v>350</v>
      </c>
      <c r="D1735" s="1" t="s">
        <v>170</v>
      </c>
      <c r="E1735">
        <v>5</v>
      </c>
      <c r="F1735" s="4">
        <v>1347.79</v>
      </c>
      <c r="G1735" s="3">
        <v>0.2</v>
      </c>
      <c r="H1735" s="4">
        <v>244.04</v>
      </c>
    </row>
    <row r="1736" spans="1:8" x14ac:dyDescent="0.3">
      <c r="A1736" s="1" t="s">
        <v>2042</v>
      </c>
      <c r="B1736" s="2">
        <v>44933</v>
      </c>
      <c r="C1736" s="1" t="s">
        <v>145</v>
      </c>
      <c r="D1736" s="1" t="s">
        <v>43</v>
      </c>
      <c r="E1736">
        <v>5</v>
      </c>
      <c r="F1736" s="4">
        <v>1446.65</v>
      </c>
      <c r="G1736" s="3">
        <v>0.2</v>
      </c>
      <c r="H1736" s="4">
        <v>314.91000000000003</v>
      </c>
    </row>
    <row r="1737" spans="1:8" x14ac:dyDescent="0.3">
      <c r="A1737" s="1" t="s">
        <v>2043</v>
      </c>
      <c r="B1737" s="2">
        <v>44904</v>
      </c>
      <c r="C1737" s="1" t="s">
        <v>420</v>
      </c>
      <c r="D1737" s="1" t="s">
        <v>25</v>
      </c>
      <c r="E1737">
        <v>1</v>
      </c>
      <c r="F1737" s="4">
        <v>115.89</v>
      </c>
      <c r="G1737" s="3">
        <v>0.1</v>
      </c>
      <c r="H1737" s="4">
        <v>13.6</v>
      </c>
    </row>
    <row r="1738" spans="1:8" x14ac:dyDescent="0.3">
      <c r="A1738" s="1" t="s">
        <v>2044</v>
      </c>
      <c r="B1738" s="2">
        <v>44921</v>
      </c>
      <c r="C1738" s="1" t="s">
        <v>308</v>
      </c>
      <c r="D1738" s="1" t="s">
        <v>249</v>
      </c>
      <c r="E1738">
        <v>4</v>
      </c>
      <c r="F1738" s="4">
        <v>513.57000000000005</v>
      </c>
      <c r="G1738" s="3">
        <v>0.2</v>
      </c>
      <c r="H1738" s="4">
        <v>61.31</v>
      </c>
    </row>
    <row r="1739" spans="1:8" x14ac:dyDescent="0.3">
      <c r="A1739" s="1" t="s">
        <v>2045</v>
      </c>
      <c r="B1739" s="2">
        <v>44654</v>
      </c>
      <c r="C1739" s="1" t="s">
        <v>526</v>
      </c>
      <c r="D1739" s="1" t="s">
        <v>392</v>
      </c>
      <c r="E1739">
        <v>5</v>
      </c>
      <c r="F1739" s="4">
        <v>1357.2</v>
      </c>
      <c r="G1739" s="3">
        <v>0.3</v>
      </c>
      <c r="H1739" s="4">
        <v>384.57</v>
      </c>
    </row>
    <row r="1740" spans="1:8" x14ac:dyDescent="0.3">
      <c r="A1740" s="1" t="s">
        <v>2046</v>
      </c>
      <c r="B1740" s="2">
        <v>45161</v>
      </c>
      <c r="C1740" s="1" t="s">
        <v>285</v>
      </c>
      <c r="D1740" s="1" t="s">
        <v>369</v>
      </c>
      <c r="E1740">
        <v>1</v>
      </c>
      <c r="F1740" s="4">
        <v>1019.58</v>
      </c>
      <c r="G1740" s="3">
        <v>0.1</v>
      </c>
      <c r="H1740" s="4">
        <v>235.4</v>
      </c>
    </row>
    <row r="1741" spans="1:8" x14ac:dyDescent="0.3">
      <c r="A1741" s="1" t="s">
        <v>2047</v>
      </c>
      <c r="B1741" s="2">
        <v>44783</v>
      </c>
      <c r="C1741" s="1" t="s">
        <v>292</v>
      </c>
      <c r="D1741" s="1" t="s">
        <v>263</v>
      </c>
      <c r="E1741">
        <v>4</v>
      </c>
      <c r="F1741" s="4">
        <v>110.1</v>
      </c>
      <c r="G1741" s="3">
        <v>0.2</v>
      </c>
      <c r="H1741" s="4">
        <v>21.39</v>
      </c>
    </row>
    <row r="1742" spans="1:8" x14ac:dyDescent="0.3">
      <c r="A1742" s="1" t="s">
        <v>2048</v>
      </c>
      <c r="B1742" s="2">
        <v>45410</v>
      </c>
      <c r="C1742" s="1" t="s">
        <v>786</v>
      </c>
      <c r="D1742" s="1" t="s">
        <v>226</v>
      </c>
      <c r="E1742">
        <v>2</v>
      </c>
      <c r="F1742" s="4">
        <v>1628.54</v>
      </c>
      <c r="G1742" s="3">
        <v>0.1</v>
      </c>
      <c r="H1742" s="4">
        <v>345.14</v>
      </c>
    </row>
    <row r="1743" spans="1:8" x14ac:dyDescent="0.3">
      <c r="A1743" s="1" t="s">
        <v>2049</v>
      </c>
      <c r="B1743" s="2">
        <v>44784</v>
      </c>
      <c r="C1743" s="1" t="s">
        <v>425</v>
      </c>
      <c r="D1743" s="1" t="s">
        <v>127</v>
      </c>
      <c r="E1743">
        <v>1</v>
      </c>
      <c r="F1743" s="4">
        <v>1568.34</v>
      </c>
      <c r="G1743" s="3">
        <v>0.3</v>
      </c>
      <c r="H1743" s="4">
        <v>89.9</v>
      </c>
    </row>
    <row r="1744" spans="1:8" x14ac:dyDescent="0.3">
      <c r="A1744" s="1" t="s">
        <v>2050</v>
      </c>
      <c r="B1744" s="2">
        <v>44850</v>
      </c>
      <c r="C1744" s="1" t="s">
        <v>252</v>
      </c>
      <c r="D1744" s="1" t="s">
        <v>97</v>
      </c>
      <c r="E1744">
        <v>3</v>
      </c>
      <c r="F1744" s="4">
        <v>1142</v>
      </c>
      <c r="G1744" s="3">
        <v>0.2</v>
      </c>
      <c r="H1744" s="4">
        <v>233.57</v>
      </c>
    </row>
    <row r="1745" spans="1:8" x14ac:dyDescent="0.3">
      <c r="A1745" s="1" t="s">
        <v>2051</v>
      </c>
      <c r="B1745" s="2">
        <v>44729</v>
      </c>
      <c r="C1745" s="1" t="s">
        <v>124</v>
      </c>
      <c r="D1745" s="1" t="s">
        <v>10</v>
      </c>
      <c r="E1745">
        <v>1</v>
      </c>
      <c r="F1745" s="4">
        <v>226.28</v>
      </c>
      <c r="G1745" s="3">
        <v>0.3</v>
      </c>
      <c r="H1745" s="4">
        <v>40.14</v>
      </c>
    </row>
    <row r="1746" spans="1:8" x14ac:dyDescent="0.3">
      <c r="A1746" s="1" t="s">
        <v>2052</v>
      </c>
      <c r="B1746" s="2">
        <v>44577</v>
      </c>
      <c r="C1746" s="1" t="s">
        <v>434</v>
      </c>
      <c r="D1746" s="1" t="s">
        <v>269</v>
      </c>
      <c r="E1746">
        <v>1</v>
      </c>
      <c r="F1746" s="4">
        <v>1556.38</v>
      </c>
      <c r="G1746" s="3">
        <v>0.3</v>
      </c>
      <c r="H1746" s="4">
        <v>290.17</v>
      </c>
    </row>
    <row r="1747" spans="1:8" x14ac:dyDescent="0.3">
      <c r="A1747" s="1" t="s">
        <v>2053</v>
      </c>
      <c r="B1747" s="2">
        <v>44967</v>
      </c>
      <c r="C1747" s="1" t="s">
        <v>271</v>
      </c>
      <c r="D1747" s="1" t="s">
        <v>242</v>
      </c>
      <c r="E1747">
        <v>4</v>
      </c>
      <c r="F1747" s="4">
        <v>1209.06</v>
      </c>
      <c r="G1747" s="3">
        <v>0.3</v>
      </c>
      <c r="H1747" s="4">
        <v>169.09</v>
      </c>
    </row>
    <row r="1748" spans="1:8" x14ac:dyDescent="0.3">
      <c r="A1748" s="1" t="s">
        <v>2054</v>
      </c>
      <c r="B1748" s="2">
        <v>44910</v>
      </c>
      <c r="C1748" s="1" t="s">
        <v>99</v>
      </c>
      <c r="D1748" s="1" t="s">
        <v>111</v>
      </c>
      <c r="E1748">
        <v>2</v>
      </c>
      <c r="F1748" s="4">
        <v>1585.72</v>
      </c>
      <c r="G1748" s="3">
        <v>0.2</v>
      </c>
      <c r="H1748" s="4">
        <v>111.58</v>
      </c>
    </row>
    <row r="1749" spans="1:8" x14ac:dyDescent="0.3">
      <c r="A1749" s="1" t="s">
        <v>2055</v>
      </c>
      <c r="B1749" s="2">
        <v>45058</v>
      </c>
      <c r="C1749" s="1" t="s">
        <v>308</v>
      </c>
      <c r="D1749" s="1" t="s">
        <v>455</v>
      </c>
      <c r="E1749">
        <v>3</v>
      </c>
      <c r="F1749" s="4">
        <v>1528.32</v>
      </c>
      <c r="G1749" s="3">
        <v>0</v>
      </c>
      <c r="H1749" s="4">
        <v>150.29</v>
      </c>
    </row>
    <row r="1750" spans="1:8" x14ac:dyDescent="0.3">
      <c r="A1750" s="1" t="s">
        <v>2056</v>
      </c>
      <c r="B1750" s="2">
        <v>44905</v>
      </c>
      <c r="C1750" s="1" t="s">
        <v>271</v>
      </c>
      <c r="D1750" s="1" t="s">
        <v>141</v>
      </c>
      <c r="E1750">
        <v>5</v>
      </c>
      <c r="F1750" s="4">
        <v>1625.7</v>
      </c>
      <c r="G1750" s="3">
        <v>0.2</v>
      </c>
      <c r="H1750" s="4">
        <v>467.69</v>
      </c>
    </row>
    <row r="1751" spans="1:8" x14ac:dyDescent="0.3">
      <c r="A1751" s="1" t="s">
        <v>2057</v>
      </c>
      <c r="B1751" s="2">
        <v>45057</v>
      </c>
      <c r="C1751" s="1" t="s">
        <v>434</v>
      </c>
      <c r="D1751" s="1" t="s">
        <v>31</v>
      </c>
      <c r="E1751">
        <v>5</v>
      </c>
      <c r="F1751" s="4">
        <v>1084.22</v>
      </c>
      <c r="G1751" s="3">
        <v>0.3</v>
      </c>
      <c r="H1751" s="4">
        <v>164.99</v>
      </c>
    </row>
    <row r="1752" spans="1:8" x14ac:dyDescent="0.3">
      <c r="A1752" s="1" t="s">
        <v>2058</v>
      </c>
      <c r="B1752" s="2">
        <v>44666</v>
      </c>
      <c r="C1752" s="1" t="s">
        <v>282</v>
      </c>
      <c r="D1752" s="1" t="s">
        <v>660</v>
      </c>
      <c r="E1752">
        <v>1</v>
      </c>
      <c r="F1752" s="4">
        <v>366.62</v>
      </c>
      <c r="G1752" s="3">
        <v>0.2</v>
      </c>
      <c r="H1752" s="4">
        <v>61.1</v>
      </c>
    </row>
    <row r="1753" spans="1:8" x14ac:dyDescent="0.3">
      <c r="A1753" s="1" t="s">
        <v>2059</v>
      </c>
      <c r="B1753" s="2">
        <v>44755</v>
      </c>
      <c r="C1753" s="1" t="s">
        <v>82</v>
      </c>
      <c r="D1753" s="1" t="s">
        <v>323</v>
      </c>
      <c r="E1753">
        <v>4</v>
      </c>
      <c r="F1753" s="4">
        <v>1375.2</v>
      </c>
      <c r="G1753" s="3">
        <v>0.3</v>
      </c>
      <c r="H1753" s="4">
        <v>86.88</v>
      </c>
    </row>
    <row r="1754" spans="1:8" x14ac:dyDescent="0.3">
      <c r="A1754" s="1" t="s">
        <v>2060</v>
      </c>
      <c r="B1754" s="2">
        <v>45447</v>
      </c>
      <c r="C1754" s="1" t="s">
        <v>30</v>
      </c>
      <c r="D1754" s="1" t="s">
        <v>139</v>
      </c>
      <c r="E1754">
        <v>4</v>
      </c>
      <c r="F1754" s="4">
        <v>1278.9000000000001</v>
      </c>
      <c r="G1754" s="3">
        <v>0</v>
      </c>
      <c r="H1754" s="4">
        <v>75.959999999999994</v>
      </c>
    </row>
    <row r="1755" spans="1:8" x14ac:dyDescent="0.3">
      <c r="A1755" s="1" t="s">
        <v>2061</v>
      </c>
      <c r="B1755" s="2">
        <v>45329</v>
      </c>
      <c r="C1755" s="1" t="s">
        <v>313</v>
      </c>
      <c r="D1755" s="1" t="s">
        <v>72</v>
      </c>
      <c r="E1755">
        <v>5</v>
      </c>
      <c r="F1755" s="4">
        <v>1510.28</v>
      </c>
      <c r="G1755" s="3">
        <v>0.1</v>
      </c>
      <c r="H1755" s="4">
        <v>346.3</v>
      </c>
    </row>
    <row r="1756" spans="1:8" x14ac:dyDescent="0.3">
      <c r="A1756" s="1" t="s">
        <v>2062</v>
      </c>
      <c r="B1756" s="2">
        <v>45021</v>
      </c>
      <c r="C1756" s="1" t="s">
        <v>194</v>
      </c>
      <c r="D1756" s="1" t="s">
        <v>263</v>
      </c>
      <c r="E1756">
        <v>3</v>
      </c>
      <c r="F1756" s="4">
        <v>422.77</v>
      </c>
      <c r="G1756" s="3">
        <v>0</v>
      </c>
      <c r="H1756" s="4">
        <v>78.010000000000005</v>
      </c>
    </row>
    <row r="1757" spans="1:8" x14ac:dyDescent="0.3">
      <c r="A1757" s="1" t="s">
        <v>2063</v>
      </c>
      <c r="B1757" s="2">
        <v>44585</v>
      </c>
      <c r="C1757" s="1" t="s">
        <v>384</v>
      </c>
      <c r="D1757" s="1" t="s">
        <v>45</v>
      </c>
      <c r="E1757">
        <v>2</v>
      </c>
      <c r="F1757" s="4">
        <v>470.45</v>
      </c>
      <c r="G1757" s="3">
        <v>0</v>
      </c>
      <c r="H1757" s="4">
        <v>83.35</v>
      </c>
    </row>
    <row r="1758" spans="1:8" x14ac:dyDescent="0.3">
      <c r="A1758" s="1" t="s">
        <v>2064</v>
      </c>
      <c r="B1758" s="2">
        <v>45147</v>
      </c>
      <c r="C1758" s="1" t="s">
        <v>285</v>
      </c>
      <c r="D1758" s="1" t="s">
        <v>275</v>
      </c>
      <c r="E1758">
        <v>3</v>
      </c>
      <c r="F1758" s="4">
        <v>1791.78</v>
      </c>
      <c r="G1758" s="3">
        <v>0.1</v>
      </c>
      <c r="H1758" s="4">
        <v>198.5</v>
      </c>
    </row>
    <row r="1759" spans="1:8" x14ac:dyDescent="0.3">
      <c r="A1759" s="1" t="s">
        <v>2065</v>
      </c>
      <c r="B1759" s="2">
        <v>44667</v>
      </c>
      <c r="C1759" s="1" t="s">
        <v>1081</v>
      </c>
      <c r="D1759" s="1" t="s">
        <v>83</v>
      </c>
      <c r="E1759">
        <v>2</v>
      </c>
      <c r="F1759" s="4">
        <v>1524.96</v>
      </c>
      <c r="G1759" s="3">
        <v>0.2</v>
      </c>
      <c r="H1759" s="4">
        <v>360.18</v>
      </c>
    </row>
    <row r="1760" spans="1:8" x14ac:dyDescent="0.3">
      <c r="A1760" s="1" t="s">
        <v>2066</v>
      </c>
      <c r="B1760" s="2">
        <v>45177</v>
      </c>
      <c r="C1760" s="1" t="s">
        <v>319</v>
      </c>
      <c r="D1760" s="1" t="s">
        <v>127</v>
      </c>
      <c r="E1760">
        <v>5</v>
      </c>
      <c r="F1760" s="4">
        <v>1825.63</v>
      </c>
      <c r="G1760" s="3">
        <v>0.1</v>
      </c>
      <c r="H1760" s="4">
        <v>168.07</v>
      </c>
    </row>
    <row r="1761" spans="1:8" x14ac:dyDescent="0.3">
      <c r="A1761" s="1" t="s">
        <v>2067</v>
      </c>
      <c r="B1761" s="2">
        <v>45311</v>
      </c>
      <c r="C1761" s="1" t="s">
        <v>473</v>
      </c>
      <c r="D1761" s="1" t="s">
        <v>186</v>
      </c>
      <c r="E1761">
        <v>2</v>
      </c>
      <c r="F1761" s="4">
        <v>1541.56</v>
      </c>
      <c r="G1761" s="3">
        <v>0.2</v>
      </c>
      <c r="H1761" s="4">
        <v>150.28</v>
      </c>
    </row>
    <row r="1762" spans="1:8" x14ac:dyDescent="0.3">
      <c r="A1762" s="1" t="s">
        <v>2068</v>
      </c>
      <c r="B1762" s="2">
        <v>45066</v>
      </c>
      <c r="C1762" s="1" t="s">
        <v>231</v>
      </c>
      <c r="D1762" s="1" t="s">
        <v>13</v>
      </c>
      <c r="E1762">
        <v>4</v>
      </c>
      <c r="F1762" s="4">
        <v>1234.5999999999999</v>
      </c>
      <c r="G1762" s="3">
        <v>0.2</v>
      </c>
      <c r="H1762" s="4">
        <v>203.93</v>
      </c>
    </row>
    <row r="1763" spans="1:8" x14ac:dyDescent="0.3">
      <c r="A1763" s="1" t="s">
        <v>2069</v>
      </c>
      <c r="B1763" s="2">
        <v>45080</v>
      </c>
      <c r="C1763" s="1" t="s">
        <v>321</v>
      </c>
      <c r="D1763" s="1" t="s">
        <v>211</v>
      </c>
      <c r="E1763">
        <v>1</v>
      </c>
      <c r="F1763" s="4">
        <v>1342.85</v>
      </c>
      <c r="G1763" s="3">
        <v>0.3</v>
      </c>
      <c r="H1763" s="4">
        <v>163.25</v>
      </c>
    </row>
    <row r="1764" spans="1:8" x14ac:dyDescent="0.3">
      <c r="A1764" s="1" t="s">
        <v>2070</v>
      </c>
      <c r="B1764" s="2">
        <v>44888</v>
      </c>
      <c r="C1764" s="1" t="s">
        <v>1043</v>
      </c>
      <c r="D1764" s="1" t="s">
        <v>143</v>
      </c>
      <c r="E1764">
        <v>1</v>
      </c>
      <c r="F1764" s="4">
        <v>1789.34</v>
      </c>
      <c r="G1764" s="3">
        <v>0.3</v>
      </c>
      <c r="H1764" s="4">
        <v>200.17</v>
      </c>
    </row>
    <row r="1765" spans="1:8" x14ac:dyDescent="0.3">
      <c r="A1765" s="1" t="s">
        <v>2071</v>
      </c>
      <c r="B1765" s="2">
        <v>45076</v>
      </c>
      <c r="C1765" s="1" t="s">
        <v>319</v>
      </c>
      <c r="D1765" s="1" t="s">
        <v>400</v>
      </c>
      <c r="E1765">
        <v>5</v>
      </c>
      <c r="F1765" s="4">
        <v>1199.73</v>
      </c>
      <c r="G1765" s="3">
        <v>0.1</v>
      </c>
      <c r="H1765" s="4">
        <v>253.51</v>
      </c>
    </row>
    <row r="1766" spans="1:8" x14ac:dyDescent="0.3">
      <c r="A1766" s="1" t="s">
        <v>2072</v>
      </c>
      <c r="B1766" s="2">
        <v>45271</v>
      </c>
      <c r="C1766" s="1" t="s">
        <v>118</v>
      </c>
      <c r="D1766" s="1" t="s">
        <v>163</v>
      </c>
      <c r="E1766">
        <v>4</v>
      </c>
      <c r="F1766" s="4">
        <v>1301.54</v>
      </c>
      <c r="G1766" s="3">
        <v>0</v>
      </c>
      <c r="H1766" s="4">
        <v>276.89</v>
      </c>
    </row>
    <row r="1767" spans="1:8" x14ac:dyDescent="0.3">
      <c r="A1767" s="1" t="s">
        <v>2073</v>
      </c>
      <c r="B1767" s="2">
        <v>44653</v>
      </c>
      <c r="C1767" s="1" t="s">
        <v>510</v>
      </c>
      <c r="D1767" s="1" t="s">
        <v>679</v>
      </c>
      <c r="E1767">
        <v>3</v>
      </c>
      <c r="F1767" s="4">
        <v>397.31</v>
      </c>
      <c r="G1767" s="3">
        <v>0.1</v>
      </c>
      <c r="H1767" s="4">
        <v>101.76</v>
      </c>
    </row>
    <row r="1768" spans="1:8" x14ac:dyDescent="0.3">
      <c r="A1768" s="1" t="s">
        <v>2074</v>
      </c>
      <c r="B1768" s="2">
        <v>45048</v>
      </c>
      <c r="C1768" s="1" t="s">
        <v>330</v>
      </c>
      <c r="D1768" s="1" t="s">
        <v>253</v>
      </c>
      <c r="E1768">
        <v>4</v>
      </c>
      <c r="F1768" s="4">
        <v>1000.45</v>
      </c>
      <c r="G1768" s="3">
        <v>0.2</v>
      </c>
      <c r="H1768" s="4">
        <v>154.5</v>
      </c>
    </row>
    <row r="1769" spans="1:8" x14ac:dyDescent="0.3">
      <c r="A1769" s="1" t="s">
        <v>2075</v>
      </c>
      <c r="B1769" s="2">
        <v>45415</v>
      </c>
      <c r="C1769" s="1" t="s">
        <v>96</v>
      </c>
      <c r="D1769" s="1" t="s">
        <v>209</v>
      </c>
      <c r="E1769">
        <v>1</v>
      </c>
      <c r="F1769" s="4">
        <v>1461.15</v>
      </c>
      <c r="G1769" s="3">
        <v>0.3</v>
      </c>
      <c r="H1769" s="4">
        <v>99.75</v>
      </c>
    </row>
    <row r="1770" spans="1:8" x14ac:dyDescent="0.3">
      <c r="A1770" s="1" t="s">
        <v>2076</v>
      </c>
      <c r="B1770" s="2">
        <v>45276</v>
      </c>
      <c r="C1770" s="1" t="s">
        <v>104</v>
      </c>
      <c r="D1770" s="1" t="s">
        <v>86</v>
      </c>
      <c r="E1770">
        <v>1</v>
      </c>
      <c r="F1770" s="4">
        <v>614.79</v>
      </c>
      <c r="G1770" s="3">
        <v>0.1</v>
      </c>
      <c r="H1770" s="4">
        <v>72.8</v>
      </c>
    </row>
    <row r="1771" spans="1:8" x14ac:dyDescent="0.3">
      <c r="A1771" s="1" t="s">
        <v>2077</v>
      </c>
      <c r="B1771" s="2">
        <v>44631</v>
      </c>
      <c r="C1771" s="1" t="s">
        <v>524</v>
      </c>
      <c r="D1771" s="1" t="s">
        <v>269</v>
      </c>
      <c r="E1771">
        <v>4</v>
      </c>
      <c r="F1771" s="4">
        <v>484.28</v>
      </c>
      <c r="G1771" s="3">
        <v>0.1</v>
      </c>
      <c r="H1771" s="4">
        <v>142.86000000000001</v>
      </c>
    </row>
    <row r="1772" spans="1:8" x14ac:dyDescent="0.3">
      <c r="A1772" s="1" t="s">
        <v>2078</v>
      </c>
      <c r="B1772" s="2">
        <v>44892</v>
      </c>
      <c r="C1772" s="1" t="s">
        <v>683</v>
      </c>
      <c r="D1772" s="1" t="s">
        <v>139</v>
      </c>
      <c r="E1772">
        <v>4</v>
      </c>
      <c r="F1772" s="4">
        <v>696.27</v>
      </c>
      <c r="G1772" s="3">
        <v>0.3</v>
      </c>
      <c r="H1772" s="4">
        <v>138.6</v>
      </c>
    </row>
    <row r="1773" spans="1:8" x14ac:dyDescent="0.3">
      <c r="A1773" s="1" t="s">
        <v>2079</v>
      </c>
      <c r="B1773" s="2">
        <v>45422</v>
      </c>
      <c r="C1773" s="1" t="s">
        <v>121</v>
      </c>
      <c r="D1773" s="1" t="s">
        <v>288</v>
      </c>
      <c r="E1773">
        <v>1</v>
      </c>
      <c r="F1773" s="4">
        <v>558.85</v>
      </c>
      <c r="G1773" s="3">
        <v>0.3</v>
      </c>
      <c r="H1773" s="4">
        <v>127.1</v>
      </c>
    </row>
    <row r="1774" spans="1:8" x14ac:dyDescent="0.3">
      <c r="A1774" s="1" t="s">
        <v>2080</v>
      </c>
      <c r="B1774" s="2">
        <v>45412</v>
      </c>
      <c r="C1774" s="1" t="s">
        <v>1056</v>
      </c>
      <c r="D1774" s="1" t="s">
        <v>603</v>
      </c>
      <c r="E1774">
        <v>3</v>
      </c>
      <c r="F1774" s="4">
        <v>508.33</v>
      </c>
      <c r="G1774" s="3">
        <v>0.3</v>
      </c>
      <c r="H1774" s="4">
        <v>26.35</v>
      </c>
    </row>
    <row r="1775" spans="1:8" x14ac:dyDescent="0.3">
      <c r="A1775" s="1" t="s">
        <v>2081</v>
      </c>
      <c r="B1775" s="2">
        <v>44926</v>
      </c>
      <c r="C1775" s="1" t="s">
        <v>800</v>
      </c>
      <c r="D1775" s="1" t="s">
        <v>100</v>
      </c>
      <c r="E1775">
        <v>5</v>
      </c>
      <c r="F1775" s="4">
        <v>907.22</v>
      </c>
      <c r="G1775" s="3">
        <v>0.2</v>
      </c>
      <c r="H1775" s="4">
        <v>162.88999999999999</v>
      </c>
    </row>
    <row r="1776" spans="1:8" x14ac:dyDescent="0.3">
      <c r="A1776" s="1" t="s">
        <v>2082</v>
      </c>
      <c r="B1776" s="2">
        <v>45055</v>
      </c>
      <c r="C1776" s="1" t="s">
        <v>691</v>
      </c>
      <c r="D1776" s="1" t="s">
        <v>59</v>
      </c>
      <c r="E1776">
        <v>5</v>
      </c>
      <c r="F1776" s="4">
        <v>1824.89</v>
      </c>
      <c r="G1776" s="3">
        <v>0.3</v>
      </c>
      <c r="H1776" s="4">
        <v>108.37</v>
      </c>
    </row>
    <row r="1777" spans="1:8" x14ac:dyDescent="0.3">
      <c r="A1777" s="1" t="s">
        <v>2083</v>
      </c>
      <c r="B1777" s="2">
        <v>45156</v>
      </c>
      <c r="C1777" s="1" t="s">
        <v>121</v>
      </c>
      <c r="D1777" s="1" t="s">
        <v>111</v>
      </c>
      <c r="E1777">
        <v>4</v>
      </c>
      <c r="F1777" s="4">
        <v>1063.4100000000001</v>
      </c>
      <c r="G1777" s="3">
        <v>0</v>
      </c>
      <c r="H1777" s="4">
        <v>204.5</v>
      </c>
    </row>
    <row r="1778" spans="1:8" x14ac:dyDescent="0.3">
      <c r="A1778" s="1" t="s">
        <v>2084</v>
      </c>
      <c r="B1778" s="2">
        <v>45241</v>
      </c>
      <c r="C1778" s="1" t="s">
        <v>607</v>
      </c>
      <c r="D1778" s="1" t="s">
        <v>455</v>
      </c>
      <c r="E1778">
        <v>5</v>
      </c>
      <c r="F1778" s="4">
        <v>457.05</v>
      </c>
      <c r="G1778" s="3">
        <v>0.1</v>
      </c>
      <c r="H1778" s="4">
        <v>128.06</v>
      </c>
    </row>
    <row r="1779" spans="1:8" x14ac:dyDescent="0.3">
      <c r="A1779" s="1" t="s">
        <v>2085</v>
      </c>
      <c r="B1779" s="2">
        <v>45174</v>
      </c>
      <c r="C1779" s="1" t="s">
        <v>380</v>
      </c>
      <c r="D1779" s="1" t="s">
        <v>86</v>
      </c>
      <c r="E1779">
        <v>1</v>
      </c>
      <c r="F1779" s="4">
        <v>246.25</v>
      </c>
      <c r="G1779" s="3">
        <v>0.3</v>
      </c>
      <c r="H1779" s="4">
        <v>71.930000000000007</v>
      </c>
    </row>
    <row r="1780" spans="1:8" x14ac:dyDescent="0.3">
      <c r="A1780" s="1" t="s">
        <v>2086</v>
      </c>
      <c r="B1780" s="2">
        <v>45325</v>
      </c>
      <c r="C1780" s="1" t="s">
        <v>47</v>
      </c>
      <c r="D1780" s="1" t="s">
        <v>19</v>
      </c>
      <c r="E1780">
        <v>1</v>
      </c>
      <c r="F1780" s="4">
        <v>1422.7</v>
      </c>
      <c r="G1780" s="3">
        <v>0.3</v>
      </c>
      <c r="H1780" s="4">
        <v>263.39999999999998</v>
      </c>
    </row>
    <row r="1781" spans="1:8" x14ac:dyDescent="0.3">
      <c r="A1781" s="1" t="s">
        <v>2087</v>
      </c>
      <c r="B1781" s="2">
        <v>44735</v>
      </c>
      <c r="C1781" s="1" t="s">
        <v>194</v>
      </c>
      <c r="D1781" s="1" t="s">
        <v>660</v>
      </c>
      <c r="E1781">
        <v>4</v>
      </c>
      <c r="F1781" s="4">
        <v>827.32</v>
      </c>
      <c r="G1781" s="3">
        <v>0.2</v>
      </c>
      <c r="H1781" s="4">
        <v>136.13999999999999</v>
      </c>
    </row>
    <row r="1782" spans="1:8" x14ac:dyDescent="0.3">
      <c r="A1782" s="1" t="s">
        <v>2088</v>
      </c>
      <c r="B1782" s="2">
        <v>45061</v>
      </c>
      <c r="C1782" s="1" t="s">
        <v>179</v>
      </c>
      <c r="D1782" s="1" t="s">
        <v>234</v>
      </c>
      <c r="E1782">
        <v>4</v>
      </c>
      <c r="F1782" s="4">
        <v>1661.48</v>
      </c>
      <c r="G1782" s="3">
        <v>0.2</v>
      </c>
      <c r="H1782" s="4">
        <v>475.61</v>
      </c>
    </row>
    <row r="1783" spans="1:8" x14ac:dyDescent="0.3">
      <c r="A1783" s="1" t="s">
        <v>2089</v>
      </c>
      <c r="B1783" s="2">
        <v>45369</v>
      </c>
      <c r="C1783" s="1" t="s">
        <v>402</v>
      </c>
      <c r="D1783" s="1" t="s">
        <v>163</v>
      </c>
      <c r="E1783">
        <v>4</v>
      </c>
      <c r="F1783" s="4">
        <v>1353.07</v>
      </c>
      <c r="G1783" s="3">
        <v>0.1</v>
      </c>
      <c r="H1783" s="4">
        <v>295.51</v>
      </c>
    </row>
    <row r="1784" spans="1:8" x14ac:dyDescent="0.3">
      <c r="A1784" s="1" t="s">
        <v>2090</v>
      </c>
      <c r="B1784" s="2">
        <v>45021</v>
      </c>
      <c r="C1784" s="1" t="s">
        <v>444</v>
      </c>
      <c r="D1784" s="1" t="s">
        <v>147</v>
      </c>
      <c r="E1784">
        <v>3</v>
      </c>
      <c r="F1784" s="4">
        <v>1612.86</v>
      </c>
      <c r="G1784" s="3">
        <v>0</v>
      </c>
      <c r="H1784" s="4">
        <v>106.81</v>
      </c>
    </row>
    <row r="1785" spans="1:8" x14ac:dyDescent="0.3">
      <c r="A1785" s="1" t="s">
        <v>2091</v>
      </c>
      <c r="B1785" s="2">
        <v>45355</v>
      </c>
      <c r="C1785" s="1" t="s">
        <v>96</v>
      </c>
      <c r="D1785" s="1" t="s">
        <v>201</v>
      </c>
      <c r="E1785">
        <v>5</v>
      </c>
      <c r="F1785" s="4">
        <v>616.70000000000005</v>
      </c>
      <c r="G1785" s="3">
        <v>0.1</v>
      </c>
      <c r="H1785" s="4">
        <v>102.64</v>
      </c>
    </row>
    <row r="1786" spans="1:8" x14ac:dyDescent="0.3">
      <c r="A1786" s="1" t="s">
        <v>2092</v>
      </c>
      <c r="B1786" s="2">
        <v>44586</v>
      </c>
      <c r="C1786" s="1" t="s">
        <v>121</v>
      </c>
      <c r="D1786" s="1" t="s">
        <v>161</v>
      </c>
      <c r="E1786">
        <v>4</v>
      </c>
      <c r="F1786" s="4">
        <v>1415.48</v>
      </c>
      <c r="G1786" s="3">
        <v>0.3</v>
      </c>
      <c r="H1786" s="4">
        <v>155.79</v>
      </c>
    </row>
    <row r="1787" spans="1:8" x14ac:dyDescent="0.3">
      <c r="A1787" s="1" t="s">
        <v>2093</v>
      </c>
      <c r="B1787" s="2">
        <v>44675</v>
      </c>
      <c r="C1787" s="1" t="s">
        <v>223</v>
      </c>
      <c r="D1787" s="1" t="s">
        <v>188</v>
      </c>
      <c r="E1787">
        <v>2</v>
      </c>
      <c r="F1787" s="4">
        <v>601.72</v>
      </c>
      <c r="G1787" s="3">
        <v>0</v>
      </c>
      <c r="H1787" s="4">
        <v>100.76</v>
      </c>
    </row>
    <row r="1788" spans="1:8" x14ac:dyDescent="0.3">
      <c r="A1788" s="1" t="s">
        <v>2094</v>
      </c>
      <c r="B1788" s="2">
        <v>45200</v>
      </c>
      <c r="C1788" s="1" t="s">
        <v>27</v>
      </c>
      <c r="D1788" s="1" t="s">
        <v>89</v>
      </c>
      <c r="E1788">
        <v>2</v>
      </c>
      <c r="F1788" s="4">
        <v>1884.23</v>
      </c>
      <c r="G1788" s="3">
        <v>0</v>
      </c>
      <c r="H1788" s="4">
        <v>308.76</v>
      </c>
    </row>
    <row r="1789" spans="1:8" x14ac:dyDescent="0.3">
      <c r="A1789" s="1" t="s">
        <v>2095</v>
      </c>
      <c r="B1789" s="2">
        <v>45077</v>
      </c>
      <c r="C1789" s="1" t="s">
        <v>277</v>
      </c>
      <c r="D1789" s="1" t="s">
        <v>215</v>
      </c>
      <c r="E1789">
        <v>1</v>
      </c>
      <c r="F1789" s="4">
        <v>1309.1099999999999</v>
      </c>
      <c r="G1789" s="3">
        <v>0</v>
      </c>
      <c r="H1789" s="4">
        <v>255.98</v>
      </c>
    </row>
    <row r="1790" spans="1:8" x14ac:dyDescent="0.3">
      <c r="A1790" s="1" t="s">
        <v>2096</v>
      </c>
      <c r="B1790" s="2">
        <v>44822</v>
      </c>
      <c r="C1790" s="1" t="s">
        <v>466</v>
      </c>
      <c r="D1790" s="1" t="s">
        <v>59</v>
      </c>
      <c r="E1790">
        <v>5</v>
      </c>
      <c r="F1790" s="4">
        <v>716.57</v>
      </c>
      <c r="G1790" s="3">
        <v>0</v>
      </c>
      <c r="H1790" s="4">
        <v>99.74</v>
      </c>
    </row>
    <row r="1791" spans="1:8" x14ac:dyDescent="0.3">
      <c r="A1791" s="1" t="s">
        <v>2097</v>
      </c>
      <c r="B1791" s="2">
        <v>45062</v>
      </c>
      <c r="C1791" s="1" t="s">
        <v>176</v>
      </c>
      <c r="D1791" s="1" t="s">
        <v>372</v>
      </c>
      <c r="E1791">
        <v>4</v>
      </c>
      <c r="F1791" s="4">
        <v>612.07000000000005</v>
      </c>
      <c r="G1791" s="3">
        <v>0.1</v>
      </c>
      <c r="H1791" s="4">
        <v>55.74</v>
      </c>
    </row>
    <row r="1792" spans="1:8" x14ac:dyDescent="0.3">
      <c r="A1792" s="1" t="s">
        <v>2098</v>
      </c>
      <c r="B1792" s="2">
        <v>44983</v>
      </c>
      <c r="C1792" s="1" t="s">
        <v>697</v>
      </c>
      <c r="D1792" s="1" t="s">
        <v>263</v>
      </c>
      <c r="E1792">
        <v>2</v>
      </c>
      <c r="F1792" s="4">
        <v>462.76</v>
      </c>
      <c r="G1792" s="3">
        <v>0.2</v>
      </c>
      <c r="H1792" s="4">
        <v>81.41</v>
      </c>
    </row>
    <row r="1793" spans="1:8" x14ac:dyDescent="0.3">
      <c r="A1793" s="1" t="s">
        <v>2099</v>
      </c>
      <c r="B1793" s="2">
        <v>45135</v>
      </c>
      <c r="C1793" s="1" t="s">
        <v>355</v>
      </c>
      <c r="D1793" s="1" t="s">
        <v>215</v>
      </c>
      <c r="E1793">
        <v>5</v>
      </c>
      <c r="F1793" s="4">
        <v>1419.82</v>
      </c>
      <c r="G1793" s="3">
        <v>0.2</v>
      </c>
      <c r="H1793" s="4">
        <v>365.68</v>
      </c>
    </row>
    <row r="1794" spans="1:8" x14ac:dyDescent="0.3">
      <c r="A1794" s="1" t="s">
        <v>2100</v>
      </c>
      <c r="B1794" s="2">
        <v>44989</v>
      </c>
      <c r="C1794" s="1" t="s">
        <v>447</v>
      </c>
      <c r="D1794" s="1" t="s">
        <v>127</v>
      </c>
      <c r="E1794">
        <v>1</v>
      </c>
      <c r="F1794" s="4">
        <v>515.55999999999995</v>
      </c>
      <c r="G1794" s="3">
        <v>0.3</v>
      </c>
      <c r="H1794" s="4">
        <v>111.36</v>
      </c>
    </row>
    <row r="1795" spans="1:8" x14ac:dyDescent="0.3">
      <c r="A1795" s="1" t="s">
        <v>2101</v>
      </c>
      <c r="B1795" s="2">
        <v>44574</v>
      </c>
      <c r="C1795" s="1" t="s">
        <v>285</v>
      </c>
      <c r="D1795" s="1" t="s">
        <v>679</v>
      </c>
      <c r="E1795">
        <v>3</v>
      </c>
      <c r="F1795" s="4">
        <v>1231.08</v>
      </c>
      <c r="G1795" s="3">
        <v>0.2</v>
      </c>
      <c r="H1795" s="4">
        <v>165.69</v>
      </c>
    </row>
    <row r="1796" spans="1:8" x14ac:dyDescent="0.3">
      <c r="A1796" s="1" t="s">
        <v>2102</v>
      </c>
      <c r="B1796" s="2">
        <v>44800</v>
      </c>
      <c r="C1796" s="1" t="s">
        <v>547</v>
      </c>
      <c r="D1796" s="1" t="s">
        <v>119</v>
      </c>
      <c r="E1796">
        <v>5</v>
      </c>
      <c r="F1796" s="4">
        <v>602.80999999999995</v>
      </c>
      <c r="G1796" s="3">
        <v>0.2</v>
      </c>
      <c r="H1796" s="4">
        <v>171.13</v>
      </c>
    </row>
    <row r="1797" spans="1:8" x14ac:dyDescent="0.3">
      <c r="A1797" s="1" t="s">
        <v>2103</v>
      </c>
      <c r="B1797" s="2">
        <v>45246</v>
      </c>
      <c r="C1797" s="1" t="s">
        <v>160</v>
      </c>
      <c r="D1797" s="1" t="s">
        <v>294</v>
      </c>
      <c r="E1797">
        <v>5</v>
      </c>
      <c r="F1797" s="4">
        <v>1357.74</v>
      </c>
      <c r="G1797" s="3">
        <v>0.2</v>
      </c>
      <c r="H1797" s="4">
        <v>377.52</v>
      </c>
    </row>
    <row r="1798" spans="1:8" x14ac:dyDescent="0.3">
      <c r="A1798" s="1" t="s">
        <v>2104</v>
      </c>
      <c r="B1798" s="2">
        <v>45160</v>
      </c>
      <c r="C1798" s="1" t="s">
        <v>647</v>
      </c>
      <c r="D1798" s="1" t="s">
        <v>669</v>
      </c>
      <c r="E1798">
        <v>3</v>
      </c>
      <c r="F1798" s="4">
        <v>1648.39</v>
      </c>
      <c r="G1798" s="3">
        <v>0.2</v>
      </c>
      <c r="H1798" s="4">
        <v>168.69</v>
      </c>
    </row>
    <row r="1799" spans="1:8" x14ac:dyDescent="0.3">
      <c r="A1799" s="1" t="s">
        <v>2105</v>
      </c>
      <c r="B1799" s="2">
        <v>45040</v>
      </c>
      <c r="C1799" s="1" t="s">
        <v>353</v>
      </c>
      <c r="D1799" s="1" t="s">
        <v>107</v>
      </c>
      <c r="E1799">
        <v>5</v>
      </c>
      <c r="F1799" s="4">
        <v>1578.25</v>
      </c>
      <c r="G1799" s="3">
        <v>0.3</v>
      </c>
      <c r="H1799" s="4">
        <v>94.47</v>
      </c>
    </row>
    <row r="1800" spans="1:8" x14ac:dyDescent="0.3">
      <c r="A1800" s="1" t="s">
        <v>2106</v>
      </c>
      <c r="B1800" s="2">
        <v>45365</v>
      </c>
      <c r="C1800" s="1" t="s">
        <v>80</v>
      </c>
      <c r="D1800" s="1" t="s">
        <v>369</v>
      </c>
      <c r="E1800">
        <v>1</v>
      </c>
      <c r="F1800" s="4">
        <v>1545.62</v>
      </c>
      <c r="G1800" s="3">
        <v>0.1</v>
      </c>
      <c r="H1800" s="4">
        <v>363.73</v>
      </c>
    </row>
    <row r="1801" spans="1:8" x14ac:dyDescent="0.3">
      <c r="A1801" s="1" t="s">
        <v>2107</v>
      </c>
      <c r="B1801" s="2">
        <v>45351</v>
      </c>
      <c r="C1801" s="1" t="s">
        <v>213</v>
      </c>
      <c r="D1801" s="1" t="s">
        <v>116</v>
      </c>
      <c r="E1801">
        <v>1</v>
      </c>
      <c r="F1801" s="4">
        <v>456.67</v>
      </c>
      <c r="G1801" s="3">
        <v>0</v>
      </c>
      <c r="H1801" s="4">
        <v>117.32</v>
      </c>
    </row>
    <row r="1802" spans="1:8" x14ac:dyDescent="0.3">
      <c r="A1802" s="1" t="s">
        <v>2108</v>
      </c>
      <c r="B1802" s="2">
        <v>45417</v>
      </c>
      <c r="C1802" s="1" t="s">
        <v>273</v>
      </c>
      <c r="D1802" s="1" t="s">
        <v>603</v>
      </c>
      <c r="E1802">
        <v>3</v>
      </c>
      <c r="F1802" s="4">
        <v>267.93</v>
      </c>
      <c r="G1802" s="3">
        <v>0.2</v>
      </c>
      <c r="H1802" s="4">
        <v>78.23</v>
      </c>
    </row>
    <row r="1803" spans="1:8" x14ac:dyDescent="0.3">
      <c r="A1803" s="1" t="s">
        <v>2109</v>
      </c>
      <c r="B1803" s="2">
        <v>44797</v>
      </c>
      <c r="C1803" s="1" t="s">
        <v>321</v>
      </c>
      <c r="D1803" s="1" t="s">
        <v>275</v>
      </c>
      <c r="E1803">
        <v>4</v>
      </c>
      <c r="F1803" s="4">
        <v>1428</v>
      </c>
      <c r="G1803" s="3">
        <v>0.1</v>
      </c>
      <c r="H1803" s="4">
        <v>389.07</v>
      </c>
    </row>
    <row r="1804" spans="1:8" x14ac:dyDescent="0.3">
      <c r="A1804" s="1" t="s">
        <v>2110</v>
      </c>
      <c r="B1804" s="2">
        <v>45376</v>
      </c>
      <c r="C1804" s="1" t="s">
        <v>697</v>
      </c>
      <c r="D1804" s="1" t="s">
        <v>147</v>
      </c>
      <c r="E1804">
        <v>2</v>
      </c>
      <c r="F1804" s="4">
        <v>799.86</v>
      </c>
      <c r="G1804" s="3">
        <v>0.2</v>
      </c>
      <c r="H1804" s="4">
        <v>160.08000000000001</v>
      </c>
    </row>
    <row r="1805" spans="1:8" x14ac:dyDescent="0.3">
      <c r="A1805" s="1" t="s">
        <v>2111</v>
      </c>
      <c r="B1805" s="2">
        <v>45122</v>
      </c>
      <c r="C1805" s="1" t="s">
        <v>205</v>
      </c>
      <c r="D1805" s="1" t="s">
        <v>239</v>
      </c>
      <c r="E1805">
        <v>4</v>
      </c>
      <c r="F1805" s="4">
        <v>921.46</v>
      </c>
      <c r="G1805" s="3">
        <v>0.2</v>
      </c>
      <c r="H1805" s="4">
        <v>168.18</v>
      </c>
    </row>
    <row r="1806" spans="1:8" x14ac:dyDescent="0.3">
      <c r="A1806" s="1" t="s">
        <v>2112</v>
      </c>
      <c r="B1806" s="2">
        <v>45026</v>
      </c>
      <c r="C1806" s="1" t="s">
        <v>673</v>
      </c>
      <c r="D1806" s="1" t="s">
        <v>43</v>
      </c>
      <c r="E1806">
        <v>5</v>
      </c>
      <c r="F1806" s="4">
        <v>159.18</v>
      </c>
      <c r="G1806" s="3">
        <v>0</v>
      </c>
      <c r="H1806" s="4">
        <v>9.07</v>
      </c>
    </row>
    <row r="1807" spans="1:8" x14ac:dyDescent="0.3">
      <c r="A1807" s="1" t="s">
        <v>2113</v>
      </c>
      <c r="B1807" s="2">
        <v>44712</v>
      </c>
      <c r="C1807" s="1" t="s">
        <v>554</v>
      </c>
      <c r="D1807" s="1" t="s">
        <v>249</v>
      </c>
      <c r="E1807">
        <v>2</v>
      </c>
      <c r="F1807" s="4">
        <v>593.20000000000005</v>
      </c>
      <c r="G1807" s="3">
        <v>0</v>
      </c>
      <c r="H1807" s="4">
        <v>66.239999999999995</v>
      </c>
    </row>
    <row r="1808" spans="1:8" x14ac:dyDescent="0.3">
      <c r="A1808" s="1" t="s">
        <v>2114</v>
      </c>
      <c r="B1808" s="2">
        <v>44985</v>
      </c>
      <c r="C1808" s="1" t="s">
        <v>198</v>
      </c>
      <c r="D1808" s="1" t="s">
        <v>256</v>
      </c>
      <c r="E1808">
        <v>3</v>
      </c>
      <c r="F1808" s="4">
        <v>163.99</v>
      </c>
      <c r="G1808" s="3">
        <v>0</v>
      </c>
      <c r="H1808" s="4">
        <v>27.04</v>
      </c>
    </row>
    <row r="1809" spans="1:8" x14ac:dyDescent="0.3">
      <c r="A1809" s="1" t="s">
        <v>2115</v>
      </c>
      <c r="B1809" s="2">
        <v>44824</v>
      </c>
      <c r="C1809" s="1" t="s">
        <v>542</v>
      </c>
      <c r="D1809" s="1" t="s">
        <v>253</v>
      </c>
      <c r="E1809">
        <v>3</v>
      </c>
      <c r="F1809" s="4">
        <v>1770.45</v>
      </c>
      <c r="G1809" s="3">
        <v>0.2</v>
      </c>
      <c r="H1809" s="4">
        <v>366.71</v>
      </c>
    </row>
    <row r="1810" spans="1:8" x14ac:dyDescent="0.3">
      <c r="A1810" s="1" t="s">
        <v>2116</v>
      </c>
      <c r="B1810" s="2">
        <v>45059</v>
      </c>
      <c r="C1810" s="1" t="s">
        <v>238</v>
      </c>
      <c r="D1810" s="1" t="s">
        <v>603</v>
      </c>
      <c r="E1810">
        <v>2</v>
      </c>
      <c r="F1810" s="4">
        <v>562.45000000000005</v>
      </c>
      <c r="G1810" s="3">
        <v>0.2</v>
      </c>
      <c r="H1810" s="4">
        <v>106.48</v>
      </c>
    </row>
    <row r="1811" spans="1:8" x14ac:dyDescent="0.3">
      <c r="A1811" s="1" t="s">
        <v>2117</v>
      </c>
      <c r="B1811" s="2">
        <v>45326</v>
      </c>
      <c r="C1811" s="1" t="s">
        <v>491</v>
      </c>
      <c r="D1811" s="1" t="s">
        <v>361</v>
      </c>
      <c r="E1811">
        <v>1</v>
      </c>
      <c r="F1811" s="4">
        <v>1158.94</v>
      </c>
      <c r="G1811" s="3">
        <v>0.2</v>
      </c>
      <c r="H1811" s="4">
        <v>273.11</v>
      </c>
    </row>
    <row r="1812" spans="1:8" x14ac:dyDescent="0.3">
      <c r="A1812" s="1" t="s">
        <v>2118</v>
      </c>
      <c r="B1812" s="2">
        <v>45134</v>
      </c>
      <c r="C1812" s="1" t="s">
        <v>691</v>
      </c>
      <c r="D1812" s="1" t="s">
        <v>186</v>
      </c>
      <c r="E1812">
        <v>2</v>
      </c>
      <c r="F1812" s="4">
        <v>174.06</v>
      </c>
      <c r="G1812" s="3">
        <v>0</v>
      </c>
      <c r="H1812" s="4">
        <v>20.88</v>
      </c>
    </row>
    <row r="1813" spans="1:8" x14ac:dyDescent="0.3">
      <c r="A1813" s="1" t="s">
        <v>2119</v>
      </c>
      <c r="B1813" s="2">
        <v>45358</v>
      </c>
      <c r="C1813" s="1" t="s">
        <v>36</v>
      </c>
      <c r="D1813" s="1" t="s">
        <v>242</v>
      </c>
      <c r="E1813">
        <v>5</v>
      </c>
      <c r="F1813" s="4">
        <v>1367.01</v>
      </c>
      <c r="G1813" s="3">
        <v>0.3</v>
      </c>
      <c r="H1813" s="4">
        <v>261.42</v>
      </c>
    </row>
    <row r="1814" spans="1:8" x14ac:dyDescent="0.3">
      <c r="A1814" s="1" t="s">
        <v>2120</v>
      </c>
      <c r="B1814" s="2">
        <v>45090</v>
      </c>
      <c r="C1814" s="1" t="s">
        <v>145</v>
      </c>
      <c r="D1814" s="1" t="s">
        <v>64</v>
      </c>
      <c r="E1814">
        <v>1</v>
      </c>
      <c r="F1814" s="4">
        <v>713.75</v>
      </c>
      <c r="G1814" s="3">
        <v>0.1</v>
      </c>
      <c r="H1814" s="4">
        <v>51.42</v>
      </c>
    </row>
    <row r="1815" spans="1:8" x14ac:dyDescent="0.3">
      <c r="A1815" s="1" t="s">
        <v>2121</v>
      </c>
      <c r="B1815" s="2">
        <v>44682</v>
      </c>
      <c r="C1815" s="1" t="s">
        <v>9</v>
      </c>
      <c r="D1815" s="1" t="s">
        <v>288</v>
      </c>
      <c r="E1815">
        <v>3</v>
      </c>
      <c r="F1815" s="4">
        <v>1806.05</v>
      </c>
      <c r="G1815" s="3">
        <v>0.3</v>
      </c>
      <c r="H1815" s="4">
        <v>277.08</v>
      </c>
    </row>
    <row r="1816" spans="1:8" x14ac:dyDescent="0.3">
      <c r="A1816" s="1" t="s">
        <v>2122</v>
      </c>
      <c r="B1816" s="2">
        <v>44886</v>
      </c>
      <c r="C1816" s="1" t="s">
        <v>402</v>
      </c>
      <c r="D1816" s="1" t="s">
        <v>502</v>
      </c>
      <c r="E1816">
        <v>2</v>
      </c>
      <c r="F1816" s="4">
        <v>1787.42</v>
      </c>
      <c r="G1816" s="3">
        <v>0.2</v>
      </c>
      <c r="H1816" s="4">
        <v>424.58</v>
      </c>
    </row>
    <row r="1817" spans="1:8" x14ac:dyDescent="0.3">
      <c r="A1817" s="1" t="s">
        <v>2123</v>
      </c>
      <c r="B1817" s="2">
        <v>45332</v>
      </c>
      <c r="C1817" s="1" t="s">
        <v>622</v>
      </c>
      <c r="D1817" s="1" t="s">
        <v>70</v>
      </c>
      <c r="E1817">
        <v>4</v>
      </c>
      <c r="F1817" s="4">
        <v>718.05</v>
      </c>
      <c r="G1817" s="3">
        <v>0.2</v>
      </c>
      <c r="H1817" s="4">
        <v>160.38</v>
      </c>
    </row>
    <row r="1818" spans="1:8" x14ac:dyDescent="0.3">
      <c r="A1818" s="1" t="s">
        <v>2124</v>
      </c>
      <c r="B1818" s="2">
        <v>44691</v>
      </c>
      <c r="C1818" s="1" t="s">
        <v>262</v>
      </c>
      <c r="D1818" s="1" t="s">
        <v>201</v>
      </c>
      <c r="E1818">
        <v>4</v>
      </c>
      <c r="F1818" s="4">
        <v>1811.83</v>
      </c>
      <c r="G1818" s="3">
        <v>0.3</v>
      </c>
      <c r="H1818" s="4">
        <v>539.30999999999995</v>
      </c>
    </row>
    <row r="1819" spans="1:8" x14ac:dyDescent="0.3">
      <c r="A1819" s="1" t="s">
        <v>2125</v>
      </c>
      <c r="B1819" s="2">
        <v>44935</v>
      </c>
      <c r="C1819" s="1" t="s">
        <v>176</v>
      </c>
      <c r="D1819" s="1" t="s">
        <v>263</v>
      </c>
      <c r="E1819">
        <v>5</v>
      </c>
      <c r="F1819" s="4">
        <v>1992.7</v>
      </c>
      <c r="G1819" s="3">
        <v>0.2</v>
      </c>
      <c r="H1819" s="4">
        <v>238.07</v>
      </c>
    </row>
    <row r="1820" spans="1:8" x14ac:dyDescent="0.3">
      <c r="A1820" s="1" t="s">
        <v>2126</v>
      </c>
      <c r="B1820" s="2">
        <v>44646</v>
      </c>
      <c r="C1820" s="1" t="s">
        <v>69</v>
      </c>
      <c r="D1820" s="1" t="s">
        <v>147</v>
      </c>
      <c r="E1820">
        <v>4</v>
      </c>
      <c r="F1820" s="4">
        <v>1668.29</v>
      </c>
      <c r="G1820" s="3">
        <v>0.1</v>
      </c>
      <c r="H1820" s="4">
        <v>291.2</v>
      </c>
    </row>
    <row r="1821" spans="1:8" x14ac:dyDescent="0.3">
      <c r="A1821" s="1" t="s">
        <v>2127</v>
      </c>
      <c r="B1821" s="2">
        <v>44795</v>
      </c>
      <c r="C1821" s="1" t="s">
        <v>980</v>
      </c>
      <c r="D1821" s="1" t="s">
        <v>502</v>
      </c>
      <c r="E1821">
        <v>2</v>
      </c>
      <c r="F1821" s="4">
        <v>1705.26</v>
      </c>
      <c r="G1821" s="3">
        <v>0.2</v>
      </c>
      <c r="H1821" s="4">
        <v>225.75</v>
      </c>
    </row>
    <row r="1822" spans="1:8" x14ac:dyDescent="0.3">
      <c r="A1822" s="1" t="s">
        <v>2128</v>
      </c>
      <c r="B1822" s="2">
        <v>44905</v>
      </c>
      <c r="C1822" s="1" t="s">
        <v>321</v>
      </c>
      <c r="D1822" s="1" t="s">
        <v>211</v>
      </c>
      <c r="E1822">
        <v>2</v>
      </c>
      <c r="F1822" s="4">
        <v>573.12</v>
      </c>
      <c r="G1822" s="3">
        <v>0.1</v>
      </c>
      <c r="H1822" s="4">
        <v>91.79</v>
      </c>
    </row>
    <row r="1823" spans="1:8" x14ac:dyDescent="0.3">
      <c r="A1823" s="1" t="s">
        <v>2129</v>
      </c>
      <c r="B1823" s="2">
        <v>45389</v>
      </c>
      <c r="C1823" s="1" t="s">
        <v>388</v>
      </c>
      <c r="D1823" s="1" t="s">
        <v>37</v>
      </c>
      <c r="E1823">
        <v>4</v>
      </c>
      <c r="F1823" s="4">
        <v>1195.73</v>
      </c>
      <c r="G1823" s="3">
        <v>0.3</v>
      </c>
      <c r="H1823" s="4">
        <v>315.95999999999998</v>
      </c>
    </row>
    <row r="1824" spans="1:8" x14ac:dyDescent="0.3">
      <c r="A1824" s="1" t="s">
        <v>2130</v>
      </c>
      <c r="B1824" s="2">
        <v>44618</v>
      </c>
      <c r="C1824" s="1" t="s">
        <v>402</v>
      </c>
      <c r="D1824" s="1" t="s">
        <v>45</v>
      </c>
      <c r="E1824">
        <v>2</v>
      </c>
      <c r="F1824" s="4">
        <v>227.79</v>
      </c>
      <c r="G1824" s="3">
        <v>0.3</v>
      </c>
      <c r="H1824" s="4">
        <v>50.35</v>
      </c>
    </row>
    <row r="1825" spans="1:8" x14ac:dyDescent="0.3">
      <c r="A1825" s="1" t="s">
        <v>2131</v>
      </c>
      <c r="B1825" s="2">
        <v>45311</v>
      </c>
      <c r="C1825" s="1" t="s">
        <v>217</v>
      </c>
      <c r="D1825" s="1" t="s">
        <v>59</v>
      </c>
      <c r="E1825">
        <v>5</v>
      </c>
      <c r="F1825" s="4">
        <v>280.33999999999997</v>
      </c>
      <c r="G1825" s="3">
        <v>0.2</v>
      </c>
      <c r="H1825" s="4">
        <v>75.86</v>
      </c>
    </row>
    <row r="1826" spans="1:8" x14ac:dyDescent="0.3">
      <c r="A1826" s="1" t="s">
        <v>2132</v>
      </c>
      <c r="B1826" s="2">
        <v>45183</v>
      </c>
      <c r="C1826" s="1" t="s">
        <v>262</v>
      </c>
      <c r="D1826" s="1" t="s">
        <v>603</v>
      </c>
      <c r="E1826">
        <v>1</v>
      </c>
      <c r="F1826" s="4">
        <v>1997.9</v>
      </c>
      <c r="G1826" s="3">
        <v>0.1</v>
      </c>
      <c r="H1826" s="4">
        <v>201.54</v>
      </c>
    </row>
    <row r="1827" spans="1:8" x14ac:dyDescent="0.3">
      <c r="A1827" s="1" t="s">
        <v>2133</v>
      </c>
      <c r="B1827" s="2">
        <v>45258</v>
      </c>
      <c r="C1827" s="1" t="s">
        <v>262</v>
      </c>
      <c r="D1827" s="1" t="s">
        <v>51</v>
      </c>
      <c r="E1827">
        <v>5</v>
      </c>
      <c r="F1827" s="4">
        <v>720.61</v>
      </c>
      <c r="G1827" s="3">
        <v>0.2</v>
      </c>
      <c r="H1827" s="4">
        <v>193.37</v>
      </c>
    </row>
    <row r="1828" spans="1:8" x14ac:dyDescent="0.3">
      <c r="A1828" s="1" t="s">
        <v>2134</v>
      </c>
      <c r="B1828" s="2">
        <v>45134</v>
      </c>
      <c r="C1828" s="1" t="s">
        <v>33</v>
      </c>
      <c r="D1828" s="1" t="s">
        <v>28</v>
      </c>
      <c r="E1828">
        <v>5</v>
      </c>
      <c r="F1828" s="4">
        <v>1521.55</v>
      </c>
      <c r="G1828" s="3">
        <v>0</v>
      </c>
      <c r="H1828" s="4">
        <v>98.81</v>
      </c>
    </row>
    <row r="1829" spans="1:8" x14ac:dyDescent="0.3">
      <c r="A1829" s="1" t="s">
        <v>2135</v>
      </c>
      <c r="B1829" s="2">
        <v>44807</v>
      </c>
      <c r="C1829" s="1" t="s">
        <v>529</v>
      </c>
      <c r="D1829" s="1" t="s">
        <v>253</v>
      </c>
      <c r="E1829">
        <v>2</v>
      </c>
      <c r="F1829" s="4">
        <v>1632.66</v>
      </c>
      <c r="G1829" s="3">
        <v>0</v>
      </c>
      <c r="H1829" s="4">
        <v>444.33</v>
      </c>
    </row>
    <row r="1830" spans="1:8" x14ac:dyDescent="0.3">
      <c r="A1830" s="1" t="s">
        <v>2136</v>
      </c>
      <c r="B1830" s="2">
        <v>45183</v>
      </c>
      <c r="C1830" s="1" t="s">
        <v>33</v>
      </c>
      <c r="D1830" s="1" t="s">
        <v>269</v>
      </c>
      <c r="E1830">
        <v>1</v>
      </c>
      <c r="F1830" s="4">
        <v>1730.24</v>
      </c>
      <c r="G1830" s="3">
        <v>0</v>
      </c>
      <c r="H1830" s="4">
        <v>228.86</v>
      </c>
    </row>
    <row r="1831" spans="1:8" x14ac:dyDescent="0.3">
      <c r="A1831" s="1" t="s">
        <v>2137</v>
      </c>
      <c r="B1831" s="2">
        <v>45397</v>
      </c>
      <c r="C1831" s="1" t="s">
        <v>290</v>
      </c>
      <c r="D1831" s="1" t="s">
        <v>455</v>
      </c>
      <c r="E1831">
        <v>2</v>
      </c>
      <c r="F1831" s="4">
        <v>1995.49</v>
      </c>
      <c r="G1831" s="3">
        <v>0</v>
      </c>
      <c r="H1831" s="4">
        <v>256.70999999999998</v>
      </c>
    </row>
    <row r="1832" spans="1:8" x14ac:dyDescent="0.3">
      <c r="A1832" s="1" t="s">
        <v>2138</v>
      </c>
      <c r="B1832" s="2">
        <v>44774</v>
      </c>
      <c r="C1832" s="1" t="s">
        <v>524</v>
      </c>
      <c r="D1832" s="1" t="s">
        <v>294</v>
      </c>
      <c r="E1832">
        <v>3</v>
      </c>
      <c r="F1832" s="4">
        <v>558.84</v>
      </c>
      <c r="G1832" s="3">
        <v>0.2</v>
      </c>
      <c r="H1832" s="4">
        <v>99.49</v>
      </c>
    </row>
    <row r="1833" spans="1:8" x14ac:dyDescent="0.3">
      <c r="A1833" s="1" t="s">
        <v>2139</v>
      </c>
      <c r="B1833" s="2">
        <v>44780</v>
      </c>
      <c r="C1833" s="1" t="s">
        <v>208</v>
      </c>
      <c r="D1833" s="1" t="s">
        <v>45</v>
      </c>
      <c r="E1833">
        <v>2</v>
      </c>
      <c r="F1833" s="4">
        <v>176.67</v>
      </c>
      <c r="G1833" s="3">
        <v>0</v>
      </c>
      <c r="H1833" s="4">
        <v>50.38</v>
      </c>
    </row>
    <row r="1834" spans="1:8" x14ac:dyDescent="0.3">
      <c r="A1834" s="1" t="s">
        <v>2140</v>
      </c>
      <c r="B1834" s="2">
        <v>44939</v>
      </c>
      <c r="C1834" s="1" t="s">
        <v>33</v>
      </c>
      <c r="D1834" s="1" t="s">
        <v>70</v>
      </c>
      <c r="E1834">
        <v>2</v>
      </c>
      <c r="F1834" s="4">
        <v>881.26</v>
      </c>
      <c r="G1834" s="3">
        <v>0.1</v>
      </c>
      <c r="H1834" s="4">
        <v>54.59</v>
      </c>
    </row>
    <row r="1835" spans="1:8" x14ac:dyDescent="0.3">
      <c r="A1835" s="1" t="s">
        <v>2141</v>
      </c>
      <c r="B1835" s="2">
        <v>45409</v>
      </c>
      <c r="C1835" s="1" t="s">
        <v>622</v>
      </c>
      <c r="D1835" s="1" t="s">
        <v>195</v>
      </c>
      <c r="E1835">
        <v>2</v>
      </c>
      <c r="F1835" s="4">
        <v>347.15</v>
      </c>
      <c r="G1835" s="3">
        <v>0.3</v>
      </c>
      <c r="H1835" s="4">
        <v>47.93</v>
      </c>
    </row>
    <row r="1836" spans="1:8" x14ac:dyDescent="0.3">
      <c r="A1836" s="1" t="s">
        <v>2142</v>
      </c>
      <c r="B1836" s="2">
        <v>44602</v>
      </c>
      <c r="C1836" s="1" t="s">
        <v>134</v>
      </c>
      <c r="D1836" s="1" t="s">
        <v>170</v>
      </c>
      <c r="E1836">
        <v>1</v>
      </c>
      <c r="F1836" s="4">
        <v>142.61000000000001</v>
      </c>
      <c r="G1836" s="3">
        <v>0.3</v>
      </c>
      <c r="H1836" s="4">
        <v>37.67</v>
      </c>
    </row>
    <row r="1837" spans="1:8" x14ac:dyDescent="0.3">
      <c r="A1837" s="1" t="s">
        <v>2143</v>
      </c>
      <c r="B1837" s="2">
        <v>45051</v>
      </c>
      <c r="C1837" s="1" t="s">
        <v>464</v>
      </c>
      <c r="D1837" s="1" t="s">
        <v>249</v>
      </c>
      <c r="E1837">
        <v>2</v>
      </c>
      <c r="F1837" s="4">
        <v>784.81</v>
      </c>
      <c r="G1837" s="3">
        <v>0</v>
      </c>
      <c r="H1837" s="4">
        <v>116.95</v>
      </c>
    </row>
    <row r="1838" spans="1:8" x14ac:dyDescent="0.3">
      <c r="A1838" s="1" t="s">
        <v>2144</v>
      </c>
      <c r="B1838" s="2">
        <v>44846</v>
      </c>
      <c r="C1838" s="1" t="s">
        <v>325</v>
      </c>
      <c r="D1838" s="1" t="s">
        <v>256</v>
      </c>
      <c r="E1838">
        <v>1</v>
      </c>
      <c r="F1838" s="4">
        <v>1589.1</v>
      </c>
      <c r="G1838" s="3">
        <v>0</v>
      </c>
      <c r="H1838" s="4">
        <v>158.58000000000001</v>
      </c>
    </row>
    <row r="1839" spans="1:8" x14ac:dyDescent="0.3">
      <c r="A1839" s="1" t="s">
        <v>2145</v>
      </c>
      <c r="B1839" s="2">
        <v>45030</v>
      </c>
      <c r="C1839" s="1" t="s">
        <v>803</v>
      </c>
      <c r="D1839" s="1" t="s">
        <v>679</v>
      </c>
      <c r="E1839">
        <v>4</v>
      </c>
      <c r="F1839" s="4">
        <v>1175.74</v>
      </c>
      <c r="G1839" s="3">
        <v>0</v>
      </c>
      <c r="H1839" s="4">
        <v>183.65</v>
      </c>
    </row>
    <row r="1840" spans="1:8" x14ac:dyDescent="0.3">
      <c r="A1840" s="1" t="s">
        <v>2146</v>
      </c>
      <c r="B1840" s="2">
        <v>44784</v>
      </c>
      <c r="C1840" s="1" t="s">
        <v>800</v>
      </c>
      <c r="D1840" s="1" t="s">
        <v>89</v>
      </c>
      <c r="E1840">
        <v>3</v>
      </c>
      <c r="F1840" s="4">
        <v>694.28</v>
      </c>
      <c r="G1840" s="3">
        <v>0.2</v>
      </c>
      <c r="H1840" s="4">
        <v>101.63</v>
      </c>
    </row>
    <row r="1841" spans="1:8" x14ac:dyDescent="0.3">
      <c r="A1841" s="1" t="s">
        <v>2147</v>
      </c>
      <c r="B1841" s="2">
        <v>44708</v>
      </c>
      <c r="C1841" s="1" t="s">
        <v>1056</v>
      </c>
      <c r="D1841" s="1" t="s">
        <v>43</v>
      </c>
      <c r="E1841">
        <v>1</v>
      </c>
      <c r="F1841" s="4">
        <v>1343.25</v>
      </c>
      <c r="G1841" s="3">
        <v>0.3</v>
      </c>
      <c r="H1841" s="4">
        <v>374.57</v>
      </c>
    </row>
    <row r="1842" spans="1:8" x14ac:dyDescent="0.3">
      <c r="A1842" s="1" t="s">
        <v>2148</v>
      </c>
      <c r="B1842" s="2">
        <v>45091</v>
      </c>
      <c r="C1842" s="1" t="s">
        <v>384</v>
      </c>
      <c r="D1842" s="1" t="s">
        <v>603</v>
      </c>
      <c r="E1842">
        <v>4</v>
      </c>
      <c r="F1842" s="4">
        <v>540.83000000000004</v>
      </c>
      <c r="G1842" s="3">
        <v>0</v>
      </c>
      <c r="H1842" s="4">
        <v>130.06</v>
      </c>
    </row>
    <row r="1843" spans="1:8" x14ac:dyDescent="0.3">
      <c r="A1843" s="1" t="s">
        <v>2149</v>
      </c>
      <c r="B1843" s="2">
        <v>44773</v>
      </c>
      <c r="C1843" s="1" t="s">
        <v>325</v>
      </c>
      <c r="D1843" s="1" t="s">
        <v>679</v>
      </c>
      <c r="E1843">
        <v>1</v>
      </c>
      <c r="F1843" s="4">
        <v>127.32</v>
      </c>
      <c r="G1843" s="3">
        <v>0.1</v>
      </c>
      <c r="H1843" s="4">
        <v>22.44</v>
      </c>
    </row>
    <row r="1844" spans="1:8" x14ac:dyDescent="0.3">
      <c r="A1844" s="1" t="s">
        <v>2150</v>
      </c>
      <c r="B1844" s="2">
        <v>45130</v>
      </c>
      <c r="C1844" s="1" t="s">
        <v>425</v>
      </c>
      <c r="D1844" s="1" t="s">
        <v>119</v>
      </c>
      <c r="E1844">
        <v>1</v>
      </c>
      <c r="F1844" s="4">
        <v>1552.27</v>
      </c>
      <c r="G1844" s="3">
        <v>0</v>
      </c>
      <c r="H1844" s="4">
        <v>461.17</v>
      </c>
    </row>
    <row r="1845" spans="1:8" x14ac:dyDescent="0.3">
      <c r="A1845" s="1" t="s">
        <v>2151</v>
      </c>
      <c r="B1845" s="2">
        <v>45428</v>
      </c>
      <c r="C1845" s="1" t="s">
        <v>482</v>
      </c>
      <c r="D1845" s="1" t="s">
        <v>188</v>
      </c>
      <c r="E1845">
        <v>3</v>
      </c>
      <c r="F1845" s="4">
        <v>1285.1099999999999</v>
      </c>
      <c r="G1845" s="3">
        <v>0.3</v>
      </c>
      <c r="H1845" s="4">
        <v>213.74</v>
      </c>
    </row>
    <row r="1846" spans="1:8" x14ac:dyDescent="0.3">
      <c r="A1846" s="1" t="s">
        <v>2152</v>
      </c>
      <c r="B1846" s="2">
        <v>44728</v>
      </c>
      <c r="C1846" s="1" t="s">
        <v>154</v>
      </c>
      <c r="D1846" s="1" t="s">
        <v>372</v>
      </c>
      <c r="E1846">
        <v>5</v>
      </c>
      <c r="F1846" s="4">
        <v>1548.37</v>
      </c>
      <c r="G1846" s="3">
        <v>0</v>
      </c>
      <c r="H1846" s="4">
        <v>99.96</v>
      </c>
    </row>
    <row r="1847" spans="1:8" x14ac:dyDescent="0.3">
      <c r="A1847" s="1" t="s">
        <v>2153</v>
      </c>
      <c r="B1847" s="2">
        <v>45412</v>
      </c>
      <c r="C1847" s="1" t="s">
        <v>554</v>
      </c>
      <c r="D1847" s="1" t="s">
        <v>13</v>
      </c>
      <c r="E1847">
        <v>5</v>
      </c>
      <c r="F1847" s="4">
        <v>173.98</v>
      </c>
      <c r="G1847" s="3">
        <v>0.3</v>
      </c>
      <c r="H1847" s="4">
        <v>20.11</v>
      </c>
    </row>
    <row r="1848" spans="1:8" x14ac:dyDescent="0.3">
      <c r="A1848" s="1" t="s">
        <v>2154</v>
      </c>
      <c r="B1848" s="2">
        <v>44602</v>
      </c>
      <c r="C1848" s="1" t="s">
        <v>777</v>
      </c>
      <c r="D1848" s="1" t="s">
        <v>458</v>
      </c>
      <c r="E1848">
        <v>1</v>
      </c>
      <c r="F1848" s="4">
        <v>1690.53</v>
      </c>
      <c r="G1848" s="3">
        <v>0</v>
      </c>
      <c r="H1848" s="4">
        <v>268.82</v>
      </c>
    </row>
    <row r="1849" spans="1:8" x14ac:dyDescent="0.3">
      <c r="A1849" s="1" t="s">
        <v>2155</v>
      </c>
      <c r="B1849" s="2">
        <v>45081</v>
      </c>
      <c r="C1849" s="1" t="s">
        <v>425</v>
      </c>
      <c r="D1849" s="1" t="s">
        <v>67</v>
      </c>
      <c r="E1849">
        <v>2</v>
      </c>
      <c r="F1849" s="4">
        <v>1277.0999999999999</v>
      </c>
      <c r="G1849" s="3">
        <v>0.1</v>
      </c>
      <c r="H1849" s="4">
        <v>113.95</v>
      </c>
    </row>
    <row r="1850" spans="1:8" x14ac:dyDescent="0.3">
      <c r="A1850" s="1" t="s">
        <v>2156</v>
      </c>
      <c r="B1850" s="2">
        <v>45316</v>
      </c>
      <c r="C1850" s="1" t="s">
        <v>980</v>
      </c>
      <c r="D1850" s="1" t="s">
        <v>86</v>
      </c>
      <c r="E1850">
        <v>4</v>
      </c>
      <c r="F1850" s="4">
        <v>1170.45</v>
      </c>
      <c r="G1850" s="3">
        <v>0</v>
      </c>
      <c r="H1850" s="4">
        <v>335.79</v>
      </c>
    </row>
    <row r="1851" spans="1:8" x14ac:dyDescent="0.3">
      <c r="A1851" s="1" t="s">
        <v>2157</v>
      </c>
      <c r="B1851" s="2">
        <v>44839</v>
      </c>
      <c r="C1851" s="1" t="s">
        <v>355</v>
      </c>
      <c r="D1851" s="1" t="s">
        <v>679</v>
      </c>
      <c r="E1851">
        <v>2</v>
      </c>
      <c r="F1851" s="4">
        <v>1286.77</v>
      </c>
      <c r="G1851" s="3">
        <v>0.1</v>
      </c>
      <c r="H1851" s="4">
        <v>311.02999999999997</v>
      </c>
    </row>
    <row r="1852" spans="1:8" x14ac:dyDescent="0.3">
      <c r="A1852" s="1" t="s">
        <v>2158</v>
      </c>
      <c r="B1852" s="2">
        <v>44866</v>
      </c>
      <c r="C1852" s="1" t="s">
        <v>834</v>
      </c>
      <c r="D1852" s="1" t="s">
        <v>141</v>
      </c>
      <c r="E1852">
        <v>2</v>
      </c>
      <c r="F1852" s="4">
        <v>1742.42</v>
      </c>
      <c r="G1852" s="3">
        <v>0.1</v>
      </c>
      <c r="H1852" s="4">
        <v>203.99</v>
      </c>
    </row>
    <row r="1853" spans="1:8" x14ac:dyDescent="0.3">
      <c r="A1853" s="1" t="s">
        <v>2159</v>
      </c>
      <c r="B1853" s="2">
        <v>45211</v>
      </c>
      <c r="C1853" s="1" t="s">
        <v>494</v>
      </c>
      <c r="D1853" s="1" t="s">
        <v>28</v>
      </c>
      <c r="E1853">
        <v>1</v>
      </c>
      <c r="F1853" s="4">
        <v>1215.18</v>
      </c>
      <c r="G1853" s="3">
        <v>0</v>
      </c>
      <c r="H1853" s="4">
        <v>240.24</v>
      </c>
    </row>
    <row r="1854" spans="1:8" x14ac:dyDescent="0.3">
      <c r="A1854" s="1" t="s">
        <v>2160</v>
      </c>
      <c r="B1854" s="2">
        <v>44672</v>
      </c>
      <c r="C1854" s="1" t="s">
        <v>265</v>
      </c>
      <c r="D1854" s="1" t="s">
        <v>603</v>
      </c>
      <c r="E1854">
        <v>1</v>
      </c>
      <c r="F1854" s="4">
        <v>1203.81</v>
      </c>
      <c r="G1854" s="3">
        <v>0.1</v>
      </c>
      <c r="H1854" s="4">
        <v>277.31</v>
      </c>
    </row>
    <row r="1855" spans="1:8" x14ac:dyDescent="0.3">
      <c r="A1855" s="1" t="s">
        <v>2161</v>
      </c>
      <c r="B1855" s="2">
        <v>44715</v>
      </c>
      <c r="C1855" s="1" t="s">
        <v>174</v>
      </c>
      <c r="D1855" s="1" t="s">
        <v>378</v>
      </c>
      <c r="E1855">
        <v>1</v>
      </c>
      <c r="F1855" s="4">
        <v>1982.29</v>
      </c>
      <c r="G1855" s="3">
        <v>0.2</v>
      </c>
      <c r="H1855" s="4">
        <v>565.59</v>
      </c>
    </row>
    <row r="1856" spans="1:8" x14ac:dyDescent="0.3">
      <c r="A1856" s="1" t="s">
        <v>2162</v>
      </c>
      <c r="B1856" s="2">
        <v>45161</v>
      </c>
      <c r="C1856" s="1" t="s">
        <v>42</v>
      </c>
      <c r="D1856" s="1" t="s">
        <v>502</v>
      </c>
      <c r="E1856">
        <v>1</v>
      </c>
      <c r="F1856" s="4">
        <v>1537.79</v>
      </c>
      <c r="G1856" s="3">
        <v>0</v>
      </c>
      <c r="H1856" s="4">
        <v>415.83</v>
      </c>
    </row>
    <row r="1857" spans="1:8" x14ac:dyDescent="0.3">
      <c r="A1857" s="1" t="s">
        <v>2163</v>
      </c>
      <c r="B1857" s="2">
        <v>44755</v>
      </c>
      <c r="C1857" s="1" t="s">
        <v>200</v>
      </c>
      <c r="D1857" s="1" t="s">
        <v>239</v>
      </c>
      <c r="E1857">
        <v>5</v>
      </c>
      <c r="F1857" s="4">
        <v>940.36</v>
      </c>
      <c r="G1857" s="3">
        <v>0</v>
      </c>
      <c r="H1857" s="4">
        <v>168.13</v>
      </c>
    </row>
    <row r="1858" spans="1:8" x14ac:dyDescent="0.3">
      <c r="A1858" s="1" t="s">
        <v>2164</v>
      </c>
      <c r="B1858" s="2">
        <v>45225</v>
      </c>
      <c r="C1858" s="1" t="s">
        <v>265</v>
      </c>
      <c r="D1858" s="1" t="s">
        <v>275</v>
      </c>
      <c r="E1858">
        <v>1</v>
      </c>
      <c r="F1858" s="4">
        <v>1444.05</v>
      </c>
      <c r="G1858" s="3">
        <v>0.1</v>
      </c>
      <c r="H1858" s="4">
        <v>351.86</v>
      </c>
    </row>
    <row r="1859" spans="1:8" x14ac:dyDescent="0.3">
      <c r="A1859" s="1" t="s">
        <v>2165</v>
      </c>
      <c r="B1859" s="2">
        <v>45053</v>
      </c>
      <c r="C1859" s="1" t="s">
        <v>96</v>
      </c>
      <c r="D1859" s="1" t="s">
        <v>249</v>
      </c>
      <c r="E1859">
        <v>5</v>
      </c>
      <c r="F1859" s="4">
        <v>839.54</v>
      </c>
      <c r="G1859" s="3">
        <v>0.1</v>
      </c>
      <c r="H1859" s="4">
        <v>159.96</v>
      </c>
    </row>
    <row r="1860" spans="1:8" x14ac:dyDescent="0.3">
      <c r="A1860" s="1" t="s">
        <v>2166</v>
      </c>
      <c r="B1860" s="2">
        <v>44757</v>
      </c>
      <c r="C1860" s="1" t="s">
        <v>18</v>
      </c>
      <c r="D1860" s="1" t="s">
        <v>48</v>
      </c>
      <c r="E1860">
        <v>5</v>
      </c>
      <c r="F1860" s="4">
        <v>534.86</v>
      </c>
      <c r="G1860" s="3">
        <v>0</v>
      </c>
      <c r="H1860" s="4">
        <v>100.65</v>
      </c>
    </row>
    <row r="1861" spans="1:8" x14ac:dyDescent="0.3">
      <c r="A1861" s="1" t="s">
        <v>2167</v>
      </c>
      <c r="B1861" s="2">
        <v>44793</v>
      </c>
      <c r="C1861" s="1" t="s">
        <v>526</v>
      </c>
      <c r="D1861" s="1" t="s">
        <v>400</v>
      </c>
      <c r="E1861">
        <v>1</v>
      </c>
      <c r="F1861" s="4">
        <v>1234.02</v>
      </c>
      <c r="G1861" s="3">
        <v>0.2</v>
      </c>
      <c r="H1861" s="4">
        <v>97.1</v>
      </c>
    </row>
    <row r="1862" spans="1:8" x14ac:dyDescent="0.3">
      <c r="A1862" s="1" t="s">
        <v>2168</v>
      </c>
      <c r="B1862" s="2">
        <v>44650</v>
      </c>
      <c r="C1862" s="1" t="s">
        <v>786</v>
      </c>
      <c r="D1862" s="1" t="s">
        <v>97</v>
      </c>
      <c r="E1862">
        <v>3</v>
      </c>
      <c r="F1862" s="4">
        <v>1863.55</v>
      </c>
      <c r="G1862" s="3">
        <v>0.1</v>
      </c>
      <c r="H1862" s="4">
        <v>151.94</v>
      </c>
    </row>
    <row r="1863" spans="1:8" x14ac:dyDescent="0.3">
      <c r="A1863" s="1" t="s">
        <v>2169</v>
      </c>
      <c r="B1863" s="2">
        <v>45139</v>
      </c>
      <c r="C1863" s="1" t="s">
        <v>468</v>
      </c>
      <c r="D1863" s="1" t="s">
        <v>369</v>
      </c>
      <c r="E1863">
        <v>4</v>
      </c>
      <c r="F1863" s="4">
        <v>1865.37</v>
      </c>
      <c r="G1863" s="3">
        <v>0.1</v>
      </c>
      <c r="H1863" s="4">
        <v>340.21</v>
      </c>
    </row>
    <row r="1864" spans="1:8" x14ac:dyDescent="0.3">
      <c r="A1864" s="1" t="s">
        <v>2170</v>
      </c>
      <c r="B1864" s="2">
        <v>45261</v>
      </c>
      <c r="C1864" s="1" t="s">
        <v>1093</v>
      </c>
      <c r="D1864" s="1" t="s">
        <v>10</v>
      </c>
      <c r="E1864">
        <v>2</v>
      </c>
      <c r="F1864" s="4">
        <v>749.62</v>
      </c>
      <c r="G1864" s="3">
        <v>0.3</v>
      </c>
      <c r="H1864" s="4">
        <v>87.87</v>
      </c>
    </row>
    <row r="1865" spans="1:8" x14ac:dyDescent="0.3">
      <c r="A1865" s="1" t="s">
        <v>2171</v>
      </c>
      <c r="B1865" s="2">
        <v>44738</v>
      </c>
      <c r="C1865" s="1" t="s">
        <v>27</v>
      </c>
      <c r="D1865" s="1" t="s">
        <v>59</v>
      </c>
      <c r="E1865">
        <v>5</v>
      </c>
      <c r="F1865" s="4">
        <v>1102.5899999999999</v>
      </c>
      <c r="G1865" s="3">
        <v>0.2</v>
      </c>
      <c r="H1865" s="4">
        <v>60.93</v>
      </c>
    </row>
    <row r="1866" spans="1:8" x14ac:dyDescent="0.3">
      <c r="A1866" s="1" t="s">
        <v>2172</v>
      </c>
      <c r="B1866" s="2">
        <v>45268</v>
      </c>
      <c r="C1866" s="1" t="s">
        <v>637</v>
      </c>
      <c r="D1866" s="1" t="s">
        <v>341</v>
      </c>
      <c r="E1866">
        <v>4</v>
      </c>
      <c r="F1866" s="4">
        <v>502.11</v>
      </c>
      <c r="G1866" s="3">
        <v>0.2</v>
      </c>
      <c r="H1866" s="4">
        <v>115.84</v>
      </c>
    </row>
    <row r="1867" spans="1:8" x14ac:dyDescent="0.3">
      <c r="A1867" s="1" t="s">
        <v>2173</v>
      </c>
      <c r="B1867" s="2">
        <v>45090</v>
      </c>
      <c r="C1867" s="1" t="s">
        <v>683</v>
      </c>
      <c r="D1867" s="1" t="s">
        <v>48</v>
      </c>
      <c r="E1867">
        <v>3</v>
      </c>
      <c r="F1867" s="4">
        <v>1991.7</v>
      </c>
      <c r="G1867" s="3">
        <v>0</v>
      </c>
      <c r="H1867" s="4">
        <v>115.76</v>
      </c>
    </row>
    <row r="1868" spans="1:8" x14ac:dyDescent="0.3">
      <c r="A1868" s="1" t="s">
        <v>2174</v>
      </c>
      <c r="B1868" s="2">
        <v>45259</v>
      </c>
      <c r="C1868" s="1" t="s">
        <v>978</v>
      </c>
      <c r="D1868" s="1" t="s">
        <v>19</v>
      </c>
      <c r="E1868">
        <v>2</v>
      </c>
      <c r="F1868" s="4">
        <v>1964.12</v>
      </c>
      <c r="G1868" s="3">
        <v>0.2</v>
      </c>
      <c r="H1868" s="4">
        <v>390.5</v>
      </c>
    </row>
    <row r="1869" spans="1:8" x14ac:dyDescent="0.3">
      <c r="A1869" s="1" t="s">
        <v>2175</v>
      </c>
      <c r="B1869" s="2">
        <v>45077</v>
      </c>
      <c r="C1869" s="1" t="s">
        <v>145</v>
      </c>
      <c r="D1869" s="1" t="s">
        <v>234</v>
      </c>
      <c r="E1869">
        <v>2</v>
      </c>
      <c r="F1869" s="4">
        <v>1334.07</v>
      </c>
      <c r="G1869" s="3">
        <v>0</v>
      </c>
      <c r="H1869" s="4">
        <v>246.53</v>
      </c>
    </row>
    <row r="1870" spans="1:8" x14ac:dyDescent="0.3">
      <c r="A1870" s="1" t="s">
        <v>2176</v>
      </c>
      <c r="B1870" s="2">
        <v>45110</v>
      </c>
      <c r="C1870" s="1" t="s">
        <v>1043</v>
      </c>
      <c r="D1870" s="1" t="s">
        <v>201</v>
      </c>
      <c r="E1870">
        <v>5</v>
      </c>
      <c r="F1870" s="4">
        <v>1628.39</v>
      </c>
      <c r="G1870" s="3">
        <v>0.3</v>
      </c>
      <c r="H1870" s="4">
        <v>475.82</v>
      </c>
    </row>
    <row r="1871" spans="1:8" x14ac:dyDescent="0.3">
      <c r="A1871" s="1" t="s">
        <v>2177</v>
      </c>
      <c r="B1871" s="2">
        <v>45177</v>
      </c>
      <c r="C1871" s="1" t="s">
        <v>169</v>
      </c>
      <c r="D1871" s="1" t="s">
        <v>59</v>
      </c>
      <c r="E1871">
        <v>1</v>
      </c>
      <c r="F1871" s="4">
        <v>1458.69</v>
      </c>
      <c r="G1871" s="3">
        <v>0.2</v>
      </c>
      <c r="H1871" s="4">
        <v>249.51</v>
      </c>
    </row>
    <row r="1872" spans="1:8" x14ac:dyDescent="0.3">
      <c r="A1872" s="1" t="s">
        <v>2178</v>
      </c>
      <c r="B1872" s="2">
        <v>44779</v>
      </c>
      <c r="C1872" s="1" t="s">
        <v>21</v>
      </c>
      <c r="D1872" s="1" t="s">
        <v>122</v>
      </c>
      <c r="E1872">
        <v>3</v>
      </c>
      <c r="F1872" s="4">
        <v>1227</v>
      </c>
      <c r="G1872" s="3">
        <v>0.1</v>
      </c>
      <c r="H1872" s="4">
        <v>80.86</v>
      </c>
    </row>
    <row r="1873" spans="1:8" x14ac:dyDescent="0.3">
      <c r="A1873" s="1" t="s">
        <v>2179</v>
      </c>
      <c r="B1873" s="2">
        <v>44751</v>
      </c>
      <c r="C1873" s="1" t="s">
        <v>217</v>
      </c>
      <c r="D1873" s="1" t="s">
        <v>660</v>
      </c>
      <c r="E1873">
        <v>5</v>
      </c>
      <c r="F1873" s="4">
        <v>201.36</v>
      </c>
      <c r="G1873" s="3">
        <v>0.3</v>
      </c>
      <c r="H1873" s="4">
        <v>37.840000000000003</v>
      </c>
    </row>
    <row r="1874" spans="1:8" x14ac:dyDescent="0.3">
      <c r="A1874" s="1" t="s">
        <v>2180</v>
      </c>
      <c r="B1874" s="2">
        <v>44634</v>
      </c>
      <c r="C1874" s="1" t="s">
        <v>233</v>
      </c>
      <c r="D1874" s="1" t="s">
        <v>221</v>
      </c>
      <c r="E1874">
        <v>3</v>
      </c>
      <c r="F1874" s="4">
        <v>964.05</v>
      </c>
      <c r="G1874" s="3">
        <v>0</v>
      </c>
      <c r="H1874" s="4">
        <v>250.92</v>
      </c>
    </row>
    <row r="1875" spans="1:8" x14ac:dyDescent="0.3">
      <c r="A1875" s="1" t="s">
        <v>2181</v>
      </c>
      <c r="B1875" s="2">
        <v>45079</v>
      </c>
      <c r="C1875" s="1" t="s">
        <v>647</v>
      </c>
      <c r="D1875" s="1" t="s">
        <v>451</v>
      </c>
      <c r="E1875">
        <v>1</v>
      </c>
      <c r="F1875" s="4">
        <v>1382.09</v>
      </c>
      <c r="G1875" s="3">
        <v>0.3</v>
      </c>
      <c r="H1875" s="4">
        <v>413.54</v>
      </c>
    </row>
    <row r="1876" spans="1:8" x14ac:dyDescent="0.3">
      <c r="A1876" s="1" t="s">
        <v>2182</v>
      </c>
      <c r="B1876" s="2">
        <v>44629</v>
      </c>
      <c r="C1876" s="1" t="s">
        <v>233</v>
      </c>
      <c r="D1876" s="1" t="s">
        <v>195</v>
      </c>
      <c r="E1876">
        <v>1</v>
      </c>
      <c r="F1876" s="4">
        <v>1387.31</v>
      </c>
      <c r="G1876" s="3">
        <v>0</v>
      </c>
      <c r="H1876" s="4">
        <v>218.62</v>
      </c>
    </row>
    <row r="1877" spans="1:8" x14ac:dyDescent="0.3">
      <c r="A1877" s="1" t="s">
        <v>2183</v>
      </c>
      <c r="B1877" s="2">
        <v>45209</v>
      </c>
      <c r="C1877" s="1" t="s">
        <v>927</v>
      </c>
      <c r="D1877" s="1" t="s">
        <v>143</v>
      </c>
      <c r="E1877">
        <v>5</v>
      </c>
      <c r="F1877" s="4">
        <v>808.93</v>
      </c>
      <c r="G1877" s="3">
        <v>0.3</v>
      </c>
      <c r="H1877" s="4">
        <v>105.22</v>
      </c>
    </row>
    <row r="1878" spans="1:8" x14ac:dyDescent="0.3">
      <c r="A1878" s="1" t="s">
        <v>2184</v>
      </c>
      <c r="B1878" s="2">
        <v>44860</v>
      </c>
      <c r="C1878" s="1" t="s">
        <v>420</v>
      </c>
      <c r="D1878" s="1" t="s">
        <v>64</v>
      </c>
      <c r="E1878">
        <v>1</v>
      </c>
      <c r="F1878" s="4">
        <v>1889.21</v>
      </c>
      <c r="G1878" s="3">
        <v>0</v>
      </c>
      <c r="H1878" s="4">
        <v>522.67999999999995</v>
      </c>
    </row>
    <row r="1879" spans="1:8" x14ac:dyDescent="0.3">
      <c r="A1879" s="1" t="s">
        <v>2185</v>
      </c>
      <c r="B1879" s="2">
        <v>45416</v>
      </c>
      <c r="C1879" s="1" t="s">
        <v>198</v>
      </c>
      <c r="D1879" s="1" t="s">
        <v>275</v>
      </c>
      <c r="E1879">
        <v>4</v>
      </c>
      <c r="F1879" s="4">
        <v>417.98</v>
      </c>
      <c r="G1879" s="3">
        <v>0.2</v>
      </c>
      <c r="H1879" s="4">
        <v>40.880000000000003</v>
      </c>
    </row>
    <row r="1880" spans="1:8" x14ac:dyDescent="0.3">
      <c r="A1880" s="1" t="s">
        <v>2186</v>
      </c>
      <c r="B1880" s="2">
        <v>44871</v>
      </c>
      <c r="C1880" s="1" t="s">
        <v>77</v>
      </c>
      <c r="D1880" s="1" t="s">
        <v>234</v>
      </c>
      <c r="E1880">
        <v>2</v>
      </c>
      <c r="F1880" s="4">
        <v>1050.68</v>
      </c>
      <c r="G1880" s="3">
        <v>0.1</v>
      </c>
      <c r="H1880" s="4">
        <v>214.19</v>
      </c>
    </row>
    <row r="1881" spans="1:8" x14ac:dyDescent="0.3">
      <c r="A1881" s="1" t="s">
        <v>2187</v>
      </c>
      <c r="B1881" s="2">
        <v>45333</v>
      </c>
      <c r="C1881" s="1" t="s">
        <v>380</v>
      </c>
      <c r="D1881" s="1" t="s">
        <v>43</v>
      </c>
      <c r="E1881">
        <v>5</v>
      </c>
      <c r="F1881" s="4">
        <v>1412.68</v>
      </c>
      <c r="G1881" s="3">
        <v>0</v>
      </c>
      <c r="H1881" s="4">
        <v>213.92</v>
      </c>
    </row>
    <row r="1882" spans="1:8" x14ac:dyDescent="0.3">
      <c r="A1882" s="1" t="s">
        <v>2188</v>
      </c>
      <c r="B1882" s="2">
        <v>45033</v>
      </c>
      <c r="C1882" s="1" t="s">
        <v>475</v>
      </c>
      <c r="D1882" s="1" t="s">
        <v>61</v>
      </c>
      <c r="E1882">
        <v>3</v>
      </c>
      <c r="F1882" s="4">
        <v>1424.56</v>
      </c>
      <c r="G1882" s="3">
        <v>0.3</v>
      </c>
      <c r="H1882" s="4">
        <v>85.86</v>
      </c>
    </row>
    <row r="1883" spans="1:8" x14ac:dyDescent="0.3">
      <c r="A1883" s="1" t="s">
        <v>2189</v>
      </c>
      <c r="B1883" s="2">
        <v>45184</v>
      </c>
      <c r="C1883" s="1" t="s">
        <v>208</v>
      </c>
      <c r="D1883" s="1" t="s">
        <v>458</v>
      </c>
      <c r="E1883">
        <v>4</v>
      </c>
      <c r="F1883" s="4">
        <v>1332.41</v>
      </c>
      <c r="G1883" s="3">
        <v>0</v>
      </c>
      <c r="H1883" s="4">
        <v>182.3</v>
      </c>
    </row>
    <row r="1884" spans="1:8" x14ac:dyDescent="0.3">
      <c r="A1884" s="1" t="s">
        <v>2190</v>
      </c>
      <c r="B1884" s="2">
        <v>45001</v>
      </c>
      <c r="C1884" s="1" t="s">
        <v>287</v>
      </c>
      <c r="D1884" s="1" t="s">
        <v>19</v>
      </c>
      <c r="E1884">
        <v>5</v>
      </c>
      <c r="F1884" s="4">
        <v>623.04999999999995</v>
      </c>
      <c r="G1884" s="3">
        <v>0</v>
      </c>
      <c r="H1884" s="4">
        <v>72.47</v>
      </c>
    </row>
    <row r="1885" spans="1:8" x14ac:dyDescent="0.3">
      <c r="A1885" s="1" t="s">
        <v>2191</v>
      </c>
      <c r="B1885" s="2">
        <v>44664</v>
      </c>
      <c r="C1885" s="1" t="s">
        <v>533</v>
      </c>
      <c r="D1885" s="1" t="s">
        <v>19</v>
      </c>
      <c r="E1885">
        <v>1</v>
      </c>
      <c r="F1885" s="4">
        <v>396.79</v>
      </c>
      <c r="G1885" s="3">
        <v>0</v>
      </c>
      <c r="H1885" s="4">
        <v>87.9</v>
      </c>
    </row>
    <row r="1886" spans="1:8" x14ac:dyDescent="0.3">
      <c r="A1886" s="1" t="s">
        <v>2192</v>
      </c>
      <c r="B1886" s="2">
        <v>44570</v>
      </c>
      <c r="C1886" s="1" t="s">
        <v>520</v>
      </c>
      <c r="D1886" s="1" t="s">
        <v>54</v>
      </c>
      <c r="E1886">
        <v>1</v>
      </c>
      <c r="F1886" s="4">
        <v>1308.29</v>
      </c>
      <c r="G1886" s="3">
        <v>0.3</v>
      </c>
      <c r="H1886" s="4">
        <v>375.74</v>
      </c>
    </row>
    <row r="1887" spans="1:8" x14ac:dyDescent="0.3">
      <c r="A1887" s="1" t="s">
        <v>2193</v>
      </c>
      <c r="B1887" s="2">
        <v>44760</v>
      </c>
      <c r="C1887" s="1" t="s">
        <v>205</v>
      </c>
      <c r="D1887" s="1" t="s">
        <v>170</v>
      </c>
      <c r="E1887">
        <v>1</v>
      </c>
      <c r="F1887" s="4">
        <v>1238.67</v>
      </c>
      <c r="G1887" s="3">
        <v>0.1</v>
      </c>
      <c r="H1887" s="4">
        <v>144.94</v>
      </c>
    </row>
    <row r="1888" spans="1:8" x14ac:dyDescent="0.3">
      <c r="A1888" s="1" t="s">
        <v>2194</v>
      </c>
      <c r="B1888" s="2">
        <v>45285</v>
      </c>
      <c r="C1888" s="1" t="s">
        <v>739</v>
      </c>
      <c r="D1888" s="1" t="s">
        <v>132</v>
      </c>
      <c r="E1888">
        <v>1</v>
      </c>
      <c r="F1888" s="4">
        <v>440.78</v>
      </c>
      <c r="G1888" s="3">
        <v>0.2</v>
      </c>
      <c r="H1888" s="4">
        <v>111.46</v>
      </c>
    </row>
    <row r="1889" spans="1:8" x14ac:dyDescent="0.3">
      <c r="A1889" s="1" t="s">
        <v>2195</v>
      </c>
      <c r="B1889" s="2">
        <v>44685</v>
      </c>
      <c r="C1889" s="1" t="s">
        <v>520</v>
      </c>
      <c r="D1889" s="1" t="s">
        <v>25</v>
      </c>
      <c r="E1889">
        <v>3</v>
      </c>
      <c r="F1889" s="4">
        <v>1439.76</v>
      </c>
      <c r="G1889" s="3">
        <v>0.1</v>
      </c>
      <c r="H1889" s="4">
        <v>91.91</v>
      </c>
    </row>
    <row r="1890" spans="1:8" x14ac:dyDescent="0.3">
      <c r="A1890" s="1" t="s">
        <v>2196</v>
      </c>
      <c r="B1890" s="2">
        <v>44687</v>
      </c>
      <c r="C1890" s="1" t="s">
        <v>325</v>
      </c>
      <c r="D1890" s="1" t="s">
        <v>13</v>
      </c>
      <c r="E1890">
        <v>4</v>
      </c>
      <c r="F1890" s="4">
        <v>964.83</v>
      </c>
      <c r="G1890" s="3">
        <v>0</v>
      </c>
      <c r="H1890" s="4">
        <v>178.04</v>
      </c>
    </row>
    <row r="1891" spans="1:8" x14ac:dyDescent="0.3">
      <c r="A1891" s="1" t="s">
        <v>2197</v>
      </c>
      <c r="B1891" s="2">
        <v>44996</v>
      </c>
      <c r="C1891" s="1" t="s">
        <v>350</v>
      </c>
      <c r="D1891" s="1" t="s">
        <v>278</v>
      </c>
      <c r="E1891">
        <v>2</v>
      </c>
      <c r="F1891" s="4">
        <v>1368.75</v>
      </c>
      <c r="G1891" s="3">
        <v>0.3</v>
      </c>
      <c r="H1891" s="4">
        <v>92.58</v>
      </c>
    </row>
    <row r="1892" spans="1:8" x14ac:dyDescent="0.3">
      <c r="A1892" s="1" t="s">
        <v>2198</v>
      </c>
      <c r="B1892" s="2">
        <v>45350</v>
      </c>
      <c r="C1892" s="1" t="s">
        <v>325</v>
      </c>
      <c r="D1892" s="1" t="s">
        <v>256</v>
      </c>
      <c r="E1892">
        <v>3</v>
      </c>
      <c r="F1892" s="4">
        <v>1691</v>
      </c>
      <c r="G1892" s="3">
        <v>0.1</v>
      </c>
      <c r="H1892" s="4">
        <v>479.41</v>
      </c>
    </row>
    <row r="1893" spans="1:8" x14ac:dyDescent="0.3">
      <c r="A1893" s="1" t="s">
        <v>2199</v>
      </c>
      <c r="B1893" s="2">
        <v>45129</v>
      </c>
      <c r="C1893" s="1" t="s">
        <v>422</v>
      </c>
      <c r="D1893" s="1" t="s">
        <v>397</v>
      </c>
      <c r="E1893">
        <v>3</v>
      </c>
      <c r="F1893" s="4">
        <v>422.48</v>
      </c>
      <c r="G1893" s="3">
        <v>0</v>
      </c>
      <c r="H1893" s="4">
        <v>102.07</v>
      </c>
    </row>
    <row r="1894" spans="1:8" x14ac:dyDescent="0.3">
      <c r="A1894" s="1" t="s">
        <v>2200</v>
      </c>
      <c r="B1894" s="2">
        <v>44787</v>
      </c>
      <c r="C1894" s="1" t="s">
        <v>598</v>
      </c>
      <c r="D1894" s="1" t="s">
        <v>122</v>
      </c>
      <c r="E1894">
        <v>2</v>
      </c>
      <c r="F1894" s="4">
        <v>136.38</v>
      </c>
      <c r="G1894" s="3">
        <v>0.2</v>
      </c>
      <c r="H1894" s="4">
        <v>29.25</v>
      </c>
    </row>
    <row r="1895" spans="1:8" x14ac:dyDescent="0.3">
      <c r="A1895" s="1" t="s">
        <v>2201</v>
      </c>
      <c r="B1895" s="2">
        <v>45071</v>
      </c>
      <c r="C1895" s="1" t="s">
        <v>292</v>
      </c>
      <c r="D1895" s="1" t="s">
        <v>28</v>
      </c>
      <c r="E1895">
        <v>2</v>
      </c>
      <c r="F1895" s="4">
        <v>1580.29</v>
      </c>
      <c r="G1895" s="3">
        <v>0.2</v>
      </c>
      <c r="H1895" s="4">
        <v>404.51</v>
      </c>
    </row>
    <row r="1896" spans="1:8" x14ac:dyDescent="0.3">
      <c r="A1896" s="1" t="s">
        <v>2202</v>
      </c>
      <c r="B1896" s="2">
        <v>45130</v>
      </c>
      <c r="C1896" s="1" t="s">
        <v>321</v>
      </c>
      <c r="D1896" s="1" t="s">
        <v>455</v>
      </c>
      <c r="E1896">
        <v>1</v>
      </c>
      <c r="F1896" s="4">
        <v>1258.43</v>
      </c>
      <c r="G1896" s="3">
        <v>0.2</v>
      </c>
      <c r="H1896" s="4">
        <v>266.64</v>
      </c>
    </row>
    <row r="1897" spans="1:8" x14ac:dyDescent="0.3">
      <c r="A1897" s="1" t="s">
        <v>2203</v>
      </c>
      <c r="B1897" s="2">
        <v>44941</v>
      </c>
      <c r="C1897" s="1" t="s">
        <v>332</v>
      </c>
      <c r="D1897" s="1" t="s">
        <v>451</v>
      </c>
      <c r="E1897">
        <v>3</v>
      </c>
      <c r="F1897" s="4">
        <v>1429.32</v>
      </c>
      <c r="G1897" s="3">
        <v>0</v>
      </c>
      <c r="H1897" s="4">
        <v>417.7</v>
      </c>
    </row>
    <row r="1898" spans="1:8" x14ac:dyDescent="0.3">
      <c r="A1898" s="1" t="s">
        <v>2204</v>
      </c>
      <c r="B1898" s="2">
        <v>45094</v>
      </c>
      <c r="C1898" s="1" t="s">
        <v>371</v>
      </c>
      <c r="D1898" s="1" t="s">
        <v>139</v>
      </c>
      <c r="E1898">
        <v>5</v>
      </c>
      <c r="F1898" s="4">
        <v>1692.49</v>
      </c>
      <c r="G1898" s="3">
        <v>0.3</v>
      </c>
      <c r="H1898" s="4">
        <v>386.72</v>
      </c>
    </row>
    <row r="1899" spans="1:8" x14ac:dyDescent="0.3">
      <c r="A1899" s="1" t="s">
        <v>2205</v>
      </c>
      <c r="B1899" s="2">
        <v>44955</v>
      </c>
      <c r="C1899" s="1" t="s">
        <v>231</v>
      </c>
      <c r="D1899" s="1" t="s">
        <v>301</v>
      </c>
      <c r="E1899">
        <v>2</v>
      </c>
      <c r="F1899" s="4">
        <v>1625.34</v>
      </c>
      <c r="G1899" s="3">
        <v>0.1</v>
      </c>
      <c r="H1899" s="4">
        <v>456.99</v>
      </c>
    </row>
    <row r="1900" spans="1:8" x14ac:dyDescent="0.3">
      <c r="A1900" s="1" t="s">
        <v>2206</v>
      </c>
      <c r="B1900" s="2">
        <v>45249</v>
      </c>
      <c r="C1900" s="1" t="s">
        <v>691</v>
      </c>
      <c r="D1900" s="1" t="s">
        <v>48</v>
      </c>
      <c r="E1900">
        <v>2</v>
      </c>
      <c r="F1900" s="4">
        <v>1925.75</v>
      </c>
      <c r="G1900" s="3">
        <v>0.2</v>
      </c>
      <c r="H1900" s="4">
        <v>345.25</v>
      </c>
    </row>
    <row r="1901" spans="1:8" x14ac:dyDescent="0.3">
      <c r="A1901" s="1" t="s">
        <v>2207</v>
      </c>
      <c r="B1901" s="2">
        <v>44959</v>
      </c>
      <c r="C1901" s="1" t="s">
        <v>637</v>
      </c>
      <c r="D1901" s="1" t="s">
        <v>242</v>
      </c>
      <c r="E1901">
        <v>4</v>
      </c>
      <c r="F1901" s="4">
        <v>1118.28</v>
      </c>
      <c r="G1901" s="3">
        <v>0</v>
      </c>
      <c r="H1901" s="4">
        <v>88.64</v>
      </c>
    </row>
    <row r="1902" spans="1:8" x14ac:dyDescent="0.3">
      <c r="A1902" s="1" t="s">
        <v>2208</v>
      </c>
      <c r="B1902" s="2">
        <v>44700</v>
      </c>
      <c r="C1902" s="1" t="s">
        <v>425</v>
      </c>
      <c r="D1902" s="1" t="s">
        <v>603</v>
      </c>
      <c r="E1902">
        <v>5</v>
      </c>
      <c r="F1902" s="4">
        <v>1028.1400000000001</v>
      </c>
      <c r="G1902" s="3">
        <v>0</v>
      </c>
      <c r="H1902" s="4">
        <v>187.17</v>
      </c>
    </row>
    <row r="1903" spans="1:8" x14ac:dyDescent="0.3">
      <c r="A1903" s="1" t="s">
        <v>2209</v>
      </c>
      <c r="B1903" s="2">
        <v>45279</v>
      </c>
      <c r="C1903" s="1" t="s">
        <v>231</v>
      </c>
      <c r="D1903" s="1" t="s">
        <v>341</v>
      </c>
      <c r="E1903">
        <v>5</v>
      </c>
      <c r="F1903" s="4">
        <v>863.59</v>
      </c>
      <c r="G1903" s="3">
        <v>0.1</v>
      </c>
      <c r="H1903" s="4">
        <v>70.569999999999993</v>
      </c>
    </row>
    <row r="1904" spans="1:8" x14ac:dyDescent="0.3">
      <c r="A1904" s="1" t="s">
        <v>2210</v>
      </c>
      <c r="B1904" s="2">
        <v>45173</v>
      </c>
      <c r="C1904" s="1" t="s">
        <v>491</v>
      </c>
      <c r="D1904" s="1" t="s">
        <v>40</v>
      </c>
      <c r="E1904">
        <v>2</v>
      </c>
      <c r="F1904" s="4">
        <v>392.01</v>
      </c>
      <c r="G1904" s="3">
        <v>0.2</v>
      </c>
      <c r="H1904" s="4">
        <v>77.67</v>
      </c>
    </row>
    <row r="1905" spans="1:8" x14ac:dyDescent="0.3">
      <c r="A1905" s="1" t="s">
        <v>2211</v>
      </c>
      <c r="B1905" s="2">
        <v>45024</v>
      </c>
      <c r="C1905" s="1" t="s">
        <v>464</v>
      </c>
      <c r="D1905" s="1" t="s">
        <v>89</v>
      </c>
      <c r="E1905">
        <v>1</v>
      </c>
      <c r="F1905" s="4">
        <v>1187.95</v>
      </c>
      <c r="G1905" s="3">
        <v>0</v>
      </c>
      <c r="H1905" s="4">
        <v>202.69</v>
      </c>
    </row>
    <row r="1906" spans="1:8" x14ac:dyDescent="0.3">
      <c r="A1906" s="1" t="s">
        <v>2212</v>
      </c>
      <c r="B1906" s="2">
        <v>44600</v>
      </c>
      <c r="C1906" s="1" t="s">
        <v>709</v>
      </c>
      <c r="D1906" s="1" t="s">
        <v>660</v>
      </c>
      <c r="E1906">
        <v>4</v>
      </c>
      <c r="F1906" s="4">
        <v>626.32000000000005</v>
      </c>
      <c r="G1906" s="3">
        <v>0.1</v>
      </c>
      <c r="H1906" s="4">
        <v>128.80000000000001</v>
      </c>
    </row>
    <row r="1907" spans="1:8" x14ac:dyDescent="0.3">
      <c r="A1907" s="1" t="s">
        <v>2213</v>
      </c>
      <c r="B1907" s="2">
        <v>45443</v>
      </c>
      <c r="C1907" s="1" t="s">
        <v>505</v>
      </c>
      <c r="D1907" s="1" t="s">
        <v>263</v>
      </c>
      <c r="E1907">
        <v>5</v>
      </c>
      <c r="F1907" s="4">
        <v>1850.48</v>
      </c>
      <c r="G1907" s="3">
        <v>0.3</v>
      </c>
      <c r="H1907" s="4">
        <v>97.17</v>
      </c>
    </row>
    <row r="1908" spans="1:8" x14ac:dyDescent="0.3">
      <c r="A1908" s="1" t="s">
        <v>2214</v>
      </c>
      <c r="B1908" s="2">
        <v>44760</v>
      </c>
      <c r="C1908" s="1" t="s">
        <v>1061</v>
      </c>
      <c r="D1908" s="1" t="s">
        <v>180</v>
      </c>
      <c r="E1908">
        <v>2</v>
      </c>
      <c r="F1908" s="4">
        <v>1208.06</v>
      </c>
      <c r="G1908" s="3">
        <v>0.3</v>
      </c>
      <c r="H1908" s="4">
        <v>119.25</v>
      </c>
    </row>
    <row r="1909" spans="1:8" x14ac:dyDescent="0.3">
      <c r="A1909" s="1" t="s">
        <v>2215</v>
      </c>
      <c r="B1909" s="2">
        <v>45287</v>
      </c>
      <c r="C1909" s="1" t="s">
        <v>657</v>
      </c>
      <c r="D1909" s="1" t="s">
        <v>22</v>
      </c>
      <c r="E1909">
        <v>5</v>
      </c>
      <c r="F1909" s="4">
        <v>1226.4000000000001</v>
      </c>
      <c r="G1909" s="3">
        <v>0.3</v>
      </c>
      <c r="H1909" s="4">
        <v>211.96</v>
      </c>
    </row>
    <row r="1910" spans="1:8" x14ac:dyDescent="0.3">
      <c r="A1910" s="1" t="s">
        <v>2216</v>
      </c>
      <c r="B1910" s="2">
        <v>45044</v>
      </c>
      <c r="C1910" s="1" t="s">
        <v>9</v>
      </c>
      <c r="D1910" s="1" t="s">
        <v>100</v>
      </c>
      <c r="E1910">
        <v>4</v>
      </c>
      <c r="F1910" s="4">
        <v>774.36</v>
      </c>
      <c r="G1910" s="3">
        <v>0.2</v>
      </c>
      <c r="H1910" s="4">
        <v>222.73</v>
      </c>
    </row>
    <row r="1911" spans="1:8" x14ac:dyDescent="0.3">
      <c r="A1911" s="1" t="s">
        <v>2217</v>
      </c>
      <c r="B1911" s="2">
        <v>44877</v>
      </c>
      <c r="C1911" s="1" t="s">
        <v>425</v>
      </c>
      <c r="D1911" s="1" t="s">
        <v>253</v>
      </c>
      <c r="E1911">
        <v>4</v>
      </c>
      <c r="F1911" s="4">
        <v>198.78</v>
      </c>
      <c r="G1911" s="3">
        <v>0.1</v>
      </c>
      <c r="H1911" s="4">
        <v>29</v>
      </c>
    </row>
    <row r="1912" spans="1:8" x14ac:dyDescent="0.3">
      <c r="A1912" s="1" t="s">
        <v>2218</v>
      </c>
      <c r="B1912" s="2">
        <v>45440</v>
      </c>
      <c r="C1912" s="1" t="s">
        <v>360</v>
      </c>
      <c r="D1912" s="1" t="s">
        <v>156</v>
      </c>
      <c r="E1912">
        <v>3</v>
      </c>
      <c r="F1912" s="4">
        <v>160.31</v>
      </c>
      <c r="G1912" s="3">
        <v>0.1</v>
      </c>
      <c r="H1912" s="4">
        <v>25.02</v>
      </c>
    </row>
    <row r="1913" spans="1:8" x14ac:dyDescent="0.3">
      <c r="A1913" s="1" t="s">
        <v>2219</v>
      </c>
      <c r="B1913" s="2">
        <v>44788</v>
      </c>
      <c r="C1913" s="1" t="s">
        <v>723</v>
      </c>
      <c r="D1913" s="1" t="s">
        <v>75</v>
      </c>
      <c r="E1913">
        <v>2</v>
      </c>
      <c r="F1913" s="4">
        <v>904.34</v>
      </c>
      <c r="G1913" s="3">
        <v>0</v>
      </c>
      <c r="H1913" s="4">
        <v>206.8</v>
      </c>
    </row>
    <row r="1914" spans="1:8" x14ac:dyDescent="0.3">
      <c r="A1914" s="1" t="s">
        <v>2220</v>
      </c>
      <c r="B1914" s="2">
        <v>44963</v>
      </c>
      <c r="C1914" s="1" t="s">
        <v>27</v>
      </c>
      <c r="D1914" s="1" t="s">
        <v>147</v>
      </c>
      <c r="E1914">
        <v>4</v>
      </c>
      <c r="F1914" s="4">
        <v>260.67</v>
      </c>
      <c r="G1914" s="3">
        <v>0</v>
      </c>
      <c r="H1914" s="4">
        <v>52.38</v>
      </c>
    </row>
    <row r="1915" spans="1:8" x14ac:dyDescent="0.3">
      <c r="A1915" s="1" t="s">
        <v>2221</v>
      </c>
      <c r="B1915" s="2">
        <v>45157</v>
      </c>
      <c r="C1915" s="1" t="s">
        <v>328</v>
      </c>
      <c r="D1915" s="1" t="s">
        <v>37</v>
      </c>
      <c r="E1915">
        <v>3</v>
      </c>
      <c r="F1915" s="4">
        <v>1253.01</v>
      </c>
      <c r="G1915" s="3">
        <v>0</v>
      </c>
      <c r="H1915" s="4">
        <v>156.29</v>
      </c>
    </row>
    <row r="1916" spans="1:8" x14ac:dyDescent="0.3">
      <c r="A1916" s="1" t="s">
        <v>2222</v>
      </c>
      <c r="B1916" s="2">
        <v>45431</v>
      </c>
      <c r="C1916" s="1" t="s">
        <v>464</v>
      </c>
      <c r="D1916" s="1" t="s">
        <v>249</v>
      </c>
      <c r="E1916">
        <v>3</v>
      </c>
      <c r="F1916" s="4">
        <v>1773.85</v>
      </c>
      <c r="G1916" s="3">
        <v>0.1</v>
      </c>
      <c r="H1916" s="4">
        <v>270.87</v>
      </c>
    </row>
    <row r="1917" spans="1:8" x14ac:dyDescent="0.3">
      <c r="A1917" s="1" t="s">
        <v>2223</v>
      </c>
      <c r="B1917" s="2">
        <v>44739</v>
      </c>
      <c r="C1917" s="1" t="s">
        <v>231</v>
      </c>
      <c r="D1917" s="1" t="s">
        <v>369</v>
      </c>
      <c r="E1917">
        <v>5</v>
      </c>
      <c r="F1917" s="4">
        <v>1777.54</v>
      </c>
      <c r="G1917" s="3">
        <v>0</v>
      </c>
      <c r="H1917" s="4">
        <v>185.62</v>
      </c>
    </row>
    <row r="1918" spans="1:8" x14ac:dyDescent="0.3">
      <c r="A1918" s="1" t="s">
        <v>2224</v>
      </c>
      <c r="B1918" s="2">
        <v>45032</v>
      </c>
      <c r="C1918" s="1" t="s">
        <v>33</v>
      </c>
      <c r="D1918" s="1" t="s">
        <v>97</v>
      </c>
      <c r="E1918">
        <v>5</v>
      </c>
      <c r="F1918" s="4">
        <v>1352.19</v>
      </c>
      <c r="G1918" s="3">
        <v>0.1</v>
      </c>
      <c r="H1918" s="4">
        <v>394.17</v>
      </c>
    </row>
    <row r="1919" spans="1:8" x14ac:dyDescent="0.3">
      <c r="A1919" s="1" t="s">
        <v>2225</v>
      </c>
      <c r="B1919" s="2">
        <v>44989</v>
      </c>
      <c r="C1919" s="1" t="s">
        <v>404</v>
      </c>
      <c r="D1919" s="1" t="s">
        <v>83</v>
      </c>
      <c r="E1919">
        <v>3</v>
      </c>
      <c r="F1919" s="4">
        <v>501.34</v>
      </c>
      <c r="G1919" s="3">
        <v>0.1</v>
      </c>
      <c r="H1919" s="4">
        <v>41.44</v>
      </c>
    </row>
    <row r="1920" spans="1:8" x14ac:dyDescent="0.3">
      <c r="A1920" s="1" t="s">
        <v>2226</v>
      </c>
      <c r="B1920" s="2">
        <v>44885</v>
      </c>
      <c r="C1920" s="1" t="s">
        <v>205</v>
      </c>
      <c r="D1920" s="1" t="s">
        <v>67</v>
      </c>
      <c r="E1920">
        <v>5</v>
      </c>
      <c r="F1920" s="4">
        <v>1739.69</v>
      </c>
      <c r="G1920" s="3">
        <v>0.3</v>
      </c>
      <c r="H1920" s="4">
        <v>248.7</v>
      </c>
    </row>
    <row r="1921" spans="1:8" x14ac:dyDescent="0.3">
      <c r="A1921" s="1" t="s">
        <v>2227</v>
      </c>
      <c r="B1921" s="2">
        <v>44895</v>
      </c>
      <c r="C1921" s="1" t="s">
        <v>607</v>
      </c>
      <c r="D1921" s="1" t="s">
        <v>669</v>
      </c>
      <c r="E1921">
        <v>4</v>
      </c>
      <c r="F1921" s="4">
        <v>1783.58</v>
      </c>
      <c r="G1921" s="3">
        <v>0</v>
      </c>
      <c r="H1921" s="4">
        <v>100.7</v>
      </c>
    </row>
    <row r="1922" spans="1:8" x14ac:dyDescent="0.3">
      <c r="A1922" s="1" t="s">
        <v>2228</v>
      </c>
      <c r="B1922" s="2">
        <v>45107</v>
      </c>
      <c r="C1922" s="1" t="s">
        <v>569</v>
      </c>
      <c r="D1922" s="1" t="s">
        <v>31</v>
      </c>
      <c r="E1922">
        <v>1</v>
      </c>
      <c r="F1922" s="4">
        <v>473.64</v>
      </c>
      <c r="G1922" s="3">
        <v>0.3</v>
      </c>
      <c r="H1922" s="4">
        <v>49.94</v>
      </c>
    </row>
    <row r="1923" spans="1:8" x14ac:dyDescent="0.3">
      <c r="A1923" s="1" t="s">
        <v>2229</v>
      </c>
      <c r="B1923" s="2">
        <v>45290</v>
      </c>
      <c r="C1923" s="1" t="s">
        <v>344</v>
      </c>
      <c r="D1923" s="1" t="s">
        <v>323</v>
      </c>
      <c r="E1923">
        <v>4</v>
      </c>
      <c r="F1923" s="4">
        <v>1501.11</v>
      </c>
      <c r="G1923" s="3">
        <v>0.2</v>
      </c>
      <c r="H1923" s="4">
        <v>367.95</v>
      </c>
    </row>
    <row r="1924" spans="1:8" x14ac:dyDescent="0.3">
      <c r="A1924" s="1" t="s">
        <v>2230</v>
      </c>
      <c r="B1924" s="2">
        <v>45362</v>
      </c>
      <c r="C1924" s="1" t="s">
        <v>262</v>
      </c>
      <c r="D1924" s="1" t="s">
        <v>163</v>
      </c>
      <c r="E1924">
        <v>3</v>
      </c>
      <c r="F1924" s="4">
        <v>644.39</v>
      </c>
      <c r="G1924" s="3">
        <v>0.2</v>
      </c>
      <c r="H1924" s="4">
        <v>64.63</v>
      </c>
    </row>
    <row r="1925" spans="1:8" x14ac:dyDescent="0.3">
      <c r="A1925" s="1" t="s">
        <v>2231</v>
      </c>
      <c r="B1925" s="2">
        <v>44655</v>
      </c>
      <c r="C1925" s="1" t="s">
        <v>24</v>
      </c>
      <c r="D1925" s="1" t="s">
        <v>301</v>
      </c>
      <c r="E1925">
        <v>3</v>
      </c>
      <c r="F1925" s="4">
        <v>1625.02</v>
      </c>
      <c r="G1925" s="3">
        <v>0.2</v>
      </c>
      <c r="H1925" s="4">
        <v>113.78</v>
      </c>
    </row>
    <row r="1926" spans="1:8" x14ac:dyDescent="0.3">
      <c r="A1926" s="1" t="s">
        <v>2232</v>
      </c>
      <c r="B1926" s="2">
        <v>44578</v>
      </c>
      <c r="C1926" s="1" t="s">
        <v>194</v>
      </c>
      <c r="D1926" s="1" t="s">
        <v>180</v>
      </c>
      <c r="E1926">
        <v>4</v>
      </c>
      <c r="F1926" s="4">
        <v>1994.75</v>
      </c>
      <c r="G1926" s="3">
        <v>0.1</v>
      </c>
      <c r="H1926" s="4">
        <v>336.34</v>
      </c>
    </row>
    <row r="1927" spans="1:8" x14ac:dyDescent="0.3">
      <c r="A1927" s="1" t="s">
        <v>2233</v>
      </c>
      <c r="B1927" s="2">
        <v>45019</v>
      </c>
      <c r="C1927" s="1" t="s">
        <v>165</v>
      </c>
      <c r="D1927" s="1" t="s">
        <v>147</v>
      </c>
      <c r="E1927">
        <v>5</v>
      </c>
      <c r="F1927" s="4">
        <v>157.05000000000001</v>
      </c>
      <c r="G1927" s="3">
        <v>0.1</v>
      </c>
      <c r="H1927" s="4">
        <v>8.24</v>
      </c>
    </row>
    <row r="1928" spans="1:8" x14ac:dyDescent="0.3">
      <c r="A1928" s="1" t="s">
        <v>2234</v>
      </c>
      <c r="B1928" s="2">
        <v>44698</v>
      </c>
      <c r="C1928" s="1" t="s">
        <v>18</v>
      </c>
      <c r="D1928" s="1" t="s">
        <v>64</v>
      </c>
      <c r="E1928">
        <v>5</v>
      </c>
      <c r="F1928" s="4">
        <v>1805</v>
      </c>
      <c r="G1928" s="3">
        <v>0.1</v>
      </c>
      <c r="H1928" s="4">
        <v>128.5</v>
      </c>
    </row>
    <row r="1929" spans="1:8" x14ac:dyDescent="0.3">
      <c r="A1929" s="1" t="s">
        <v>2235</v>
      </c>
      <c r="B1929" s="2">
        <v>45073</v>
      </c>
      <c r="C1929" s="1" t="s">
        <v>729</v>
      </c>
      <c r="D1929" s="1" t="s">
        <v>156</v>
      </c>
      <c r="E1929">
        <v>3</v>
      </c>
      <c r="F1929" s="4">
        <v>1283</v>
      </c>
      <c r="G1929" s="3">
        <v>0</v>
      </c>
      <c r="H1929" s="4">
        <v>323.2</v>
      </c>
    </row>
    <row r="1930" spans="1:8" x14ac:dyDescent="0.3">
      <c r="A1930" s="1" t="s">
        <v>2236</v>
      </c>
      <c r="B1930" s="2">
        <v>44741</v>
      </c>
      <c r="C1930" s="1" t="s">
        <v>160</v>
      </c>
      <c r="D1930" s="1" t="s">
        <v>61</v>
      </c>
      <c r="E1930">
        <v>2</v>
      </c>
      <c r="F1930" s="4">
        <v>1949.43</v>
      </c>
      <c r="G1930" s="3">
        <v>0.3</v>
      </c>
      <c r="H1930" s="4">
        <v>473.45</v>
      </c>
    </row>
    <row r="1931" spans="1:8" x14ac:dyDescent="0.3">
      <c r="A1931" s="1" t="s">
        <v>2237</v>
      </c>
      <c r="B1931" s="2">
        <v>45414</v>
      </c>
      <c r="C1931" s="1" t="s">
        <v>547</v>
      </c>
      <c r="D1931" s="1" t="s">
        <v>239</v>
      </c>
      <c r="E1931">
        <v>5</v>
      </c>
      <c r="F1931" s="4">
        <v>983.52</v>
      </c>
      <c r="G1931" s="3">
        <v>0.1</v>
      </c>
      <c r="H1931" s="4">
        <v>274.19</v>
      </c>
    </row>
    <row r="1932" spans="1:8" x14ac:dyDescent="0.3">
      <c r="A1932" s="1" t="s">
        <v>2238</v>
      </c>
      <c r="B1932" s="2">
        <v>44839</v>
      </c>
      <c r="C1932" s="1" t="s">
        <v>102</v>
      </c>
      <c r="D1932" s="1" t="s">
        <v>263</v>
      </c>
      <c r="E1932">
        <v>4</v>
      </c>
      <c r="F1932" s="4">
        <v>1710.04</v>
      </c>
      <c r="G1932" s="3">
        <v>0.3</v>
      </c>
      <c r="H1932" s="4">
        <v>450.82</v>
      </c>
    </row>
    <row r="1933" spans="1:8" x14ac:dyDescent="0.3">
      <c r="A1933" s="1" t="s">
        <v>2239</v>
      </c>
      <c r="B1933" s="2">
        <v>44817</v>
      </c>
      <c r="C1933" s="1" t="s">
        <v>334</v>
      </c>
      <c r="D1933" s="1" t="s">
        <v>40</v>
      </c>
      <c r="E1933">
        <v>5</v>
      </c>
      <c r="F1933" s="4">
        <v>218.55</v>
      </c>
      <c r="G1933" s="3">
        <v>0.3</v>
      </c>
      <c r="H1933" s="4">
        <v>48.25</v>
      </c>
    </row>
    <row r="1934" spans="1:8" x14ac:dyDescent="0.3">
      <c r="A1934" s="1" t="s">
        <v>2240</v>
      </c>
      <c r="B1934" s="2">
        <v>45272</v>
      </c>
      <c r="C1934" s="1" t="s">
        <v>739</v>
      </c>
      <c r="D1934" s="1" t="s">
        <v>177</v>
      </c>
      <c r="E1934">
        <v>4</v>
      </c>
      <c r="F1934" s="4">
        <v>737.03</v>
      </c>
      <c r="G1934" s="3">
        <v>0.3</v>
      </c>
      <c r="H1934" s="4">
        <v>46.49</v>
      </c>
    </row>
    <row r="1935" spans="1:8" x14ac:dyDescent="0.3">
      <c r="A1935" s="1" t="s">
        <v>2241</v>
      </c>
      <c r="B1935" s="2">
        <v>45123</v>
      </c>
      <c r="C1935" s="1" t="s">
        <v>265</v>
      </c>
      <c r="D1935" s="1" t="s">
        <v>455</v>
      </c>
      <c r="E1935">
        <v>3</v>
      </c>
      <c r="F1935" s="4">
        <v>227.33</v>
      </c>
      <c r="G1935" s="3">
        <v>0</v>
      </c>
      <c r="H1935" s="4">
        <v>55.86</v>
      </c>
    </row>
    <row r="1936" spans="1:8" x14ac:dyDescent="0.3">
      <c r="A1936" s="1" t="s">
        <v>2242</v>
      </c>
      <c r="B1936" s="2">
        <v>44747</v>
      </c>
      <c r="C1936" s="1" t="s">
        <v>380</v>
      </c>
      <c r="D1936" s="1" t="s">
        <v>603</v>
      </c>
      <c r="E1936">
        <v>5</v>
      </c>
      <c r="F1936" s="4">
        <v>1953.15</v>
      </c>
      <c r="G1936" s="3">
        <v>0</v>
      </c>
      <c r="H1936" s="4">
        <v>510.51</v>
      </c>
    </row>
    <row r="1937" spans="1:8" x14ac:dyDescent="0.3">
      <c r="A1937" s="1" t="s">
        <v>2243</v>
      </c>
      <c r="B1937" s="2">
        <v>45432</v>
      </c>
      <c r="C1937" s="1" t="s">
        <v>306</v>
      </c>
      <c r="D1937" s="1" t="s">
        <v>119</v>
      </c>
      <c r="E1937">
        <v>4</v>
      </c>
      <c r="F1937" s="4">
        <v>1652.25</v>
      </c>
      <c r="G1937" s="3">
        <v>0.2</v>
      </c>
      <c r="H1937" s="4">
        <v>412.68</v>
      </c>
    </row>
    <row r="1938" spans="1:8" x14ac:dyDescent="0.3">
      <c r="A1938" s="1" t="s">
        <v>2244</v>
      </c>
      <c r="B1938" s="2">
        <v>44964</v>
      </c>
      <c r="C1938" s="1" t="s">
        <v>290</v>
      </c>
      <c r="D1938" s="1" t="s">
        <v>111</v>
      </c>
      <c r="E1938">
        <v>3</v>
      </c>
      <c r="F1938" s="4">
        <v>1719.84</v>
      </c>
      <c r="G1938" s="3">
        <v>0.2</v>
      </c>
      <c r="H1938" s="4">
        <v>304.62</v>
      </c>
    </row>
    <row r="1939" spans="1:8" x14ac:dyDescent="0.3">
      <c r="A1939" s="1" t="s">
        <v>2245</v>
      </c>
      <c r="B1939" s="2">
        <v>44938</v>
      </c>
      <c r="C1939" s="1" t="s">
        <v>53</v>
      </c>
      <c r="D1939" s="1" t="s">
        <v>215</v>
      </c>
      <c r="E1939">
        <v>2</v>
      </c>
      <c r="F1939" s="4">
        <v>1882.13</v>
      </c>
      <c r="G1939" s="3">
        <v>0.3</v>
      </c>
      <c r="H1939" s="4">
        <v>203.69</v>
      </c>
    </row>
    <row r="1940" spans="1:8" x14ac:dyDescent="0.3">
      <c r="A1940" s="1" t="s">
        <v>2246</v>
      </c>
      <c r="B1940" s="2">
        <v>45178</v>
      </c>
      <c r="C1940" s="1" t="s">
        <v>277</v>
      </c>
      <c r="D1940" s="1" t="s">
        <v>28</v>
      </c>
      <c r="E1940">
        <v>4</v>
      </c>
      <c r="F1940" s="4">
        <v>261.7</v>
      </c>
      <c r="G1940" s="3">
        <v>0.2</v>
      </c>
      <c r="H1940" s="4">
        <v>68.39</v>
      </c>
    </row>
    <row r="1941" spans="1:8" x14ac:dyDescent="0.3">
      <c r="A1941" s="1" t="s">
        <v>2247</v>
      </c>
      <c r="B1941" s="2">
        <v>44666</v>
      </c>
      <c r="C1941" s="1" t="s">
        <v>300</v>
      </c>
      <c r="D1941" s="1" t="s">
        <v>770</v>
      </c>
      <c r="E1941">
        <v>2</v>
      </c>
      <c r="F1941" s="4">
        <v>832.64</v>
      </c>
      <c r="G1941" s="3">
        <v>0.3</v>
      </c>
      <c r="H1941" s="4">
        <v>193</v>
      </c>
    </row>
    <row r="1942" spans="1:8" x14ac:dyDescent="0.3">
      <c r="A1942" s="1" t="s">
        <v>2248</v>
      </c>
      <c r="B1942" s="2">
        <v>45413</v>
      </c>
      <c r="C1942" s="1" t="s">
        <v>285</v>
      </c>
      <c r="D1942" s="1" t="s">
        <v>122</v>
      </c>
      <c r="E1942">
        <v>2</v>
      </c>
      <c r="F1942" s="4">
        <v>234.97</v>
      </c>
      <c r="G1942" s="3">
        <v>0</v>
      </c>
      <c r="H1942" s="4">
        <v>69.36</v>
      </c>
    </row>
    <row r="1943" spans="1:8" x14ac:dyDescent="0.3">
      <c r="A1943" s="1" t="s">
        <v>2249</v>
      </c>
      <c r="B1943" s="2">
        <v>44811</v>
      </c>
      <c r="C1943" s="1" t="s">
        <v>744</v>
      </c>
      <c r="D1943" s="1" t="s">
        <v>369</v>
      </c>
      <c r="E1943">
        <v>1</v>
      </c>
      <c r="F1943" s="4">
        <v>500.51</v>
      </c>
      <c r="G1943" s="3">
        <v>0</v>
      </c>
      <c r="H1943" s="4">
        <v>44.51</v>
      </c>
    </row>
    <row r="1944" spans="1:8" x14ac:dyDescent="0.3">
      <c r="A1944" s="1" t="s">
        <v>2250</v>
      </c>
      <c r="B1944" s="2">
        <v>44745</v>
      </c>
      <c r="C1944" s="1" t="s">
        <v>475</v>
      </c>
      <c r="D1944" s="1" t="s">
        <v>48</v>
      </c>
      <c r="E1944">
        <v>5</v>
      </c>
      <c r="F1944" s="4">
        <v>535.79</v>
      </c>
      <c r="G1944" s="3">
        <v>0</v>
      </c>
      <c r="H1944" s="4">
        <v>57.02</v>
      </c>
    </row>
    <row r="1945" spans="1:8" x14ac:dyDescent="0.3">
      <c r="A1945" s="1" t="s">
        <v>2251</v>
      </c>
      <c r="B1945" s="2">
        <v>44634</v>
      </c>
      <c r="C1945" s="1" t="s">
        <v>662</v>
      </c>
      <c r="D1945" s="1" t="s">
        <v>392</v>
      </c>
      <c r="E1945">
        <v>4</v>
      </c>
      <c r="F1945" s="4">
        <v>991.3</v>
      </c>
      <c r="G1945" s="3">
        <v>0.1</v>
      </c>
      <c r="H1945" s="4">
        <v>102.05</v>
      </c>
    </row>
    <row r="1946" spans="1:8" x14ac:dyDescent="0.3">
      <c r="A1946" s="1" t="s">
        <v>2252</v>
      </c>
      <c r="B1946" s="2">
        <v>44709</v>
      </c>
      <c r="C1946" s="1" t="s">
        <v>102</v>
      </c>
      <c r="D1946" s="1" t="s">
        <v>757</v>
      </c>
      <c r="E1946">
        <v>2</v>
      </c>
      <c r="F1946" s="4">
        <v>610.27</v>
      </c>
      <c r="G1946" s="3">
        <v>0.3</v>
      </c>
      <c r="H1946" s="4">
        <v>151.43</v>
      </c>
    </row>
    <row r="1947" spans="1:8" x14ac:dyDescent="0.3">
      <c r="A1947" s="1" t="s">
        <v>2253</v>
      </c>
      <c r="B1947" s="2">
        <v>45143</v>
      </c>
      <c r="C1947" s="1" t="s">
        <v>208</v>
      </c>
      <c r="D1947" s="1" t="s">
        <v>59</v>
      </c>
      <c r="E1947">
        <v>1</v>
      </c>
      <c r="F1947" s="4">
        <v>291.86</v>
      </c>
      <c r="G1947" s="3">
        <v>0</v>
      </c>
      <c r="H1947" s="4">
        <v>28.23</v>
      </c>
    </row>
    <row r="1948" spans="1:8" x14ac:dyDescent="0.3">
      <c r="A1948" s="1" t="s">
        <v>2254</v>
      </c>
      <c r="B1948" s="2">
        <v>44922</v>
      </c>
      <c r="C1948" s="1" t="s">
        <v>27</v>
      </c>
      <c r="D1948" s="1" t="s">
        <v>392</v>
      </c>
      <c r="E1948">
        <v>3</v>
      </c>
      <c r="F1948" s="4">
        <v>418.23</v>
      </c>
      <c r="G1948" s="3">
        <v>0.3</v>
      </c>
      <c r="H1948" s="4">
        <v>27.88</v>
      </c>
    </row>
    <row r="1949" spans="1:8" x14ac:dyDescent="0.3">
      <c r="A1949" s="1" t="s">
        <v>2255</v>
      </c>
      <c r="B1949" s="2">
        <v>45128</v>
      </c>
      <c r="C1949" s="1" t="s">
        <v>24</v>
      </c>
      <c r="D1949" s="1" t="s">
        <v>51</v>
      </c>
      <c r="E1949">
        <v>4</v>
      </c>
      <c r="F1949" s="4">
        <v>379.82</v>
      </c>
      <c r="G1949" s="3">
        <v>0.2</v>
      </c>
      <c r="H1949" s="4">
        <v>113.81</v>
      </c>
    </row>
    <row r="1950" spans="1:8" x14ac:dyDescent="0.3">
      <c r="A1950" s="1" t="s">
        <v>2256</v>
      </c>
      <c r="B1950" s="2">
        <v>45192</v>
      </c>
      <c r="C1950" s="1" t="s">
        <v>843</v>
      </c>
      <c r="D1950" s="1" t="s">
        <v>218</v>
      </c>
      <c r="E1950">
        <v>2</v>
      </c>
      <c r="F1950" s="4">
        <v>1948.85</v>
      </c>
      <c r="G1950" s="3">
        <v>0.2</v>
      </c>
      <c r="H1950" s="4">
        <v>109.53</v>
      </c>
    </row>
    <row r="1951" spans="1:8" x14ac:dyDescent="0.3">
      <c r="A1951" s="1" t="s">
        <v>2257</v>
      </c>
      <c r="B1951" s="2">
        <v>45375</v>
      </c>
      <c r="C1951" s="1" t="s">
        <v>113</v>
      </c>
      <c r="D1951" s="1" t="s">
        <v>188</v>
      </c>
      <c r="E1951">
        <v>5</v>
      </c>
      <c r="F1951" s="4">
        <v>1542.66</v>
      </c>
      <c r="G1951" s="3">
        <v>0</v>
      </c>
      <c r="H1951" s="4">
        <v>399.26</v>
      </c>
    </row>
    <row r="1952" spans="1:8" x14ac:dyDescent="0.3">
      <c r="A1952" s="1" t="s">
        <v>2258</v>
      </c>
      <c r="B1952" s="2">
        <v>44902</v>
      </c>
      <c r="C1952" s="1" t="s">
        <v>282</v>
      </c>
      <c r="D1952" s="1" t="s">
        <v>132</v>
      </c>
      <c r="E1952">
        <v>1</v>
      </c>
      <c r="F1952" s="4">
        <v>1938.75</v>
      </c>
      <c r="G1952" s="3">
        <v>0.3</v>
      </c>
      <c r="H1952" s="4">
        <v>274.02999999999997</v>
      </c>
    </row>
    <row r="1953" spans="1:8" x14ac:dyDescent="0.3">
      <c r="A1953" s="1" t="s">
        <v>2259</v>
      </c>
      <c r="B1953" s="2">
        <v>45425</v>
      </c>
      <c r="C1953" s="1" t="s">
        <v>336</v>
      </c>
      <c r="D1953" s="1" t="s">
        <v>727</v>
      </c>
      <c r="E1953">
        <v>2</v>
      </c>
      <c r="F1953" s="4">
        <v>935.51</v>
      </c>
      <c r="G1953" s="3">
        <v>0</v>
      </c>
      <c r="H1953" s="4">
        <v>243.61</v>
      </c>
    </row>
    <row r="1954" spans="1:8" x14ac:dyDescent="0.3">
      <c r="A1954" s="1" t="s">
        <v>2260</v>
      </c>
      <c r="B1954" s="2">
        <v>45113</v>
      </c>
      <c r="C1954" s="1" t="s">
        <v>136</v>
      </c>
      <c r="D1954" s="1" t="s">
        <v>163</v>
      </c>
      <c r="E1954">
        <v>5</v>
      </c>
      <c r="F1954" s="4">
        <v>628.9</v>
      </c>
      <c r="G1954" s="3">
        <v>0.2</v>
      </c>
      <c r="H1954" s="4">
        <v>118.65</v>
      </c>
    </row>
    <row r="1955" spans="1:8" x14ac:dyDescent="0.3">
      <c r="A1955" s="1" t="s">
        <v>2261</v>
      </c>
      <c r="B1955" s="2">
        <v>45443</v>
      </c>
      <c r="C1955" s="1" t="s">
        <v>12</v>
      </c>
      <c r="D1955" s="1" t="s">
        <v>147</v>
      </c>
      <c r="E1955">
        <v>2</v>
      </c>
      <c r="F1955" s="4">
        <v>1616.76</v>
      </c>
      <c r="G1955" s="3">
        <v>0</v>
      </c>
      <c r="H1955" s="4">
        <v>445.27</v>
      </c>
    </row>
    <row r="1956" spans="1:8" x14ac:dyDescent="0.3">
      <c r="A1956" s="1" t="s">
        <v>2262</v>
      </c>
      <c r="B1956" s="2">
        <v>45457</v>
      </c>
      <c r="C1956" s="1" t="s">
        <v>482</v>
      </c>
      <c r="D1956" s="1" t="s">
        <v>100</v>
      </c>
      <c r="E1956">
        <v>4</v>
      </c>
      <c r="F1956" s="4">
        <v>719.88</v>
      </c>
      <c r="G1956" s="3">
        <v>0.3</v>
      </c>
      <c r="H1956" s="4">
        <v>202.68</v>
      </c>
    </row>
    <row r="1957" spans="1:8" x14ac:dyDescent="0.3">
      <c r="A1957" s="1" t="s">
        <v>2263</v>
      </c>
      <c r="B1957" s="2">
        <v>45203</v>
      </c>
      <c r="C1957" s="1" t="s">
        <v>82</v>
      </c>
      <c r="D1957" s="1" t="s">
        <v>45</v>
      </c>
      <c r="E1957">
        <v>4</v>
      </c>
      <c r="F1957" s="4">
        <v>668.83</v>
      </c>
      <c r="G1957" s="3">
        <v>0.2</v>
      </c>
      <c r="H1957" s="4">
        <v>34.96</v>
      </c>
    </row>
    <row r="1958" spans="1:8" x14ac:dyDescent="0.3">
      <c r="A1958" s="1" t="s">
        <v>2264</v>
      </c>
      <c r="B1958" s="2">
        <v>44589</v>
      </c>
      <c r="C1958" s="1" t="s">
        <v>355</v>
      </c>
      <c r="D1958" s="1" t="s">
        <v>141</v>
      </c>
      <c r="E1958">
        <v>4</v>
      </c>
      <c r="F1958" s="4">
        <v>541.76</v>
      </c>
      <c r="G1958" s="3">
        <v>0.1</v>
      </c>
      <c r="H1958" s="4">
        <v>37.299999999999997</v>
      </c>
    </row>
    <row r="1959" spans="1:8" x14ac:dyDescent="0.3">
      <c r="A1959" s="1" t="s">
        <v>2265</v>
      </c>
      <c r="B1959" s="2">
        <v>45216</v>
      </c>
      <c r="C1959" s="1" t="s">
        <v>537</v>
      </c>
      <c r="D1959" s="1" t="s">
        <v>301</v>
      </c>
      <c r="E1959">
        <v>1</v>
      </c>
      <c r="F1959" s="4">
        <v>346.39</v>
      </c>
      <c r="G1959" s="3">
        <v>0.2</v>
      </c>
      <c r="H1959" s="4">
        <v>39</v>
      </c>
    </row>
    <row r="1960" spans="1:8" x14ac:dyDescent="0.3">
      <c r="A1960" s="1" t="s">
        <v>2266</v>
      </c>
      <c r="B1960" s="2">
        <v>45358</v>
      </c>
      <c r="C1960" s="1" t="s">
        <v>36</v>
      </c>
      <c r="D1960" s="1" t="s">
        <v>372</v>
      </c>
      <c r="E1960">
        <v>4</v>
      </c>
      <c r="F1960" s="4">
        <v>587.28</v>
      </c>
      <c r="G1960" s="3">
        <v>0.1</v>
      </c>
      <c r="H1960" s="4">
        <v>127.63</v>
      </c>
    </row>
    <row r="1961" spans="1:8" x14ac:dyDescent="0.3">
      <c r="A1961" s="1" t="s">
        <v>2267</v>
      </c>
      <c r="B1961" s="2">
        <v>45150</v>
      </c>
      <c r="C1961" s="1" t="s">
        <v>252</v>
      </c>
      <c r="D1961" s="1" t="s">
        <v>392</v>
      </c>
      <c r="E1961">
        <v>5</v>
      </c>
      <c r="F1961" s="4">
        <v>775.11</v>
      </c>
      <c r="G1961" s="3">
        <v>0</v>
      </c>
      <c r="H1961" s="4">
        <v>210.88</v>
      </c>
    </row>
    <row r="1962" spans="1:8" x14ac:dyDescent="0.3">
      <c r="A1962" s="1" t="s">
        <v>2268</v>
      </c>
      <c r="B1962" s="2">
        <v>45311</v>
      </c>
      <c r="C1962" s="1" t="s">
        <v>217</v>
      </c>
      <c r="D1962" s="1" t="s">
        <v>156</v>
      </c>
      <c r="E1962">
        <v>2</v>
      </c>
      <c r="F1962" s="4">
        <v>1380.59</v>
      </c>
      <c r="G1962" s="3">
        <v>0</v>
      </c>
      <c r="H1962" s="4">
        <v>227.78</v>
      </c>
    </row>
    <row r="1963" spans="1:8" x14ac:dyDescent="0.3">
      <c r="A1963" s="1" t="s">
        <v>2269</v>
      </c>
      <c r="B1963" s="2">
        <v>45138</v>
      </c>
      <c r="C1963" s="1" t="s">
        <v>526</v>
      </c>
      <c r="D1963" s="1" t="s">
        <v>304</v>
      </c>
      <c r="E1963">
        <v>3</v>
      </c>
      <c r="F1963" s="4">
        <v>218.87</v>
      </c>
      <c r="G1963" s="3">
        <v>0.3</v>
      </c>
      <c r="H1963" s="4">
        <v>44.16</v>
      </c>
    </row>
    <row r="1964" spans="1:8" x14ac:dyDescent="0.3">
      <c r="A1964" s="1" t="s">
        <v>2270</v>
      </c>
      <c r="B1964" s="2">
        <v>44872</v>
      </c>
      <c r="C1964" s="1" t="s">
        <v>391</v>
      </c>
      <c r="D1964" s="1" t="s">
        <v>177</v>
      </c>
      <c r="E1964">
        <v>5</v>
      </c>
      <c r="F1964" s="4">
        <v>499.96</v>
      </c>
      <c r="G1964" s="3">
        <v>0.1</v>
      </c>
      <c r="H1964" s="4">
        <v>48.56</v>
      </c>
    </row>
    <row r="1965" spans="1:8" x14ac:dyDescent="0.3">
      <c r="A1965" s="1" t="s">
        <v>2271</v>
      </c>
      <c r="B1965" s="2">
        <v>45207</v>
      </c>
      <c r="C1965" s="1" t="s">
        <v>165</v>
      </c>
      <c r="D1965" s="1" t="s">
        <v>83</v>
      </c>
      <c r="E1965">
        <v>5</v>
      </c>
      <c r="F1965" s="4">
        <v>1637.14</v>
      </c>
      <c r="G1965" s="3">
        <v>0</v>
      </c>
      <c r="H1965" s="4">
        <v>411.32</v>
      </c>
    </row>
    <row r="1966" spans="1:8" x14ac:dyDescent="0.3">
      <c r="A1966" s="1" t="s">
        <v>2272</v>
      </c>
      <c r="B1966" s="2">
        <v>45244</v>
      </c>
      <c r="C1966" s="1" t="s">
        <v>85</v>
      </c>
      <c r="D1966" s="1" t="s">
        <v>72</v>
      </c>
      <c r="E1966">
        <v>4</v>
      </c>
      <c r="F1966" s="4">
        <v>379.15</v>
      </c>
      <c r="G1966" s="3">
        <v>0.1</v>
      </c>
      <c r="H1966" s="4">
        <v>110.65</v>
      </c>
    </row>
    <row r="1967" spans="1:8" x14ac:dyDescent="0.3">
      <c r="A1967" s="1" t="s">
        <v>2273</v>
      </c>
      <c r="B1967" s="2">
        <v>45207</v>
      </c>
      <c r="C1967" s="1" t="s">
        <v>238</v>
      </c>
      <c r="D1967" s="1" t="s">
        <v>86</v>
      </c>
      <c r="E1967">
        <v>1</v>
      </c>
      <c r="F1967" s="4">
        <v>751.03</v>
      </c>
      <c r="G1967" s="3">
        <v>0</v>
      </c>
      <c r="H1967" s="4">
        <v>87.98</v>
      </c>
    </row>
    <row r="1968" spans="1:8" x14ac:dyDescent="0.3">
      <c r="A1968" s="1" t="s">
        <v>2274</v>
      </c>
      <c r="B1968" s="2">
        <v>45211</v>
      </c>
      <c r="C1968" s="1" t="s">
        <v>179</v>
      </c>
      <c r="D1968" s="1" t="s">
        <v>75</v>
      </c>
      <c r="E1968">
        <v>2</v>
      </c>
      <c r="F1968" s="4">
        <v>1742.85</v>
      </c>
      <c r="G1968" s="3">
        <v>0.2</v>
      </c>
      <c r="H1968" s="4">
        <v>302.74</v>
      </c>
    </row>
    <row r="1969" spans="1:8" x14ac:dyDescent="0.3">
      <c r="A1969" s="1" t="s">
        <v>2275</v>
      </c>
      <c r="B1969" s="2">
        <v>45302</v>
      </c>
      <c r="C1969" s="1" t="s">
        <v>744</v>
      </c>
      <c r="D1969" s="1" t="s">
        <v>109</v>
      </c>
      <c r="E1969">
        <v>1</v>
      </c>
      <c r="F1969" s="4">
        <v>394.36</v>
      </c>
      <c r="G1969" s="3">
        <v>0</v>
      </c>
      <c r="H1969" s="4">
        <v>28.21</v>
      </c>
    </row>
    <row r="1970" spans="1:8" x14ac:dyDescent="0.3">
      <c r="A1970" s="1" t="s">
        <v>2276</v>
      </c>
      <c r="B1970" s="2">
        <v>44900</v>
      </c>
      <c r="C1970" s="1" t="s">
        <v>494</v>
      </c>
      <c r="D1970" s="1" t="s">
        <v>22</v>
      </c>
      <c r="E1970">
        <v>2</v>
      </c>
      <c r="F1970" s="4">
        <v>257.2</v>
      </c>
      <c r="G1970" s="3">
        <v>0.3</v>
      </c>
      <c r="H1970" s="4">
        <v>48.81</v>
      </c>
    </row>
    <row r="1971" spans="1:8" x14ac:dyDescent="0.3">
      <c r="A1971" s="1" t="s">
        <v>2277</v>
      </c>
      <c r="B1971" s="2">
        <v>45457</v>
      </c>
      <c r="C1971" s="1" t="s">
        <v>425</v>
      </c>
      <c r="D1971" s="1" t="s">
        <v>215</v>
      </c>
      <c r="E1971">
        <v>2</v>
      </c>
      <c r="F1971" s="4">
        <v>1020.62</v>
      </c>
      <c r="G1971" s="3">
        <v>0.2</v>
      </c>
      <c r="H1971" s="4">
        <v>179.32</v>
      </c>
    </row>
    <row r="1972" spans="1:8" x14ac:dyDescent="0.3">
      <c r="A1972" s="1" t="s">
        <v>2278</v>
      </c>
      <c r="B1972" s="2">
        <v>45420</v>
      </c>
      <c r="C1972" s="1" t="s">
        <v>697</v>
      </c>
      <c r="D1972" s="1" t="s">
        <v>13</v>
      </c>
      <c r="E1972">
        <v>1</v>
      </c>
      <c r="F1972" s="4">
        <v>674.6</v>
      </c>
      <c r="G1972" s="3">
        <v>0.3</v>
      </c>
      <c r="H1972" s="4">
        <v>58.09</v>
      </c>
    </row>
    <row r="1973" spans="1:8" x14ac:dyDescent="0.3">
      <c r="A1973" s="1" t="s">
        <v>2279</v>
      </c>
      <c r="B1973" s="2">
        <v>44799</v>
      </c>
      <c r="C1973" s="1" t="s">
        <v>1061</v>
      </c>
      <c r="D1973" s="1" t="s">
        <v>727</v>
      </c>
      <c r="E1973">
        <v>5</v>
      </c>
      <c r="F1973" s="4">
        <v>1170.48</v>
      </c>
      <c r="G1973" s="3">
        <v>0.2</v>
      </c>
      <c r="H1973" s="4">
        <v>187.88</v>
      </c>
    </row>
    <row r="1974" spans="1:8" x14ac:dyDescent="0.3">
      <c r="A1974" s="1" t="s">
        <v>2280</v>
      </c>
      <c r="B1974" s="2">
        <v>44643</v>
      </c>
      <c r="C1974" s="1" t="s">
        <v>447</v>
      </c>
      <c r="D1974" s="1" t="s">
        <v>263</v>
      </c>
      <c r="E1974">
        <v>2</v>
      </c>
      <c r="F1974" s="4">
        <v>1627.23</v>
      </c>
      <c r="G1974" s="3">
        <v>0.1</v>
      </c>
      <c r="H1974" s="4">
        <v>217.28</v>
      </c>
    </row>
    <row r="1975" spans="1:8" x14ac:dyDescent="0.3">
      <c r="A1975" s="1" t="s">
        <v>2281</v>
      </c>
      <c r="B1975" s="2">
        <v>44652</v>
      </c>
      <c r="C1975" s="1" t="s">
        <v>353</v>
      </c>
      <c r="D1975" s="1" t="s">
        <v>218</v>
      </c>
      <c r="E1975">
        <v>1</v>
      </c>
      <c r="F1975" s="4">
        <v>360.58</v>
      </c>
      <c r="G1975" s="3">
        <v>0.3</v>
      </c>
      <c r="H1975" s="4">
        <v>65.069999999999993</v>
      </c>
    </row>
    <row r="1976" spans="1:8" x14ac:dyDescent="0.3">
      <c r="A1976" s="1" t="s">
        <v>2282</v>
      </c>
      <c r="B1976" s="2">
        <v>44638</v>
      </c>
      <c r="C1976" s="1" t="s">
        <v>598</v>
      </c>
      <c r="D1976" s="1" t="s">
        <v>59</v>
      </c>
      <c r="E1976">
        <v>2</v>
      </c>
      <c r="F1976" s="4">
        <v>1203.33</v>
      </c>
      <c r="G1976" s="3">
        <v>0</v>
      </c>
      <c r="H1976" s="4">
        <v>236.35</v>
      </c>
    </row>
    <row r="1977" spans="1:8" x14ac:dyDescent="0.3">
      <c r="A1977" s="1" t="s">
        <v>2283</v>
      </c>
      <c r="B1977" s="2">
        <v>44701</v>
      </c>
      <c r="C1977" s="1" t="s">
        <v>96</v>
      </c>
      <c r="D1977" s="1" t="s">
        <v>211</v>
      </c>
      <c r="E1977">
        <v>3</v>
      </c>
      <c r="F1977" s="4">
        <v>1060.47</v>
      </c>
      <c r="G1977" s="3">
        <v>0.1</v>
      </c>
      <c r="H1977" s="4">
        <v>55.28</v>
      </c>
    </row>
    <row r="1978" spans="1:8" x14ac:dyDescent="0.3">
      <c r="A1978" s="1" t="s">
        <v>2284</v>
      </c>
      <c r="B1978" s="2">
        <v>44588</v>
      </c>
      <c r="C1978" s="1" t="s">
        <v>94</v>
      </c>
      <c r="D1978" s="1" t="s">
        <v>323</v>
      </c>
      <c r="E1978">
        <v>5</v>
      </c>
      <c r="F1978" s="4">
        <v>373.75</v>
      </c>
      <c r="G1978" s="3">
        <v>0</v>
      </c>
      <c r="H1978" s="4">
        <v>89.79</v>
      </c>
    </row>
    <row r="1979" spans="1:8" x14ac:dyDescent="0.3">
      <c r="A1979" s="1" t="s">
        <v>2285</v>
      </c>
      <c r="B1979" s="2">
        <v>45193</v>
      </c>
      <c r="C1979" s="1" t="s">
        <v>537</v>
      </c>
      <c r="D1979" s="1" t="s">
        <v>288</v>
      </c>
      <c r="E1979">
        <v>4</v>
      </c>
      <c r="F1979" s="4">
        <v>1285.5999999999999</v>
      </c>
      <c r="G1979" s="3">
        <v>0.2</v>
      </c>
      <c r="H1979" s="4">
        <v>293.44</v>
      </c>
    </row>
    <row r="1980" spans="1:8" x14ac:dyDescent="0.3">
      <c r="A1980" s="1" t="s">
        <v>2286</v>
      </c>
      <c r="B1980" s="2">
        <v>45223</v>
      </c>
      <c r="C1980" s="1" t="s">
        <v>265</v>
      </c>
      <c r="D1980" s="1" t="s">
        <v>679</v>
      </c>
      <c r="E1980">
        <v>2</v>
      </c>
      <c r="F1980" s="4">
        <v>619.91999999999996</v>
      </c>
      <c r="G1980" s="3">
        <v>0.2</v>
      </c>
      <c r="H1980" s="4">
        <v>87.76</v>
      </c>
    </row>
    <row r="1981" spans="1:8" x14ac:dyDescent="0.3">
      <c r="A1981" s="1" t="s">
        <v>2287</v>
      </c>
      <c r="B1981" s="2">
        <v>44905</v>
      </c>
      <c r="C1981" s="1" t="s">
        <v>321</v>
      </c>
      <c r="D1981" s="1" t="s">
        <v>215</v>
      </c>
      <c r="E1981">
        <v>3</v>
      </c>
      <c r="F1981" s="4">
        <v>1026.8900000000001</v>
      </c>
      <c r="G1981" s="3">
        <v>0</v>
      </c>
      <c r="H1981" s="4">
        <v>64.930000000000007</v>
      </c>
    </row>
    <row r="1982" spans="1:8" x14ac:dyDescent="0.3">
      <c r="A1982" s="1" t="s">
        <v>2288</v>
      </c>
      <c r="B1982" s="2">
        <v>44781</v>
      </c>
      <c r="C1982" s="1" t="s">
        <v>290</v>
      </c>
      <c r="D1982" s="1" t="s">
        <v>100</v>
      </c>
      <c r="E1982">
        <v>4</v>
      </c>
      <c r="F1982" s="4">
        <v>256.32</v>
      </c>
      <c r="G1982" s="3">
        <v>0</v>
      </c>
      <c r="H1982" s="4">
        <v>61.19</v>
      </c>
    </row>
    <row r="1983" spans="1:8" x14ac:dyDescent="0.3">
      <c r="A1983" s="1" t="s">
        <v>2289</v>
      </c>
      <c r="B1983" s="2">
        <v>44631</v>
      </c>
      <c r="C1983" s="1" t="s">
        <v>834</v>
      </c>
      <c r="D1983" s="1" t="s">
        <v>392</v>
      </c>
      <c r="E1983">
        <v>4</v>
      </c>
      <c r="F1983" s="4">
        <v>973.21</v>
      </c>
      <c r="G1983" s="3">
        <v>0.1</v>
      </c>
      <c r="H1983" s="4">
        <v>281.06</v>
      </c>
    </row>
    <row r="1984" spans="1:8" x14ac:dyDescent="0.3">
      <c r="A1984" s="1" t="s">
        <v>2290</v>
      </c>
      <c r="B1984" s="2">
        <v>44867</v>
      </c>
      <c r="C1984" s="1" t="s">
        <v>927</v>
      </c>
      <c r="D1984" s="1" t="s">
        <v>294</v>
      </c>
      <c r="E1984">
        <v>2</v>
      </c>
      <c r="F1984" s="4">
        <v>682.28</v>
      </c>
      <c r="G1984" s="3">
        <v>0</v>
      </c>
      <c r="H1984" s="4">
        <v>75.08</v>
      </c>
    </row>
    <row r="1985" spans="1:8" x14ac:dyDescent="0.3">
      <c r="A1985" s="1" t="s">
        <v>2291</v>
      </c>
      <c r="B1985" s="2">
        <v>45433</v>
      </c>
      <c r="C1985" s="1" t="s">
        <v>384</v>
      </c>
      <c r="D1985" s="1" t="s">
        <v>502</v>
      </c>
      <c r="E1985">
        <v>1</v>
      </c>
      <c r="F1985" s="4">
        <v>1662.52</v>
      </c>
      <c r="G1985" s="3">
        <v>0.3</v>
      </c>
      <c r="H1985" s="4">
        <v>217.59</v>
      </c>
    </row>
    <row r="1986" spans="1:8" x14ac:dyDescent="0.3">
      <c r="A1986" s="1" t="s">
        <v>2292</v>
      </c>
      <c r="B1986" s="2">
        <v>44788</v>
      </c>
      <c r="C1986" s="1" t="s">
        <v>282</v>
      </c>
      <c r="D1986" s="1" t="s">
        <v>92</v>
      </c>
      <c r="E1986">
        <v>2</v>
      </c>
      <c r="F1986" s="4">
        <v>208.26</v>
      </c>
      <c r="G1986" s="3">
        <v>0.3</v>
      </c>
      <c r="H1986" s="4">
        <v>19.98</v>
      </c>
    </row>
    <row r="1987" spans="1:8" x14ac:dyDescent="0.3">
      <c r="A1987" s="1" t="s">
        <v>2293</v>
      </c>
      <c r="B1987" s="2">
        <v>45345</v>
      </c>
      <c r="C1987" s="1" t="s">
        <v>494</v>
      </c>
      <c r="D1987" s="1" t="s">
        <v>31</v>
      </c>
      <c r="E1987">
        <v>3</v>
      </c>
      <c r="F1987" s="4">
        <v>895.35</v>
      </c>
      <c r="G1987" s="3">
        <v>0</v>
      </c>
      <c r="H1987" s="4">
        <v>173.91</v>
      </c>
    </row>
    <row r="1988" spans="1:8" x14ac:dyDescent="0.3">
      <c r="A1988" s="1" t="s">
        <v>2294</v>
      </c>
      <c r="B1988" s="2">
        <v>44866</v>
      </c>
      <c r="C1988" s="1" t="s">
        <v>442</v>
      </c>
      <c r="D1988" s="1" t="s">
        <v>727</v>
      </c>
      <c r="E1988">
        <v>4</v>
      </c>
      <c r="F1988" s="4">
        <v>971.02</v>
      </c>
      <c r="G1988" s="3">
        <v>0.3</v>
      </c>
      <c r="H1988" s="4">
        <v>86.14</v>
      </c>
    </row>
    <row r="1989" spans="1:8" x14ac:dyDescent="0.3">
      <c r="A1989" s="1" t="s">
        <v>2295</v>
      </c>
      <c r="B1989" s="2">
        <v>45181</v>
      </c>
      <c r="C1989" s="1" t="s">
        <v>63</v>
      </c>
      <c r="D1989" s="1" t="s">
        <v>242</v>
      </c>
      <c r="E1989">
        <v>2</v>
      </c>
      <c r="F1989" s="4">
        <v>1477.51</v>
      </c>
      <c r="G1989" s="3">
        <v>0</v>
      </c>
      <c r="H1989" s="4">
        <v>205.45</v>
      </c>
    </row>
    <row r="1990" spans="1:8" x14ac:dyDescent="0.3">
      <c r="A1990" s="1" t="s">
        <v>2296</v>
      </c>
      <c r="B1990" s="2">
        <v>44697</v>
      </c>
      <c r="C1990" s="1" t="s">
        <v>124</v>
      </c>
      <c r="D1990" s="1" t="s">
        <v>177</v>
      </c>
      <c r="E1990">
        <v>1</v>
      </c>
      <c r="F1990" s="4">
        <v>1191.1500000000001</v>
      </c>
      <c r="G1990" s="3">
        <v>0.1</v>
      </c>
      <c r="H1990" s="4">
        <v>267.12</v>
      </c>
    </row>
    <row r="1991" spans="1:8" x14ac:dyDescent="0.3">
      <c r="A1991" s="1" t="s">
        <v>2297</v>
      </c>
      <c r="B1991" s="2">
        <v>45065</v>
      </c>
      <c r="C1991" s="1" t="s">
        <v>121</v>
      </c>
      <c r="D1991" s="1" t="s">
        <v>70</v>
      </c>
      <c r="E1991">
        <v>2</v>
      </c>
      <c r="F1991" s="4">
        <v>1367.7</v>
      </c>
      <c r="G1991" s="3">
        <v>0.3</v>
      </c>
      <c r="H1991" s="4">
        <v>259.89999999999998</v>
      </c>
    </row>
    <row r="1992" spans="1:8" x14ac:dyDescent="0.3">
      <c r="A1992" s="1" t="s">
        <v>2298</v>
      </c>
      <c r="B1992" s="2">
        <v>45282</v>
      </c>
      <c r="C1992" s="1" t="s">
        <v>332</v>
      </c>
      <c r="D1992" s="1" t="s">
        <v>258</v>
      </c>
      <c r="E1992">
        <v>5</v>
      </c>
      <c r="F1992" s="4">
        <v>1576.39</v>
      </c>
      <c r="G1992" s="3">
        <v>0.3</v>
      </c>
      <c r="H1992" s="4">
        <v>231.12</v>
      </c>
    </row>
    <row r="1993" spans="1:8" x14ac:dyDescent="0.3">
      <c r="A1993" s="1" t="s">
        <v>2299</v>
      </c>
      <c r="B1993" s="2">
        <v>44677</v>
      </c>
      <c r="C1993" s="1" t="s">
        <v>336</v>
      </c>
      <c r="D1993" s="1" t="s">
        <v>43</v>
      </c>
      <c r="E1993">
        <v>1</v>
      </c>
      <c r="F1993" s="4">
        <v>1738.19</v>
      </c>
      <c r="G1993" s="3">
        <v>0</v>
      </c>
      <c r="H1993" s="4">
        <v>269.52999999999997</v>
      </c>
    </row>
    <row r="1994" spans="1:8" x14ac:dyDescent="0.3">
      <c r="A1994" s="1" t="s">
        <v>2300</v>
      </c>
      <c r="B1994" s="2">
        <v>44776</v>
      </c>
      <c r="C1994" s="1" t="s">
        <v>388</v>
      </c>
      <c r="D1994" s="1" t="s">
        <v>19</v>
      </c>
      <c r="E1994">
        <v>3</v>
      </c>
      <c r="F1994" s="4">
        <v>696.36</v>
      </c>
      <c r="G1994" s="3">
        <v>0.3</v>
      </c>
      <c r="H1994" s="4">
        <v>132.68</v>
      </c>
    </row>
    <row r="1995" spans="1:8" x14ac:dyDescent="0.3">
      <c r="A1995" s="1" t="s">
        <v>2301</v>
      </c>
      <c r="B1995" s="2">
        <v>45170</v>
      </c>
      <c r="C1995" s="1" t="s">
        <v>80</v>
      </c>
      <c r="D1995" s="1" t="s">
        <v>61</v>
      </c>
      <c r="E1995">
        <v>4</v>
      </c>
      <c r="F1995" s="4">
        <v>1122.24</v>
      </c>
      <c r="G1995" s="3">
        <v>0.2</v>
      </c>
      <c r="H1995" s="4">
        <v>57.76</v>
      </c>
    </row>
    <row r="1996" spans="1:8" x14ac:dyDescent="0.3">
      <c r="A1996" s="1" t="s">
        <v>2302</v>
      </c>
      <c r="B1996" s="2">
        <v>45262</v>
      </c>
      <c r="C1996" s="1" t="s">
        <v>223</v>
      </c>
      <c r="D1996" s="1" t="s">
        <v>132</v>
      </c>
      <c r="E1996">
        <v>2</v>
      </c>
      <c r="F1996" s="4">
        <v>1696.21</v>
      </c>
      <c r="G1996" s="3">
        <v>0.1</v>
      </c>
      <c r="H1996" s="4">
        <v>118.1</v>
      </c>
    </row>
    <row r="1997" spans="1:8" x14ac:dyDescent="0.3">
      <c r="A1997" s="1" t="s">
        <v>2303</v>
      </c>
      <c r="B1997" s="2">
        <v>44922</v>
      </c>
      <c r="C1997" s="1" t="s">
        <v>271</v>
      </c>
      <c r="D1997" s="1" t="s">
        <v>100</v>
      </c>
      <c r="E1997">
        <v>1</v>
      </c>
      <c r="F1997" s="4">
        <v>1979.96</v>
      </c>
      <c r="G1997" s="3">
        <v>0.1</v>
      </c>
      <c r="H1997" s="4">
        <v>535.21</v>
      </c>
    </row>
    <row r="1998" spans="1:8" x14ac:dyDescent="0.3">
      <c r="A1998" s="1" t="s">
        <v>2304</v>
      </c>
      <c r="B1998" s="2">
        <v>45369</v>
      </c>
      <c r="C1998" s="1" t="s">
        <v>15</v>
      </c>
      <c r="D1998" s="1" t="s">
        <v>263</v>
      </c>
      <c r="E1998">
        <v>5</v>
      </c>
      <c r="F1998" s="4">
        <v>1790.09</v>
      </c>
      <c r="G1998" s="3">
        <v>0.3</v>
      </c>
      <c r="H1998" s="4">
        <v>124.36</v>
      </c>
    </row>
    <row r="1999" spans="1:8" x14ac:dyDescent="0.3">
      <c r="A1999" s="1" t="s">
        <v>2305</v>
      </c>
      <c r="B1999" s="2">
        <v>45199</v>
      </c>
      <c r="C1999" s="1" t="s">
        <v>192</v>
      </c>
      <c r="D1999" s="1" t="s">
        <v>372</v>
      </c>
      <c r="E1999">
        <v>1</v>
      </c>
      <c r="F1999" s="4">
        <v>805.79</v>
      </c>
      <c r="G1999" s="3">
        <v>0.3</v>
      </c>
      <c r="H1999" s="4">
        <v>182.67</v>
      </c>
    </row>
    <row r="2000" spans="1:8" x14ac:dyDescent="0.3">
      <c r="A2000" s="1" t="s">
        <v>2306</v>
      </c>
      <c r="B2000" s="2">
        <v>45206</v>
      </c>
      <c r="C2000" s="1" t="s">
        <v>494</v>
      </c>
      <c r="D2000" s="1" t="s">
        <v>201</v>
      </c>
      <c r="E2000">
        <v>5</v>
      </c>
      <c r="F2000" s="4">
        <v>470.82</v>
      </c>
      <c r="G2000" s="3">
        <v>0.2</v>
      </c>
      <c r="H2000" s="4">
        <v>131.83000000000001</v>
      </c>
    </row>
    <row r="2001" spans="1:8" x14ac:dyDescent="0.3">
      <c r="A2001" s="1" t="s">
        <v>2307</v>
      </c>
      <c r="B2001" s="2">
        <v>44754</v>
      </c>
      <c r="C2001" s="1" t="s">
        <v>106</v>
      </c>
      <c r="D2001" s="1" t="s">
        <v>218</v>
      </c>
      <c r="E2001">
        <v>3</v>
      </c>
      <c r="F2001" s="4">
        <v>1029.8499999999999</v>
      </c>
      <c r="G2001" s="3">
        <v>0.2</v>
      </c>
      <c r="H2001" s="4">
        <v>121.18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0DEED-F9DA-49B3-BF7F-B24CB54B07D3}">
  <dimension ref="A1:D201"/>
  <sheetViews>
    <sheetView topLeftCell="A175" workbookViewId="0">
      <selection activeCell="B1" sqref="B1"/>
    </sheetView>
  </sheetViews>
  <sheetFormatPr defaultRowHeight="14.4" x14ac:dyDescent="0.3"/>
  <cols>
    <col min="1" max="1" width="14.109375" bestFit="1" customWidth="1"/>
    <col min="2" max="2" width="17.44140625" bestFit="1" customWidth="1"/>
    <col min="3" max="3" width="9" bestFit="1" customWidth="1"/>
    <col min="4" max="4" width="11.33203125" bestFit="1" customWidth="1"/>
  </cols>
  <sheetData>
    <row r="1" spans="1:4" x14ac:dyDescent="0.3">
      <c r="A1" t="s">
        <v>2</v>
      </c>
      <c r="B1" t="s">
        <v>2308</v>
      </c>
      <c r="C1" t="s">
        <v>2309</v>
      </c>
      <c r="D1" t="s">
        <v>2310</v>
      </c>
    </row>
    <row r="2" spans="1:4" x14ac:dyDescent="0.3">
      <c r="A2" s="1" t="s">
        <v>182</v>
      </c>
      <c r="B2" s="1" t="s">
        <v>2311</v>
      </c>
      <c r="C2" s="1" t="s">
        <v>2312</v>
      </c>
      <c r="D2" s="1" t="s">
        <v>2313</v>
      </c>
    </row>
    <row r="3" spans="1:4" x14ac:dyDescent="0.3">
      <c r="A3" s="1" t="s">
        <v>902</v>
      </c>
      <c r="B3" s="1" t="s">
        <v>2314</v>
      </c>
      <c r="C3" s="1" t="s">
        <v>2315</v>
      </c>
      <c r="D3" s="1" t="s">
        <v>2316</v>
      </c>
    </row>
    <row r="4" spans="1:4" x14ac:dyDescent="0.3">
      <c r="A4" s="1" t="s">
        <v>9</v>
      </c>
      <c r="B4" s="1" t="s">
        <v>2317</v>
      </c>
      <c r="C4" s="1" t="s">
        <v>2318</v>
      </c>
      <c r="D4" s="1" t="s">
        <v>2313</v>
      </c>
    </row>
    <row r="5" spans="1:4" x14ac:dyDescent="0.3">
      <c r="A5" s="1" t="s">
        <v>671</v>
      </c>
      <c r="B5" s="1" t="s">
        <v>2319</v>
      </c>
      <c r="C5" s="1" t="s">
        <v>2320</v>
      </c>
      <c r="D5" s="1" t="s">
        <v>2321</v>
      </c>
    </row>
    <row r="6" spans="1:4" x14ac:dyDescent="0.3">
      <c r="A6" s="1" t="s">
        <v>673</v>
      </c>
      <c r="B6" s="1" t="s">
        <v>2322</v>
      </c>
      <c r="C6" s="1" t="s">
        <v>2315</v>
      </c>
      <c r="D6" s="1" t="s">
        <v>2313</v>
      </c>
    </row>
    <row r="7" spans="1:4" x14ac:dyDescent="0.3">
      <c r="A7" s="1" t="s">
        <v>231</v>
      </c>
      <c r="B7" s="1" t="s">
        <v>2323</v>
      </c>
      <c r="C7" s="1" t="s">
        <v>2312</v>
      </c>
      <c r="D7" s="1" t="s">
        <v>2313</v>
      </c>
    </row>
    <row r="8" spans="1:4" x14ac:dyDescent="0.3">
      <c r="A8" s="1" t="s">
        <v>547</v>
      </c>
      <c r="B8" s="1" t="s">
        <v>2324</v>
      </c>
      <c r="C8" s="1" t="s">
        <v>2315</v>
      </c>
      <c r="D8" s="1" t="s">
        <v>2321</v>
      </c>
    </row>
    <row r="9" spans="1:4" x14ac:dyDescent="0.3">
      <c r="A9" s="1" t="s">
        <v>203</v>
      </c>
      <c r="B9" s="1" t="s">
        <v>2325</v>
      </c>
      <c r="C9" s="1" t="s">
        <v>2315</v>
      </c>
      <c r="D9" s="1" t="s">
        <v>2321</v>
      </c>
    </row>
    <row r="10" spans="1:4" x14ac:dyDescent="0.3">
      <c r="A10" s="1" t="s">
        <v>657</v>
      </c>
      <c r="B10" s="1" t="s">
        <v>2326</v>
      </c>
      <c r="C10" s="1" t="s">
        <v>2318</v>
      </c>
      <c r="D10" s="1" t="s">
        <v>2321</v>
      </c>
    </row>
    <row r="11" spans="1:4" x14ac:dyDescent="0.3">
      <c r="A11" s="1" t="s">
        <v>444</v>
      </c>
      <c r="B11" s="1" t="s">
        <v>2327</v>
      </c>
      <c r="C11" s="1" t="s">
        <v>2320</v>
      </c>
      <c r="D11" s="1" t="s">
        <v>2321</v>
      </c>
    </row>
    <row r="12" spans="1:4" x14ac:dyDescent="0.3">
      <c r="A12" s="1" t="s">
        <v>36</v>
      </c>
      <c r="B12" s="1" t="s">
        <v>2328</v>
      </c>
      <c r="C12" s="1" t="s">
        <v>2320</v>
      </c>
      <c r="D12" s="1" t="s">
        <v>2313</v>
      </c>
    </row>
    <row r="13" spans="1:4" x14ac:dyDescent="0.3">
      <c r="A13" s="1" t="s">
        <v>145</v>
      </c>
      <c r="B13" s="1" t="s">
        <v>2329</v>
      </c>
      <c r="C13" s="1" t="s">
        <v>2315</v>
      </c>
      <c r="D13" s="1" t="s">
        <v>2321</v>
      </c>
    </row>
    <row r="14" spans="1:4" x14ac:dyDescent="0.3">
      <c r="A14" s="1" t="s">
        <v>198</v>
      </c>
      <c r="B14" s="1" t="s">
        <v>2330</v>
      </c>
      <c r="C14" s="1" t="s">
        <v>2320</v>
      </c>
      <c r="D14" s="1" t="s">
        <v>2313</v>
      </c>
    </row>
    <row r="15" spans="1:4" x14ac:dyDescent="0.3">
      <c r="A15" s="1" t="s">
        <v>678</v>
      </c>
      <c r="B15" s="1" t="s">
        <v>2331</v>
      </c>
      <c r="C15" s="1" t="s">
        <v>2315</v>
      </c>
      <c r="D15" s="1" t="s">
        <v>2313</v>
      </c>
    </row>
    <row r="16" spans="1:4" x14ac:dyDescent="0.3">
      <c r="A16" s="1" t="s">
        <v>176</v>
      </c>
      <c r="B16" s="1" t="s">
        <v>2332</v>
      </c>
      <c r="C16" s="1" t="s">
        <v>2312</v>
      </c>
      <c r="D16" s="1" t="s">
        <v>2316</v>
      </c>
    </row>
    <row r="17" spans="1:4" x14ac:dyDescent="0.3">
      <c r="A17" s="1" t="s">
        <v>280</v>
      </c>
      <c r="B17" s="1" t="s">
        <v>2333</v>
      </c>
      <c r="C17" s="1" t="s">
        <v>2318</v>
      </c>
      <c r="D17" s="1" t="s">
        <v>2321</v>
      </c>
    </row>
    <row r="18" spans="1:4" x14ac:dyDescent="0.3">
      <c r="A18" s="1" t="s">
        <v>647</v>
      </c>
      <c r="B18" s="1" t="s">
        <v>2334</v>
      </c>
      <c r="C18" s="1" t="s">
        <v>2312</v>
      </c>
      <c r="D18" s="1" t="s">
        <v>2313</v>
      </c>
    </row>
    <row r="19" spans="1:4" x14ac:dyDescent="0.3">
      <c r="A19" s="1" t="s">
        <v>449</v>
      </c>
      <c r="B19" s="1" t="s">
        <v>2335</v>
      </c>
      <c r="C19" s="1" t="s">
        <v>2320</v>
      </c>
      <c r="D19" s="1" t="s">
        <v>2313</v>
      </c>
    </row>
    <row r="20" spans="1:4" x14ac:dyDescent="0.3">
      <c r="A20" s="1" t="s">
        <v>205</v>
      </c>
      <c r="B20" s="1" t="s">
        <v>2336</v>
      </c>
      <c r="C20" s="1" t="s">
        <v>2320</v>
      </c>
      <c r="D20" s="1" t="s">
        <v>2313</v>
      </c>
    </row>
    <row r="21" spans="1:4" x14ac:dyDescent="0.3">
      <c r="A21" s="1" t="s">
        <v>290</v>
      </c>
      <c r="B21" s="1" t="s">
        <v>2337</v>
      </c>
      <c r="C21" s="1" t="s">
        <v>2318</v>
      </c>
      <c r="D21" s="1" t="s">
        <v>2316</v>
      </c>
    </row>
    <row r="22" spans="1:4" x14ac:dyDescent="0.3">
      <c r="A22" s="1" t="s">
        <v>1043</v>
      </c>
      <c r="B22" s="1" t="s">
        <v>2338</v>
      </c>
      <c r="C22" s="1" t="s">
        <v>2312</v>
      </c>
      <c r="D22" s="1" t="s">
        <v>2321</v>
      </c>
    </row>
    <row r="23" spans="1:4" x14ac:dyDescent="0.3">
      <c r="A23" s="1" t="s">
        <v>439</v>
      </c>
      <c r="B23" s="1" t="s">
        <v>2339</v>
      </c>
      <c r="C23" s="1" t="s">
        <v>2315</v>
      </c>
      <c r="D23" s="1" t="s">
        <v>2321</v>
      </c>
    </row>
    <row r="24" spans="1:4" x14ac:dyDescent="0.3">
      <c r="A24" s="1" t="s">
        <v>321</v>
      </c>
      <c r="B24" s="1" t="s">
        <v>2340</v>
      </c>
      <c r="C24" s="1" t="s">
        <v>2312</v>
      </c>
      <c r="D24" s="1" t="s">
        <v>2321</v>
      </c>
    </row>
    <row r="25" spans="1:4" x14ac:dyDescent="0.3">
      <c r="A25" s="1" t="s">
        <v>482</v>
      </c>
      <c r="B25" s="1" t="s">
        <v>2341</v>
      </c>
      <c r="C25" s="1" t="s">
        <v>2320</v>
      </c>
      <c r="D25" s="1" t="s">
        <v>2313</v>
      </c>
    </row>
    <row r="26" spans="1:4" x14ac:dyDescent="0.3">
      <c r="A26" s="1" t="s">
        <v>367</v>
      </c>
      <c r="B26" s="1" t="s">
        <v>2342</v>
      </c>
      <c r="C26" s="1" t="s">
        <v>2312</v>
      </c>
      <c r="D26" s="1" t="s">
        <v>2316</v>
      </c>
    </row>
    <row r="27" spans="1:4" x14ac:dyDescent="0.3">
      <c r="A27" s="1" t="s">
        <v>1143</v>
      </c>
      <c r="B27" s="1" t="s">
        <v>2343</v>
      </c>
      <c r="C27" s="1" t="s">
        <v>2315</v>
      </c>
      <c r="D27" s="1" t="s">
        <v>2321</v>
      </c>
    </row>
    <row r="28" spans="1:4" x14ac:dyDescent="0.3">
      <c r="A28" s="1" t="s">
        <v>56</v>
      </c>
      <c r="B28" s="1" t="s">
        <v>2344</v>
      </c>
      <c r="C28" s="1" t="s">
        <v>2312</v>
      </c>
      <c r="D28" s="1" t="s">
        <v>2313</v>
      </c>
    </row>
    <row r="29" spans="1:4" x14ac:dyDescent="0.3">
      <c r="A29" s="1" t="s">
        <v>332</v>
      </c>
      <c r="B29" s="1" t="s">
        <v>2345</v>
      </c>
      <c r="C29" s="1" t="s">
        <v>2320</v>
      </c>
      <c r="D29" s="1" t="s">
        <v>2316</v>
      </c>
    </row>
    <row r="30" spans="1:4" x14ac:dyDescent="0.3">
      <c r="A30" s="1" t="s">
        <v>121</v>
      </c>
      <c r="B30" s="1" t="s">
        <v>2346</v>
      </c>
      <c r="C30" s="1" t="s">
        <v>2318</v>
      </c>
      <c r="D30" s="1" t="s">
        <v>2321</v>
      </c>
    </row>
    <row r="31" spans="1:4" x14ac:dyDescent="0.3">
      <c r="A31" s="1" t="s">
        <v>1093</v>
      </c>
      <c r="B31" s="1" t="s">
        <v>2347</v>
      </c>
      <c r="C31" s="1" t="s">
        <v>2315</v>
      </c>
      <c r="D31" s="1" t="s">
        <v>2316</v>
      </c>
    </row>
    <row r="32" spans="1:4" x14ac:dyDescent="0.3">
      <c r="A32" s="1" t="s">
        <v>978</v>
      </c>
      <c r="B32" s="1" t="s">
        <v>2348</v>
      </c>
      <c r="C32" s="1" t="s">
        <v>2320</v>
      </c>
      <c r="D32" s="1" t="s">
        <v>2316</v>
      </c>
    </row>
    <row r="33" spans="1:4" x14ac:dyDescent="0.3">
      <c r="A33" s="1" t="s">
        <v>466</v>
      </c>
      <c r="B33" s="1" t="s">
        <v>2349</v>
      </c>
      <c r="C33" s="1" t="s">
        <v>2312</v>
      </c>
      <c r="D33" s="1" t="s">
        <v>2316</v>
      </c>
    </row>
    <row r="34" spans="1:4" x14ac:dyDescent="0.3">
      <c r="A34" s="1" t="s">
        <v>739</v>
      </c>
      <c r="B34" s="1" t="s">
        <v>2350</v>
      </c>
      <c r="C34" s="1" t="s">
        <v>2320</v>
      </c>
      <c r="D34" s="1" t="s">
        <v>2313</v>
      </c>
    </row>
    <row r="35" spans="1:4" x14ac:dyDescent="0.3">
      <c r="A35" s="1" t="s">
        <v>138</v>
      </c>
      <c r="B35" s="1" t="s">
        <v>2351</v>
      </c>
      <c r="C35" s="1" t="s">
        <v>2315</v>
      </c>
      <c r="D35" s="1" t="s">
        <v>2313</v>
      </c>
    </row>
    <row r="36" spans="1:4" x14ac:dyDescent="0.3">
      <c r="A36" s="1" t="s">
        <v>610</v>
      </c>
      <c r="B36" s="1" t="s">
        <v>2352</v>
      </c>
      <c r="C36" s="1" t="s">
        <v>2315</v>
      </c>
      <c r="D36" s="1" t="s">
        <v>2316</v>
      </c>
    </row>
    <row r="37" spans="1:4" x14ac:dyDescent="0.3">
      <c r="A37" s="1" t="s">
        <v>319</v>
      </c>
      <c r="B37" s="1" t="s">
        <v>2353</v>
      </c>
      <c r="C37" s="1" t="s">
        <v>2318</v>
      </c>
      <c r="D37" s="1" t="s">
        <v>2313</v>
      </c>
    </row>
    <row r="38" spans="1:4" x14ac:dyDescent="0.3">
      <c r="A38" s="1" t="s">
        <v>134</v>
      </c>
      <c r="B38" s="1" t="s">
        <v>2354</v>
      </c>
      <c r="C38" s="1" t="s">
        <v>2315</v>
      </c>
      <c r="D38" s="1" t="s">
        <v>2316</v>
      </c>
    </row>
    <row r="39" spans="1:4" x14ac:dyDescent="0.3">
      <c r="A39" s="1" t="s">
        <v>268</v>
      </c>
      <c r="B39" s="1" t="s">
        <v>2355</v>
      </c>
      <c r="C39" s="1" t="s">
        <v>2318</v>
      </c>
      <c r="D39" s="1" t="s">
        <v>2313</v>
      </c>
    </row>
    <row r="40" spans="1:4" x14ac:dyDescent="0.3">
      <c r="A40" s="1" t="s">
        <v>118</v>
      </c>
      <c r="B40" s="1" t="s">
        <v>2356</v>
      </c>
      <c r="C40" s="1" t="s">
        <v>2320</v>
      </c>
      <c r="D40" s="1" t="s">
        <v>2313</v>
      </c>
    </row>
    <row r="41" spans="1:4" x14ac:dyDescent="0.3">
      <c r="A41" s="1" t="s">
        <v>77</v>
      </c>
      <c r="B41" s="1" t="s">
        <v>2357</v>
      </c>
      <c r="C41" s="1" t="s">
        <v>2315</v>
      </c>
      <c r="D41" s="1" t="s">
        <v>2313</v>
      </c>
    </row>
    <row r="42" spans="1:4" x14ac:dyDescent="0.3">
      <c r="A42" s="1" t="s">
        <v>709</v>
      </c>
      <c r="B42" s="1" t="s">
        <v>2358</v>
      </c>
      <c r="C42" s="1" t="s">
        <v>2318</v>
      </c>
      <c r="D42" s="1" t="s">
        <v>2316</v>
      </c>
    </row>
    <row r="43" spans="1:4" x14ac:dyDescent="0.3">
      <c r="A43" s="1" t="s">
        <v>436</v>
      </c>
      <c r="B43" s="1" t="s">
        <v>2359</v>
      </c>
      <c r="C43" s="1" t="s">
        <v>2318</v>
      </c>
      <c r="D43" s="1" t="s">
        <v>2313</v>
      </c>
    </row>
    <row r="44" spans="1:4" x14ac:dyDescent="0.3">
      <c r="A44" s="1" t="s">
        <v>475</v>
      </c>
      <c r="B44" s="1" t="s">
        <v>2360</v>
      </c>
      <c r="C44" s="1" t="s">
        <v>2312</v>
      </c>
      <c r="D44" s="1" t="s">
        <v>2321</v>
      </c>
    </row>
    <row r="45" spans="1:4" x14ac:dyDescent="0.3">
      <c r="A45" s="1" t="s">
        <v>313</v>
      </c>
      <c r="B45" s="1" t="s">
        <v>2361</v>
      </c>
      <c r="C45" s="1" t="s">
        <v>2315</v>
      </c>
      <c r="D45" s="1" t="s">
        <v>2316</v>
      </c>
    </row>
    <row r="46" spans="1:4" x14ac:dyDescent="0.3">
      <c r="A46" s="1" t="s">
        <v>442</v>
      </c>
      <c r="B46" s="1" t="s">
        <v>2362</v>
      </c>
      <c r="C46" s="1" t="s">
        <v>2320</v>
      </c>
      <c r="D46" s="1" t="s">
        <v>2313</v>
      </c>
    </row>
    <row r="47" spans="1:4" x14ac:dyDescent="0.3">
      <c r="A47" s="1" t="s">
        <v>58</v>
      </c>
      <c r="B47" s="1" t="s">
        <v>2363</v>
      </c>
      <c r="C47" s="1" t="s">
        <v>2315</v>
      </c>
      <c r="D47" s="1" t="s">
        <v>2321</v>
      </c>
    </row>
    <row r="48" spans="1:4" x14ac:dyDescent="0.3">
      <c r="A48" s="1" t="s">
        <v>184</v>
      </c>
      <c r="B48" s="1" t="s">
        <v>2364</v>
      </c>
      <c r="C48" s="1" t="s">
        <v>2318</v>
      </c>
      <c r="D48" s="1" t="s">
        <v>2313</v>
      </c>
    </row>
    <row r="49" spans="1:4" x14ac:dyDescent="0.3">
      <c r="A49" s="1" t="s">
        <v>273</v>
      </c>
      <c r="B49" s="1" t="s">
        <v>2365</v>
      </c>
      <c r="C49" s="1" t="s">
        <v>2320</v>
      </c>
      <c r="D49" s="1" t="s">
        <v>2321</v>
      </c>
    </row>
    <row r="50" spans="1:4" x14ac:dyDescent="0.3">
      <c r="A50" s="1" t="s">
        <v>136</v>
      </c>
      <c r="B50" s="1" t="s">
        <v>2366</v>
      </c>
      <c r="C50" s="1" t="s">
        <v>2315</v>
      </c>
      <c r="D50" s="1" t="s">
        <v>2313</v>
      </c>
    </row>
    <row r="51" spans="1:4" x14ac:dyDescent="0.3">
      <c r="A51" s="1" t="s">
        <v>174</v>
      </c>
      <c r="B51" s="1" t="s">
        <v>2367</v>
      </c>
      <c r="C51" s="1" t="s">
        <v>2318</v>
      </c>
      <c r="D51" s="1" t="s">
        <v>2313</v>
      </c>
    </row>
    <row r="52" spans="1:4" x14ac:dyDescent="0.3">
      <c r="A52" s="1" t="s">
        <v>300</v>
      </c>
      <c r="B52" s="1" t="s">
        <v>2368</v>
      </c>
      <c r="C52" s="1" t="s">
        <v>2318</v>
      </c>
      <c r="D52" s="1" t="s">
        <v>2316</v>
      </c>
    </row>
    <row r="53" spans="1:4" x14ac:dyDescent="0.3">
      <c r="A53" s="1" t="s">
        <v>434</v>
      </c>
      <c r="B53" s="1" t="s">
        <v>2369</v>
      </c>
      <c r="C53" s="1" t="s">
        <v>2320</v>
      </c>
      <c r="D53" s="1" t="s">
        <v>2321</v>
      </c>
    </row>
    <row r="54" spans="1:4" x14ac:dyDescent="0.3">
      <c r="A54" s="1" t="s">
        <v>271</v>
      </c>
      <c r="B54" s="1" t="s">
        <v>2370</v>
      </c>
      <c r="C54" s="1" t="s">
        <v>2318</v>
      </c>
      <c r="D54" s="1" t="s">
        <v>2321</v>
      </c>
    </row>
    <row r="55" spans="1:4" x14ac:dyDescent="0.3">
      <c r="A55" s="1" t="s">
        <v>330</v>
      </c>
      <c r="B55" s="1" t="s">
        <v>2371</v>
      </c>
      <c r="C55" s="1" t="s">
        <v>2312</v>
      </c>
      <c r="D55" s="1" t="s">
        <v>2313</v>
      </c>
    </row>
    <row r="56" spans="1:4" x14ac:dyDescent="0.3">
      <c r="A56" s="1" t="s">
        <v>786</v>
      </c>
      <c r="B56" s="1" t="s">
        <v>2372</v>
      </c>
      <c r="C56" s="1" t="s">
        <v>2318</v>
      </c>
      <c r="D56" s="1" t="s">
        <v>2321</v>
      </c>
    </row>
    <row r="57" spans="1:4" x14ac:dyDescent="0.3">
      <c r="A57" s="1" t="s">
        <v>605</v>
      </c>
      <c r="B57" s="1" t="s">
        <v>2373</v>
      </c>
      <c r="C57" s="1" t="s">
        <v>2315</v>
      </c>
      <c r="D57" s="1" t="s">
        <v>2321</v>
      </c>
    </row>
    <row r="58" spans="1:4" x14ac:dyDescent="0.3">
      <c r="A58" s="1" t="s">
        <v>334</v>
      </c>
      <c r="B58" s="1" t="s">
        <v>2374</v>
      </c>
      <c r="C58" s="1" t="s">
        <v>2318</v>
      </c>
      <c r="D58" s="1" t="s">
        <v>2313</v>
      </c>
    </row>
    <row r="59" spans="1:4" x14ac:dyDescent="0.3">
      <c r="A59" s="1" t="s">
        <v>338</v>
      </c>
      <c r="B59" s="1" t="s">
        <v>2375</v>
      </c>
      <c r="C59" s="1" t="s">
        <v>2318</v>
      </c>
      <c r="D59" s="1" t="s">
        <v>2321</v>
      </c>
    </row>
    <row r="60" spans="1:4" x14ac:dyDescent="0.3">
      <c r="A60" s="1" t="s">
        <v>165</v>
      </c>
      <c r="B60" s="1" t="s">
        <v>2376</v>
      </c>
      <c r="C60" s="1" t="s">
        <v>2315</v>
      </c>
      <c r="D60" s="1" t="s">
        <v>2321</v>
      </c>
    </row>
    <row r="61" spans="1:4" x14ac:dyDescent="0.3">
      <c r="A61" s="1" t="s">
        <v>154</v>
      </c>
      <c r="B61" s="1" t="s">
        <v>2377</v>
      </c>
      <c r="C61" s="1" t="s">
        <v>2315</v>
      </c>
      <c r="D61" s="1" t="s">
        <v>2321</v>
      </c>
    </row>
    <row r="62" spans="1:4" x14ac:dyDescent="0.3">
      <c r="A62" s="1" t="s">
        <v>487</v>
      </c>
      <c r="B62" s="1" t="s">
        <v>2378</v>
      </c>
      <c r="C62" s="1" t="s">
        <v>2320</v>
      </c>
      <c r="D62" s="1" t="s">
        <v>2316</v>
      </c>
    </row>
    <row r="63" spans="1:4" x14ac:dyDescent="0.3">
      <c r="A63" s="1" t="s">
        <v>350</v>
      </c>
      <c r="B63" s="1" t="s">
        <v>2379</v>
      </c>
      <c r="C63" s="1" t="s">
        <v>2315</v>
      </c>
      <c r="D63" s="1" t="s">
        <v>2321</v>
      </c>
    </row>
    <row r="64" spans="1:4" x14ac:dyDescent="0.3">
      <c r="A64" s="1" t="s">
        <v>260</v>
      </c>
      <c r="B64" s="1" t="s">
        <v>2380</v>
      </c>
      <c r="C64" s="1" t="s">
        <v>2318</v>
      </c>
      <c r="D64" s="1" t="s">
        <v>2313</v>
      </c>
    </row>
    <row r="65" spans="1:4" x14ac:dyDescent="0.3">
      <c r="A65" s="1" t="s">
        <v>607</v>
      </c>
      <c r="B65" s="1" t="s">
        <v>2381</v>
      </c>
      <c r="C65" s="1" t="s">
        <v>2318</v>
      </c>
      <c r="D65" s="1" t="s">
        <v>2313</v>
      </c>
    </row>
    <row r="66" spans="1:4" x14ac:dyDescent="0.3">
      <c r="A66" s="1" t="s">
        <v>554</v>
      </c>
      <c r="B66" s="1" t="s">
        <v>2382</v>
      </c>
      <c r="C66" s="1" t="s">
        <v>2318</v>
      </c>
      <c r="D66" s="1" t="s">
        <v>2313</v>
      </c>
    </row>
    <row r="67" spans="1:4" x14ac:dyDescent="0.3">
      <c r="A67" s="1" t="s">
        <v>39</v>
      </c>
      <c r="B67" s="1" t="s">
        <v>2383</v>
      </c>
      <c r="C67" s="1" t="s">
        <v>2315</v>
      </c>
      <c r="D67" s="1" t="s">
        <v>2313</v>
      </c>
    </row>
    <row r="68" spans="1:4" x14ac:dyDescent="0.3">
      <c r="A68" s="1" t="s">
        <v>21</v>
      </c>
      <c r="B68" s="1" t="s">
        <v>2384</v>
      </c>
      <c r="C68" s="1" t="s">
        <v>2315</v>
      </c>
      <c r="D68" s="1" t="s">
        <v>2321</v>
      </c>
    </row>
    <row r="69" spans="1:4" x14ac:dyDescent="0.3">
      <c r="A69" s="1" t="s">
        <v>425</v>
      </c>
      <c r="B69" s="1" t="s">
        <v>2385</v>
      </c>
      <c r="C69" s="1" t="s">
        <v>2318</v>
      </c>
      <c r="D69" s="1" t="s">
        <v>2316</v>
      </c>
    </row>
    <row r="70" spans="1:4" x14ac:dyDescent="0.3">
      <c r="A70" s="1" t="s">
        <v>744</v>
      </c>
      <c r="B70" s="1" t="s">
        <v>2386</v>
      </c>
      <c r="C70" s="1" t="s">
        <v>2318</v>
      </c>
      <c r="D70" s="1" t="s">
        <v>2313</v>
      </c>
    </row>
    <row r="71" spans="1:4" x14ac:dyDescent="0.3">
      <c r="A71" s="1" t="s">
        <v>622</v>
      </c>
      <c r="B71" s="1" t="s">
        <v>2387</v>
      </c>
      <c r="C71" s="1" t="s">
        <v>2312</v>
      </c>
      <c r="D71" s="1" t="s">
        <v>2316</v>
      </c>
    </row>
    <row r="72" spans="1:4" x14ac:dyDescent="0.3">
      <c r="A72" s="1" t="s">
        <v>685</v>
      </c>
      <c r="B72" s="1" t="s">
        <v>2388</v>
      </c>
      <c r="C72" s="1" t="s">
        <v>2318</v>
      </c>
      <c r="D72" s="1" t="s">
        <v>2316</v>
      </c>
    </row>
    <row r="73" spans="1:4" x14ac:dyDescent="0.3">
      <c r="A73" s="1" t="s">
        <v>129</v>
      </c>
      <c r="B73" s="1" t="s">
        <v>2389</v>
      </c>
      <c r="C73" s="1" t="s">
        <v>2312</v>
      </c>
      <c r="D73" s="1" t="s">
        <v>2321</v>
      </c>
    </row>
    <row r="74" spans="1:4" x14ac:dyDescent="0.3">
      <c r="A74" s="1" t="s">
        <v>252</v>
      </c>
      <c r="B74" s="1" t="s">
        <v>2390</v>
      </c>
      <c r="C74" s="1" t="s">
        <v>2320</v>
      </c>
      <c r="D74" s="1" t="s">
        <v>2316</v>
      </c>
    </row>
    <row r="75" spans="1:4" x14ac:dyDescent="0.3">
      <c r="A75" s="1" t="s">
        <v>489</v>
      </c>
      <c r="B75" s="1" t="s">
        <v>2391</v>
      </c>
      <c r="C75" s="1" t="s">
        <v>2320</v>
      </c>
      <c r="D75" s="1" t="s">
        <v>2316</v>
      </c>
    </row>
    <row r="76" spans="1:4" x14ac:dyDescent="0.3">
      <c r="A76" s="1" t="s">
        <v>91</v>
      </c>
      <c r="B76" s="1" t="s">
        <v>2392</v>
      </c>
      <c r="C76" s="1" t="s">
        <v>2312</v>
      </c>
      <c r="D76" s="1" t="s">
        <v>2316</v>
      </c>
    </row>
    <row r="77" spans="1:4" x14ac:dyDescent="0.3">
      <c r="A77" s="1" t="s">
        <v>729</v>
      </c>
      <c r="B77" s="1" t="s">
        <v>2393</v>
      </c>
      <c r="C77" s="1" t="s">
        <v>2320</v>
      </c>
      <c r="D77" s="1" t="s">
        <v>2316</v>
      </c>
    </row>
    <row r="78" spans="1:4" x14ac:dyDescent="0.3">
      <c r="A78" s="1" t="s">
        <v>246</v>
      </c>
      <c r="B78" s="1" t="s">
        <v>2394</v>
      </c>
      <c r="C78" s="1" t="s">
        <v>2315</v>
      </c>
      <c r="D78" s="1" t="s">
        <v>2316</v>
      </c>
    </row>
    <row r="79" spans="1:4" x14ac:dyDescent="0.3">
      <c r="A79" s="1" t="s">
        <v>42</v>
      </c>
      <c r="B79" s="1" t="s">
        <v>2395</v>
      </c>
      <c r="C79" s="1" t="s">
        <v>2320</v>
      </c>
      <c r="D79" s="1" t="s">
        <v>2321</v>
      </c>
    </row>
    <row r="80" spans="1:4" x14ac:dyDescent="0.3">
      <c r="A80" s="1" t="s">
        <v>347</v>
      </c>
      <c r="B80" s="1" t="s">
        <v>2396</v>
      </c>
      <c r="C80" s="1" t="s">
        <v>2312</v>
      </c>
      <c r="D80" s="1" t="s">
        <v>2316</v>
      </c>
    </row>
    <row r="81" spans="1:4" x14ac:dyDescent="0.3">
      <c r="A81" s="1" t="s">
        <v>723</v>
      </c>
      <c r="B81" s="1" t="s">
        <v>2397</v>
      </c>
      <c r="C81" s="1" t="s">
        <v>2320</v>
      </c>
      <c r="D81" s="1" t="s">
        <v>2316</v>
      </c>
    </row>
    <row r="82" spans="1:4" x14ac:dyDescent="0.3">
      <c r="A82" s="1" t="s">
        <v>306</v>
      </c>
      <c r="B82" s="1" t="s">
        <v>2398</v>
      </c>
      <c r="C82" s="1" t="s">
        <v>2320</v>
      </c>
      <c r="D82" s="1" t="s">
        <v>2313</v>
      </c>
    </row>
    <row r="83" spans="1:4" x14ac:dyDescent="0.3">
      <c r="A83" s="1" t="s">
        <v>697</v>
      </c>
      <c r="B83" s="1" t="s">
        <v>2399</v>
      </c>
      <c r="C83" s="1" t="s">
        <v>2312</v>
      </c>
      <c r="D83" s="1" t="s">
        <v>2321</v>
      </c>
    </row>
    <row r="84" spans="1:4" x14ac:dyDescent="0.3">
      <c r="A84" s="1" t="s">
        <v>537</v>
      </c>
      <c r="B84" s="1" t="s">
        <v>2400</v>
      </c>
      <c r="C84" s="1" t="s">
        <v>2315</v>
      </c>
      <c r="D84" s="1" t="s">
        <v>2313</v>
      </c>
    </row>
    <row r="85" spans="1:4" x14ac:dyDescent="0.3">
      <c r="A85" s="1" t="s">
        <v>662</v>
      </c>
      <c r="B85" s="1" t="s">
        <v>2401</v>
      </c>
      <c r="C85" s="1" t="s">
        <v>2320</v>
      </c>
      <c r="D85" s="1" t="s">
        <v>2321</v>
      </c>
    </row>
    <row r="86" spans="1:4" x14ac:dyDescent="0.3">
      <c r="A86" s="1" t="s">
        <v>124</v>
      </c>
      <c r="B86" s="1" t="s">
        <v>2402</v>
      </c>
      <c r="C86" s="1" t="s">
        <v>2320</v>
      </c>
      <c r="D86" s="1" t="s">
        <v>2313</v>
      </c>
    </row>
    <row r="87" spans="1:4" x14ac:dyDescent="0.3">
      <c r="A87" s="1" t="s">
        <v>598</v>
      </c>
      <c r="B87" s="1" t="s">
        <v>2403</v>
      </c>
      <c r="C87" s="1" t="s">
        <v>2312</v>
      </c>
      <c r="D87" s="1" t="s">
        <v>2316</v>
      </c>
    </row>
    <row r="88" spans="1:4" x14ac:dyDescent="0.3">
      <c r="A88" s="1" t="s">
        <v>388</v>
      </c>
      <c r="B88" s="1" t="s">
        <v>2404</v>
      </c>
      <c r="C88" s="1" t="s">
        <v>2318</v>
      </c>
      <c r="D88" s="1" t="s">
        <v>2316</v>
      </c>
    </row>
    <row r="89" spans="1:4" x14ac:dyDescent="0.3">
      <c r="A89" s="1" t="s">
        <v>208</v>
      </c>
      <c r="B89" s="1" t="s">
        <v>2405</v>
      </c>
      <c r="C89" s="1" t="s">
        <v>2320</v>
      </c>
      <c r="D89" s="1" t="s">
        <v>2316</v>
      </c>
    </row>
    <row r="90" spans="1:4" x14ac:dyDescent="0.3">
      <c r="A90" s="1" t="s">
        <v>1056</v>
      </c>
      <c r="B90" s="1" t="s">
        <v>2406</v>
      </c>
      <c r="C90" s="1" t="s">
        <v>2320</v>
      </c>
      <c r="D90" s="1" t="s">
        <v>2321</v>
      </c>
    </row>
    <row r="91" spans="1:4" x14ac:dyDescent="0.3">
      <c r="A91" s="1" t="s">
        <v>325</v>
      </c>
      <c r="B91" s="1" t="s">
        <v>2407</v>
      </c>
      <c r="C91" s="1" t="s">
        <v>2320</v>
      </c>
      <c r="D91" s="1" t="s">
        <v>2321</v>
      </c>
    </row>
    <row r="92" spans="1:4" x14ac:dyDescent="0.3">
      <c r="A92" s="1" t="s">
        <v>233</v>
      </c>
      <c r="B92" s="1" t="s">
        <v>2408</v>
      </c>
      <c r="C92" s="1" t="s">
        <v>2312</v>
      </c>
      <c r="D92" s="1" t="s">
        <v>2316</v>
      </c>
    </row>
    <row r="93" spans="1:4" x14ac:dyDescent="0.3">
      <c r="A93" s="1" t="s">
        <v>420</v>
      </c>
      <c r="B93" s="1" t="s">
        <v>2409</v>
      </c>
      <c r="C93" s="1" t="s">
        <v>2315</v>
      </c>
      <c r="D93" s="1" t="s">
        <v>2316</v>
      </c>
    </row>
    <row r="94" spans="1:4" x14ac:dyDescent="0.3">
      <c r="A94" s="1" t="s">
        <v>223</v>
      </c>
      <c r="B94" s="1" t="s">
        <v>2410</v>
      </c>
      <c r="C94" s="1" t="s">
        <v>2318</v>
      </c>
      <c r="D94" s="1" t="s">
        <v>2316</v>
      </c>
    </row>
    <row r="95" spans="1:4" x14ac:dyDescent="0.3">
      <c r="A95" s="1" t="s">
        <v>980</v>
      </c>
      <c r="B95" s="1" t="s">
        <v>2411</v>
      </c>
      <c r="C95" s="1" t="s">
        <v>2312</v>
      </c>
      <c r="D95" s="1" t="s">
        <v>2316</v>
      </c>
    </row>
    <row r="96" spans="1:4" x14ac:dyDescent="0.3">
      <c r="A96" s="1" t="s">
        <v>158</v>
      </c>
      <c r="B96" s="1" t="s">
        <v>2412</v>
      </c>
      <c r="C96" s="1" t="s">
        <v>2315</v>
      </c>
      <c r="D96" s="1" t="s">
        <v>2321</v>
      </c>
    </row>
    <row r="97" spans="1:4" x14ac:dyDescent="0.3">
      <c r="A97" s="1" t="s">
        <v>384</v>
      </c>
      <c r="B97" s="1" t="s">
        <v>2413</v>
      </c>
      <c r="C97" s="1" t="s">
        <v>2318</v>
      </c>
      <c r="D97" s="1" t="s">
        <v>2321</v>
      </c>
    </row>
    <row r="98" spans="1:4" x14ac:dyDescent="0.3">
      <c r="A98" s="1" t="s">
        <v>27</v>
      </c>
      <c r="B98" s="1" t="s">
        <v>2414</v>
      </c>
      <c r="C98" s="1" t="s">
        <v>2320</v>
      </c>
      <c r="D98" s="1" t="s">
        <v>2313</v>
      </c>
    </row>
    <row r="99" spans="1:4" x14ac:dyDescent="0.3">
      <c r="A99" s="1" t="s">
        <v>115</v>
      </c>
      <c r="B99" s="1" t="s">
        <v>2415</v>
      </c>
      <c r="C99" s="1" t="s">
        <v>2312</v>
      </c>
      <c r="D99" s="1" t="s">
        <v>2313</v>
      </c>
    </row>
    <row r="100" spans="1:4" x14ac:dyDescent="0.3">
      <c r="A100" s="1" t="s">
        <v>406</v>
      </c>
      <c r="B100" s="1" t="s">
        <v>2416</v>
      </c>
      <c r="C100" s="1" t="s">
        <v>2318</v>
      </c>
      <c r="D100" s="1" t="s">
        <v>2316</v>
      </c>
    </row>
    <row r="101" spans="1:4" x14ac:dyDescent="0.3">
      <c r="A101" s="1" t="s">
        <v>194</v>
      </c>
      <c r="B101" s="1" t="s">
        <v>2417</v>
      </c>
      <c r="C101" s="1" t="s">
        <v>2320</v>
      </c>
      <c r="D101" s="1" t="s">
        <v>2316</v>
      </c>
    </row>
    <row r="102" spans="1:4" x14ac:dyDescent="0.3">
      <c r="A102" s="1" t="s">
        <v>404</v>
      </c>
      <c r="B102" s="1" t="s">
        <v>2418</v>
      </c>
      <c r="C102" s="1" t="s">
        <v>2315</v>
      </c>
      <c r="D102" s="1" t="s">
        <v>2316</v>
      </c>
    </row>
    <row r="103" spans="1:4" x14ac:dyDescent="0.3">
      <c r="A103" s="1" t="s">
        <v>113</v>
      </c>
      <c r="B103" s="1" t="s">
        <v>2419</v>
      </c>
      <c r="C103" s="1" t="s">
        <v>2315</v>
      </c>
      <c r="D103" s="1" t="s">
        <v>2313</v>
      </c>
    </row>
    <row r="104" spans="1:4" x14ac:dyDescent="0.3">
      <c r="A104" s="1" t="s">
        <v>588</v>
      </c>
      <c r="B104" s="1" t="s">
        <v>2420</v>
      </c>
      <c r="C104" s="1" t="s">
        <v>2312</v>
      </c>
      <c r="D104" s="1" t="s">
        <v>2316</v>
      </c>
    </row>
    <row r="105" spans="1:4" x14ac:dyDescent="0.3">
      <c r="A105" s="1" t="s">
        <v>63</v>
      </c>
      <c r="B105" s="1" t="s">
        <v>2421</v>
      </c>
      <c r="C105" s="1" t="s">
        <v>2318</v>
      </c>
      <c r="D105" s="1" t="s">
        <v>2316</v>
      </c>
    </row>
    <row r="106" spans="1:4" x14ac:dyDescent="0.3">
      <c r="A106" s="1" t="s">
        <v>285</v>
      </c>
      <c r="B106" s="1" t="s">
        <v>2422</v>
      </c>
      <c r="C106" s="1" t="s">
        <v>2312</v>
      </c>
      <c r="D106" s="1" t="s">
        <v>2321</v>
      </c>
    </row>
    <row r="107" spans="1:4" x14ac:dyDescent="0.3">
      <c r="A107" s="1" t="s">
        <v>422</v>
      </c>
      <c r="B107" s="1" t="s">
        <v>2423</v>
      </c>
      <c r="C107" s="1" t="s">
        <v>2318</v>
      </c>
      <c r="D107" s="1" t="s">
        <v>2316</v>
      </c>
    </row>
    <row r="108" spans="1:4" x14ac:dyDescent="0.3">
      <c r="A108" s="1" t="s">
        <v>18</v>
      </c>
      <c r="B108" s="1" t="s">
        <v>2424</v>
      </c>
      <c r="C108" s="1" t="s">
        <v>2320</v>
      </c>
      <c r="D108" s="1" t="s">
        <v>2316</v>
      </c>
    </row>
    <row r="109" spans="1:4" x14ac:dyDescent="0.3">
      <c r="A109" s="1" t="s">
        <v>126</v>
      </c>
      <c r="B109" s="1" t="s">
        <v>2425</v>
      </c>
      <c r="C109" s="1" t="s">
        <v>2320</v>
      </c>
      <c r="D109" s="1" t="s">
        <v>2313</v>
      </c>
    </row>
    <row r="110" spans="1:4" x14ac:dyDescent="0.3">
      <c r="A110" s="1" t="s">
        <v>213</v>
      </c>
      <c r="B110" s="1" t="s">
        <v>2426</v>
      </c>
      <c r="C110" s="1" t="s">
        <v>2318</v>
      </c>
      <c r="D110" s="1" t="s">
        <v>2321</v>
      </c>
    </row>
    <row r="111" spans="1:4" x14ac:dyDescent="0.3">
      <c r="A111" s="1" t="s">
        <v>468</v>
      </c>
      <c r="B111" s="1" t="s">
        <v>2427</v>
      </c>
      <c r="C111" s="1" t="s">
        <v>2312</v>
      </c>
      <c r="D111" s="1" t="s">
        <v>2313</v>
      </c>
    </row>
    <row r="112" spans="1:4" x14ac:dyDescent="0.3">
      <c r="A112" s="1" t="s">
        <v>80</v>
      </c>
      <c r="B112" s="1" t="s">
        <v>2428</v>
      </c>
      <c r="C112" s="1" t="s">
        <v>2318</v>
      </c>
      <c r="D112" s="1" t="s">
        <v>2316</v>
      </c>
    </row>
    <row r="113" spans="1:4" x14ac:dyDescent="0.3">
      <c r="A113" s="1" t="s">
        <v>292</v>
      </c>
      <c r="B113" s="1" t="s">
        <v>2429</v>
      </c>
      <c r="C113" s="1" t="s">
        <v>2320</v>
      </c>
      <c r="D113" s="1" t="s">
        <v>2313</v>
      </c>
    </row>
    <row r="114" spans="1:4" x14ac:dyDescent="0.3">
      <c r="A114" s="1" t="s">
        <v>353</v>
      </c>
      <c r="B114" s="1" t="s">
        <v>2430</v>
      </c>
      <c r="C114" s="1" t="s">
        <v>2318</v>
      </c>
      <c r="D114" s="1" t="s">
        <v>2316</v>
      </c>
    </row>
    <row r="115" spans="1:4" x14ac:dyDescent="0.3">
      <c r="A115" s="1" t="s">
        <v>30</v>
      </c>
      <c r="B115" s="1" t="s">
        <v>2431</v>
      </c>
      <c r="C115" s="1" t="s">
        <v>2312</v>
      </c>
      <c r="D115" s="1" t="s">
        <v>2316</v>
      </c>
    </row>
    <row r="116" spans="1:4" x14ac:dyDescent="0.3">
      <c r="A116" s="1" t="s">
        <v>542</v>
      </c>
      <c r="B116" s="1" t="s">
        <v>2432</v>
      </c>
      <c r="C116" s="1" t="s">
        <v>2315</v>
      </c>
      <c r="D116" s="1" t="s">
        <v>2316</v>
      </c>
    </row>
    <row r="117" spans="1:4" x14ac:dyDescent="0.3">
      <c r="A117" s="1" t="s">
        <v>412</v>
      </c>
      <c r="B117" s="1" t="s">
        <v>2433</v>
      </c>
      <c r="C117" s="1" t="s">
        <v>2320</v>
      </c>
      <c r="D117" s="1" t="s">
        <v>2313</v>
      </c>
    </row>
    <row r="118" spans="1:4" x14ac:dyDescent="0.3">
      <c r="A118" s="1" t="s">
        <v>569</v>
      </c>
      <c r="B118" s="1" t="s">
        <v>2434</v>
      </c>
      <c r="C118" s="1" t="s">
        <v>2315</v>
      </c>
      <c r="D118" s="1" t="s">
        <v>2313</v>
      </c>
    </row>
    <row r="119" spans="1:4" x14ac:dyDescent="0.3">
      <c r="A119" s="1" t="s">
        <v>510</v>
      </c>
      <c r="B119" s="1" t="s">
        <v>2435</v>
      </c>
      <c r="C119" s="1" t="s">
        <v>2312</v>
      </c>
      <c r="D119" s="1" t="s">
        <v>2313</v>
      </c>
    </row>
    <row r="120" spans="1:4" x14ac:dyDescent="0.3">
      <c r="A120" s="1" t="s">
        <v>282</v>
      </c>
      <c r="B120" s="1" t="s">
        <v>2436</v>
      </c>
      <c r="C120" s="1" t="s">
        <v>2312</v>
      </c>
      <c r="D120" s="1" t="s">
        <v>2316</v>
      </c>
    </row>
    <row r="121" spans="1:4" x14ac:dyDescent="0.3">
      <c r="A121" s="1" t="s">
        <v>402</v>
      </c>
      <c r="B121" s="1" t="s">
        <v>2437</v>
      </c>
      <c r="C121" s="1" t="s">
        <v>2315</v>
      </c>
      <c r="D121" s="1" t="s">
        <v>2313</v>
      </c>
    </row>
    <row r="122" spans="1:4" x14ac:dyDescent="0.3">
      <c r="A122" s="1" t="s">
        <v>99</v>
      </c>
      <c r="B122" s="1" t="s">
        <v>2438</v>
      </c>
      <c r="C122" s="1" t="s">
        <v>2318</v>
      </c>
      <c r="D122" s="1" t="s">
        <v>2321</v>
      </c>
    </row>
    <row r="123" spans="1:4" x14ac:dyDescent="0.3">
      <c r="A123" s="1" t="s">
        <v>50</v>
      </c>
      <c r="B123" s="1" t="s">
        <v>2439</v>
      </c>
      <c r="C123" s="1" t="s">
        <v>2318</v>
      </c>
      <c r="D123" s="1" t="s">
        <v>2321</v>
      </c>
    </row>
    <row r="124" spans="1:4" x14ac:dyDescent="0.3">
      <c r="A124" s="1" t="s">
        <v>179</v>
      </c>
      <c r="B124" s="1" t="s">
        <v>2440</v>
      </c>
      <c r="C124" s="1" t="s">
        <v>2320</v>
      </c>
      <c r="D124" s="1" t="s">
        <v>2313</v>
      </c>
    </row>
    <row r="125" spans="1:4" x14ac:dyDescent="0.3">
      <c r="A125" s="1" t="s">
        <v>244</v>
      </c>
      <c r="B125" s="1" t="s">
        <v>2441</v>
      </c>
      <c r="C125" s="1" t="s">
        <v>2312</v>
      </c>
      <c r="D125" s="1" t="s">
        <v>2321</v>
      </c>
    </row>
    <row r="126" spans="1:4" x14ac:dyDescent="0.3">
      <c r="A126" s="1" t="s">
        <v>160</v>
      </c>
      <c r="B126" s="1" t="s">
        <v>2442</v>
      </c>
      <c r="C126" s="1" t="s">
        <v>2318</v>
      </c>
      <c r="D126" s="1" t="s">
        <v>2321</v>
      </c>
    </row>
    <row r="127" spans="1:4" x14ac:dyDescent="0.3">
      <c r="A127" s="1" t="s">
        <v>248</v>
      </c>
      <c r="B127" s="1" t="s">
        <v>2443</v>
      </c>
      <c r="C127" s="1" t="s">
        <v>2318</v>
      </c>
      <c r="D127" s="1" t="s">
        <v>2321</v>
      </c>
    </row>
    <row r="128" spans="1:4" x14ac:dyDescent="0.3">
      <c r="A128" s="1" t="s">
        <v>47</v>
      </c>
      <c r="B128" s="1" t="s">
        <v>2444</v>
      </c>
      <c r="C128" s="1" t="s">
        <v>2315</v>
      </c>
      <c r="D128" s="1" t="s">
        <v>2313</v>
      </c>
    </row>
    <row r="129" spans="1:4" x14ac:dyDescent="0.3">
      <c r="A129" s="1" t="s">
        <v>691</v>
      </c>
      <c r="B129" s="1" t="s">
        <v>2445</v>
      </c>
      <c r="C129" s="1" t="s">
        <v>2315</v>
      </c>
      <c r="D129" s="1" t="s">
        <v>2321</v>
      </c>
    </row>
    <row r="130" spans="1:4" x14ac:dyDescent="0.3">
      <c r="A130" s="1" t="s">
        <v>102</v>
      </c>
      <c r="B130" s="1" t="s">
        <v>2446</v>
      </c>
      <c r="C130" s="1" t="s">
        <v>2315</v>
      </c>
      <c r="D130" s="1" t="s">
        <v>2321</v>
      </c>
    </row>
    <row r="131" spans="1:4" x14ac:dyDescent="0.3">
      <c r="A131" s="1" t="s">
        <v>803</v>
      </c>
      <c r="B131" s="1" t="s">
        <v>2447</v>
      </c>
      <c r="C131" s="1" t="s">
        <v>2312</v>
      </c>
      <c r="D131" s="1" t="s">
        <v>2313</v>
      </c>
    </row>
    <row r="132" spans="1:4" x14ac:dyDescent="0.3">
      <c r="A132" s="1" t="s">
        <v>24</v>
      </c>
      <c r="B132" s="1" t="s">
        <v>2448</v>
      </c>
      <c r="C132" s="1" t="s">
        <v>2320</v>
      </c>
      <c r="D132" s="1" t="s">
        <v>2313</v>
      </c>
    </row>
    <row r="133" spans="1:4" x14ac:dyDescent="0.3">
      <c r="A133" s="1" t="s">
        <v>533</v>
      </c>
      <c r="B133" s="1" t="s">
        <v>2449</v>
      </c>
      <c r="C133" s="1" t="s">
        <v>2315</v>
      </c>
      <c r="D133" s="1" t="s">
        <v>2313</v>
      </c>
    </row>
    <row r="134" spans="1:4" x14ac:dyDescent="0.3">
      <c r="A134" s="1" t="s">
        <v>683</v>
      </c>
      <c r="B134" s="1" t="s">
        <v>2450</v>
      </c>
      <c r="C134" s="1" t="s">
        <v>2318</v>
      </c>
      <c r="D134" s="1" t="s">
        <v>2321</v>
      </c>
    </row>
    <row r="135" spans="1:4" x14ac:dyDescent="0.3">
      <c r="A135" s="1" t="s">
        <v>316</v>
      </c>
      <c r="B135" s="1" t="s">
        <v>2451</v>
      </c>
      <c r="C135" s="1" t="s">
        <v>2312</v>
      </c>
      <c r="D135" s="1" t="s">
        <v>2316</v>
      </c>
    </row>
    <row r="136" spans="1:4" x14ac:dyDescent="0.3">
      <c r="A136" s="1" t="s">
        <v>104</v>
      </c>
      <c r="B136" s="1" t="s">
        <v>2452</v>
      </c>
      <c r="C136" s="1" t="s">
        <v>2315</v>
      </c>
      <c r="D136" s="1" t="s">
        <v>2321</v>
      </c>
    </row>
    <row r="137" spans="1:4" x14ac:dyDescent="0.3">
      <c r="A137" s="1" t="s">
        <v>447</v>
      </c>
      <c r="B137" s="1" t="s">
        <v>2453</v>
      </c>
      <c r="C137" s="1" t="s">
        <v>2315</v>
      </c>
      <c r="D137" s="1" t="s">
        <v>2321</v>
      </c>
    </row>
    <row r="138" spans="1:4" x14ac:dyDescent="0.3">
      <c r="A138" s="1" t="s">
        <v>220</v>
      </c>
      <c r="B138" s="1" t="s">
        <v>2454</v>
      </c>
      <c r="C138" s="1" t="s">
        <v>2315</v>
      </c>
      <c r="D138" s="1" t="s">
        <v>2321</v>
      </c>
    </row>
    <row r="139" spans="1:4" x14ac:dyDescent="0.3">
      <c r="A139" s="1" t="s">
        <v>169</v>
      </c>
      <c r="B139" s="1" t="s">
        <v>2455</v>
      </c>
      <c r="C139" s="1" t="s">
        <v>2318</v>
      </c>
      <c r="D139" s="1" t="s">
        <v>2316</v>
      </c>
    </row>
    <row r="140" spans="1:4" x14ac:dyDescent="0.3">
      <c r="A140" s="1" t="s">
        <v>200</v>
      </c>
      <c r="B140" s="1" t="s">
        <v>2456</v>
      </c>
      <c r="C140" s="1" t="s">
        <v>2318</v>
      </c>
      <c r="D140" s="1" t="s">
        <v>2313</v>
      </c>
    </row>
    <row r="141" spans="1:4" x14ac:dyDescent="0.3">
      <c r="A141" s="1" t="s">
        <v>15</v>
      </c>
      <c r="B141" s="1" t="s">
        <v>2457</v>
      </c>
      <c r="C141" s="1" t="s">
        <v>2315</v>
      </c>
      <c r="D141" s="1" t="s">
        <v>2321</v>
      </c>
    </row>
    <row r="142" spans="1:4" x14ac:dyDescent="0.3">
      <c r="A142" s="1" t="s">
        <v>491</v>
      </c>
      <c r="B142" s="1" t="s">
        <v>2458</v>
      </c>
      <c r="C142" s="1" t="s">
        <v>2315</v>
      </c>
      <c r="D142" s="1" t="s">
        <v>2321</v>
      </c>
    </row>
    <row r="143" spans="1:4" x14ac:dyDescent="0.3">
      <c r="A143" s="1" t="s">
        <v>344</v>
      </c>
      <c r="B143" s="1" t="s">
        <v>2459</v>
      </c>
      <c r="C143" s="1" t="s">
        <v>2320</v>
      </c>
      <c r="D143" s="1" t="s">
        <v>2316</v>
      </c>
    </row>
    <row r="144" spans="1:4" x14ac:dyDescent="0.3">
      <c r="A144" s="1" t="s">
        <v>371</v>
      </c>
      <c r="B144" s="1" t="s">
        <v>2460</v>
      </c>
      <c r="C144" s="1" t="s">
        <v>2318</v>
      </c>
      <c r="D144" s="1" t="s">
        <v>2321</v>
      </c>
    </row>
    <row r="145" spans="1:4" x14ac:dyDescent="0.3">
      <c r="A145" s="1" t="s">
        <v>1061</v>
      </c>
      <c r="B145" s="1" t="s">
        <v>2461</v>
      </c>
      <c r="C145" s="1" t="s">
        <v>2318</v>
      </c>
      <c r="D145" s="1" t="s">
        <v>2313</v>
      </c>
    </row>
    <row r="146" spans="1:4" x14ac:dyDescent="0.3">
      <c r="A146" s="1" t="s">
        <v>238</v>
      </c>
      <c r="B146" s="1" t="s">
        <v>2462</v>
      </c>
      <c r="C146" s="1" t="s">
        <v>2315</v>
      </c>
      <c r="D146" s="1" t="s">
        <v>2321</v>
      </c>
    </row>
    <row r="147" spans="1:4" x14ac:dyDescent="0.3">
      <c r="A147" s="1" t="s">
        <v>834</v>
      </c>
      <c r="B147" s="1" t="s">
        <v>2463</v>
      </c>
      <c r="C147" s="1" t="s">
        <v>2312</v>
      </c>
      <c r="D147" s="1" t="s">
        <v>2313</v>
      </c>
    </row>
    <row r="148" spans="1:4" x14ac:dyDescent="0.3">
      <c r="A148" s="1" t="s">
        <v>529</v>
      </c>
      <c r="B148" s="1" t="s">
        <v>2464</v>
      </c>
      <c r="C148" s="1" t="s">
        <v>2312</v>
      </c>
      <c r="D148" s="1" t="s">
        <v>2321</v>
      </c>
    </row>
    <row r="149" spans="1:4" x14ac:dyDescent="0.3">
      <c r="A149" s="1" t="s">
        <v>82</v>
      </c>
      <c r="B149" s="1" t="s">
        <v>2465</v>
      </c>
      <c r="C149" s="1" t="s">
        <v>2318</v>
      </c>
      <c r="D149" s="1" t="s">
        <v>2321</v>
      </c>
    </row>
    <row r="150" spans="1:4" x14ac:dyDescent="0.3">
      <c r="A150" s="1" t="s">
        <v>576</v>
      </c>
      <c r="B150" s="1" t="s">
        <v>2466</v>
      </c>
      <c r="C150" s="1" t="s">
        <v>2315</v>
      </c>
      <c r="D150" s="1" t="s">
        <v>2321</v>
      </c>
    </row>
    <row r="151" spans="1:4" x14ac:dyDescent="0.3">
      <c r="A151" s="1" t="s">
        <v>225</v>
      </c>
      <c r="B151" s="1" t="s">
        <v>2467</v>
      </c>
      <c r="C151" s="1" t="s">
        <v>2320</v>
      </c>
      <c r="D151" s="1" t="s">
        <v>2313</v>
      </c>
    </row>
    <row r="152" spans="1:4" x14ac:dyDescent="0.3">
      <c r="A152" s="1" t="s">
        <v>328</v>
      </c>
      <c r="B152" s="1" t="s">
        <v>2468</v>
      </c>
      <c r="C152" s="1" t="s">
        <v>2312</v>
      </c>
      <c r="D152" s="1" t="s">
        <v>2321</v>
      </c>
    </row>
    <row r="153" spans="1:4" x14ac:dyDescent="0.3">
      <c r="A153" s="1" t="s">
        <v>396</v>
      </c>
      <c r="B153" s="1" t="s">
        <v>2469</v>
      </c>
      <c r="C153" s="1" t="s">
        <v>2315</v>
      </c>
      <c r="D153" s="1" t="s">
        <v>2316</v>
      </c>
    </row>
    <row r="154" spans="1:4" x14ac:dyDescent="0.3">
      <c r="A154" s="1" t="s">
        <v>277</v>
      </c>
      <c r="B154" s="1" t="s">
        <v>2470</v>
      </c>
      <c r="C154" s="1" t="s">
        <v>2320</v>
      </c>
      <c r="D154" s="1" t="s">
        <v>2321</v>
      </c>
    </row>
    <row r="155" spans="1:4" x14ac:dyDescent="0.3">
      <c r="A155" s="1" t="s">
        <v>559</v>
      </c>
      <c r="B155" s="1" t="s">
        <v>2471</v>
      </c>
      <c r="C155" s="1" t="s">
        <v>2312</v>
      </c>
      <c r="D155" s="1" t="s">
        <v>2313</v>
      </c>
    </row>
    <row r="156" spans="1:4" x14ac:dyDescent="0.3">
      <c r="A156" s="1" t="s">
        <v>53</v>
      </c>
      <c r="B156" s="1" t="s">
        <v>2472</v>
      </c>
      <c r="C156" s="1" t="s">
        <v>2315</v>
      </c>
      <c r="D156" s="1" t="s">
        <v>2316</v>
      </c>
    </row>
    <row r="157" spans="1:4" x14ac:dyDescent="0.3">
      <c r="A157" s="1" t="s">
        <v>1081</v>
      </c>
      <c r="B157" s="1" t="s">
        <v>2473</v>
      </c>
      <c r="C157" s="1" t="s">
        <v>2320</v>
      </c>
      <c r="D157" s="1" t="s">
        <v>2316</v>
      </c>
    </row>
    <row r="158" spans="1:4" x14ac:dyDescent="0.3">
      <c r="A158" s="1" t="s">
        <v>66</v>
      </c>
      <c r="B158" s="1" t="s">
        <v>2474</v>
      </c>
      <c r="C158" s="1" t="s">
        <v>2318</v>
      </c>
      <c r="D158" s="1" t="s">
        <v>2321</v>
      </c>
    </row>
    <row r="159" spans="1:4" x14ac:dyDescent="0.3">
      <c r="A159" s="1" t="s">
        <v>287</v>
      </c>
      <c r="B159" s="1" t="s">
        <v>2475</v>
      </c>
      <c r="C159" s="1" t="s">
        <v>2312</v>
      </c>
      <c r="D159" s="1" t="s">
        <v>2313</v>
      </c>
    </row>
    <row r="160" spans="1:4" x14ac:dyDescent="0.3">
      <c r="A160" s="1" t="s">
        <v>800</v>
      </c>
      <c r="B160" s="1" t="s">
        <v>2476</v>
      </c>
      <c r="C160" s="1" t="s">
        <v>2320</v>
      </c>
      <c r="D160" s="1" t="s">
        <v>2321</v>
      </c>
    </row>
    <row r="161" spans="1:4" x14ac:dyDescent="0.3">
      <c r="A161" s="1" t="s">
        <v>74</v>
      </c>
      <c r="B161" s="1" t="s">
        <v>2477</v>
      </c>
      <c r="C161" s="1" t="s">
        <v>2320</v>
      </c>
      <c r="D161" s="1" t="s">
        <v>2313</v>
      </c>
    </row>
    <row r="162" spans="1:4" x14ac:dyDescent="0.3">
      <c r="A162" s="1" t="s">
        <v>192</v>
      </c>
      <c r="B162" s="1" t="s">
        <v>2478</v>
      </c>
      <c r="C162" s="1" t="s">
        <v>2312</v>
      </c>
      <c r="D162" s="1" t="s">
        <v>2321</v>
      </c>
    </row>
    <row r="163" spans="1:4" x14ac:dyDescent="0.3">
      <c r="A163" s="1" t="s">
        <v>394</v>
      </c>
      <c r="B163" s="1" t="s">
        <v>2479</v>
      </c>
      <c r="C163" s="1" t="s">
        <v>2315</v>
      </c>
      <c r="D163" s="1" t="s">
        <v>2316</v>
      </c>
    </row>
    <row r="164" spans="1:4" x14ac:dyDescent="0.3">
      <c r="A164" s="1" t="s">
        <v>190</v>
      </c>
      <c r="B164" s="1" t="s">
        <v>2480</v>
      </c>
      <c r="C164" s="1" t="s">
        <v>2318</v>
      </c>
      <c r="D164" s="1" t="s">
        <v>2316</v>
      </c>
    </row>
    <row r="165" spans="1:4" x14ac:dyDescent="0.3">
      <c r="A165" s="1" t="s">
        <v>637</v>
      </c>
      <c r="B165" s="1" t="s">
        <v>2481</v>
      </c>
      <c r="C165" s="1" t="s">
        <v>2320</v>
      </c>
      <c r="D165" s="1" t="s">
        <v>2321</v>
      </c>
    </row>
    <row r="166" spans="1:4" x14ac:dyDescent="0.3">
      <c r="A166" s="1" t="s">
        <v>946</v>
      </c>
      <c r="B166" s="1" t="s">
        <v>2482</v>
      </c>
      <c r="C166" s="1" t="s">
        <v>2312</v>
      </c>
      <c r="D166" s="1" t="s">
        <v>2321</v>
      </c>
    </row>
    <row r="167" spans="1:4" x14ac:dyDescent="0.3">
      <c r="A167" s="1" t="s">
        <v>217</v>
      </c>
      <c r="B167" s="1" t="s">
        <v>2483</v>
      </c>
      <c r="C167" s="1" t="s">
        <v>2318</v>
      </c>
      <c r="D167" s="1" t="s">
        <v>2321</v>
      </c>
    </row>
    <row r="168" spans="1:4" x14ac:dyDescent="0.3">
      <c r="A168" s="1" t="s">
        <v>505</v>
      </c>
      <c r="B168" s="1" t="s">
        <v>2484</v>
      </c>
      <c r="C168" s="1" t="s">
        <v>2320</v>
      </c>
      <c r="D168" s="1" t="s">
        <v>2313</v>
      </c>
    </row>
    <row r="169" spans="1:4" x14ac:dyDescent="0.3">
      <c r="A169" s="1" t="s">
        <v>336</v>
      </c>
      <c r="B169" s="1" t="s">
        <v>2485</v>
      </c>
      <c r="C169" s="1" t="s">
        <v>2312</v>
      </c>
      <c r="D169" s="1" t="s">
        <v>2313</v>
      </c>
    </row>
    <row r="170" spans="1:4" x14ac:dyDescent="0.3">
      <c r="A170" s="1" t="s">
        <v>380</v>
      </c>
      <c r="B170" s="1" t="s">
        <v>2486</v>
      </c>
      <c r="C170" s="1" t="s">
        <v>2312</v>
      </c>
      <c r="D170" s="1" t="s">
        <v>2316</v>
      </c>
    </row>
    <row r="171" spans="1:4" x14ac:dyDescent="0.3">
      <c r="A171" s="1" t="s">
        <v>579</v>
      </c>
      <c r="B171" s="1" t="s">
        <v>2487</v>
      </c>
      <c r="C171" s="1" t="s">
        <v>2315</v>
      </c>
      <c r="D171" s="1" t="s">
        <v>2321</v>
      </c>
    </row>
    <row r="172" spans="1:4" x14ac:dyDescent="0.3">
      <c r="A172" s="1" t="s">
        <v>94</v>
      </c>
      <c r="B172" s="1" t="s">
        <v>2488</v>
      </c>
      <c r="C172" s="1" t="s">
        <v>2320</v>
      </c>
      <c r="D172" s="1" t="s">
        <v>2316</v>
      </c>
    </row>
    <row r="173" spans="1:4" x14ac:dyDescent="0.3">
      <c r="A173" s="1" t="s">
        <v>464</v>
      </c>
      <c r="B173" s="1" t="s">
        <v>2489</v>
      </c>
      <c r="C173" s="1" t="s">
        <v>2315</v>
      </c>
      <c r="D173" s="1" t="s">
        <v>2321</v>
      </c>
    </row>
    <row r="174" spans="1:4" x14ac:dyDescent="0.3">
      <c r="A174" s="1" t="s">
        <v>520</v>
      </c>
      <c r="B174" s="1" t="s">
        <v>2490</v>
      </c>
      <c r="C174" s="1" t="s">
        <v>2315</v>
      </c>
      <c r="D174" s="1" t="s">
        <v>2313</v>
      </c>
    </row>
    <row r="175" spans="1:4" x14ac:dyDescent="0.3">
      <c r="A175" s="1" t="s">
        <v>88</v>
      </c>
      <c r="B175" s="1" t="s">
        <v>2491</v>
      </c>
      <c r="C175" s="1" t="s">
        <v>2315</v>
      </c>
      <c r="D175" s="1" t="s">
        <v>2321</v>
      </c>
    </row>
    <row r="176" spans="1:4" x14ac:dyDescent="0.3">
      <c r="A176" s="1" t="s">
        <v>417</v>
      </c>
      <c r="B176" s="1" t="s">
        <v>2492</v>
      </c>
      <c r="C176" s="1" t="s">
        <v>2318</v>
      </c>
      <c r="D176" s="1" t="s">
        <v>2313</v>
      </c>
    </row>
    <row r="177" spans="1:4" x14ac:dyDescent="0.3">
      <c r="A177" s="1" t="s">
        <v>927</v>
      </c>
      <c r="B177" s="1" t="s">
        <v>2493</v>
      </c>
      <c r="C177" s="1" t="s">
        <v>2312</v>
      </c>
      <c r="D177" s="1" t="s">
        <v>2321</v>
      </c>
    </row>
    <row r="178" spans="1:4" x14ac:dyDescent="0.3">
      <c r="A178" s="1" t="s">
        <v>265</v>
      </c>
      <c r="B178" s="1" t="s">
        <v>2494</v>
      </c>
      <c r="C178" s="1" t="s">
        <v>2318</v>
      </c>
      <c r="D178" s="1" t="s">
        <v>2313</v>
      </c>
    </row>
    <row r="179" spans="1:4" x14ac:dyDescent="0.3">
      <c r="A179" s="1" t="s">
        <v>228</v>
      </c>
      <c r="B179" s="1" t="s">
        <v>2495</v>
      </c>
      <c r="C179" s="1" t="s">
        <v>2320</v>
      </c>
      <c r="D179" s="1" t="s">
        <v>2313</v>
      </c>
    </row>
    <row r="180" spans="1:4" x14ac:dyDescent="0.3">
      <c r="A180" s="1" t="s">
        <v>360</v>
      </c>
      <c r="B180" s="1" t="s">
        <v>2496</v>
      </c>
      <c r="C180" s="1" t="s">
        <v>2312</v>
      </c>
      <c r="D180" s="1" t="s">
        <v>2316</v>
      </c>
    </row>
    <row r="181" spans="1:4" x14ac:dyDescent="0.3">
      <c r="A181" s="1" t="s">
        <v>777</v>
      </c>
      <c r="B181" s="1" t="s">
        <v>2497</v>
      </c>
      <c r="C181" s="1" t="s">
        <v>2312</v>
      </c>
      <c r="D181" s="1" t="s">
        <v>2316</v>
      </c>
    </row>
    <row r="182" spans="1:4" x14ac:dyDescent="0.3">
      <c r="A182" s="1" t="s">
        <v>308</v>
      </c>
      <c r="B182" s="1" t="s">
        <v>2498</v>
      </c>
      <c r="C182" s="1" t="s">
        <v>2320</v>
      </c>
      <c r="D182" s="1" t="s">
        <v>2316</v>
      </c>
    </row>
    <row r="183" spans="1:4" x14ac:dyDescent="0.3">
      <c r="A183" s="1" t="s">
        <v>391</v>
      </c>
      <c r="B183" s="1" t="s">
        <v>2499</v>
      </c>
      <c r="C183" s="1" t="s">
        <v>2315</v>
      </c>
      <c r="D183" s="1" t="s">
        <v>2321</v>
      </c>
    </row>
    <row r="184" spans="1:4" x14ac:dyDescent="0.3">
      <c r="A184" s="1" t="s">
        <v>12</v>
      </c>
      <c r="B184" s="1" t="s">
        <v>2500</v>
      </c>
      <c r="C184" s="1" t="s">
        <v>2315</v>
      </c>
      <c r="D184" s="1" t="s">
        <v>2316</v>
      </c>
    </row>
    <row r="185" spans="1:4" x14ac:dyDescent="0.3">
      <c r="A185" s="1" t="s">
        <v>1181</v>
      </c>
      <c r="B185" s="1" t="s">
        <v>2501</v>
      </c>
      <c r="C185" s="1" t="s">
        <v>2315</v>
      </c>
      <c r="D185" s="1" t="s">
        <v>2313</v>
      </c>
    </row>
    <row r="186" spans="1:4" x14ac:dyDescent="0.3">
      <c r="A186" s="1" t="s">
        <v>526</v>
      </c>
      <c r="B186" s="1" t="s">
        <v>2502</v>
      </c>
      <c r="C186" s="1" t="s">
        <v>2315</v>
      </c>
      <c r="D186" s="1" t="s">
        <v>2321</v>
      </c>
    </row>
    <row r="187" spans="1:4" x14ac:dyDescent="0.3">
      <c r="A187" s="1" t="s">
        <v>843</v>
      </c>
      <c r="B187" s="1" t="s">
        <v>2503</v>
      </c>
      <c r="C187" s="1" t="s">
        <v>2320</v>
      </c>
      <c r="D187" s="1" t="s">
        <v>2313</v>
      </c>
    </row>
    <row r="188" spans="1:4" x14ac:dyDescent="0.3">
      <c r="A188" s="1" t="s">
        <v>473</v>
      </c>
      <c r="B188" s="1" t="s">
        <v>2504</v>
      </c>
      <c r="C188" s="1" t="s">
        <v>2320</v>
      </c>
      <c r="D188" s="1" t="s">
        <v>2321</v>
      </c>
    </row>
    <row r="189" spans="1:4" x14ac:dyDescent="0.3">
      <c r="A189" s="1" t="s">
        <v>262</v>
      </c>
      <c r="B189" s="1" t="s">
        <v>2505</v>
      </c>
      <c r="C189" s="1" t="s">
        <v>2312</v>
      </c>
      <c r="D189" s="1" t="s">
        <v>2321</v>
      </c>
    </row>
    <row r="190" spans="1:4" x14ac:dyDescent="0.3">
      <c r="A190" s="1" t="s">
        <v>524</v>
      </c>
      <c r="B190" s="1" t="s">
        <v>2506</v>
      </c>
      <c r="C190" s="1" t="s">
        <v>2318</v>
      </c>
      <c r="D190" s="1" t="s">
        <v>2321</v>
      </c>
    </row>
    <row r="191" spans="1:4" x14ac:dyDescent="0.3">
      <c r="A191" s="1" t="s">
        <v>85</v>
      </c>
      <c r="B191" s="1" t="s">
        <v>2507</v>
      </c>
      <c r="C191" s="1" t="s">
        <v>2318</v>
      </c>
      <c r="D191" s="1" t="s">
        <v>2321</v>
      </c>
    </row>
    <row r="192" spans="1:4" x14ac:dyDescent="0.3">
      <c r="A192" s="1" t="s">
        <v>751</v>
      </c>
      <c r="B192" s="1" t="s">
        <v>2508</v>
      </c>
      <c r="C192" s="1" t="s">
        <v>2320</v>
      </c>
      <c r="D192" s="1" t="s">
        <v>2321</v>
      </c>
    </row>
    <row r="193" spans="1:4" x14ac:dyDescent="0.3">
      <c r="A193" s="1" t="s">
        <v>150</v>
      </c>
      <c r="B193" s="1" t="s">
        <v>2509</v>
      </c>
      <c r="C193" s="1" t="s">
        <v>2315</v>
      </c>
      <c r="D193" s="1" t="s">
        <v>2313</v>
      </c>
    </row>
    <row r="194" spans="1:4" x14ac:dyDescent="0.3">
      <c r="A194" s="1" t="s">
        <v>96</v>
      </c>
      <c r="B194" s="1" t="s">
        <v>2510</v>
      </c>
      <c r="C194" s="1" t="s">
        <v>2315</v>
      </c>
      <c r="D194" s="1" t="s">
        <v>2321</v>
      </c>
    </row>
    <row r="195" spans="1:4" x14ac:dyDescent="0.3">
      <c r="A195" s="1" t="s">
        <v>172</v>
      </c>
      <c r="B195" s="1" t="s">
        <v>2511</v>
      </c>
      <c r="C195" s="1" t="s">
        <v>2318</v>
      </c>
      <c r="D195" s="1" t="s">
        <v>2316</v>
      </c>
    </row>
    <row r="196" spans="1:4" x14ac:dyDescent="0.3">
      <c r="A196" s="1" t="s">
        <v>69</v>
      </c>
      <c r="B196" s="1" t="s">
        <v>2512</v>
      </c>
      <c r="C196" s="1" t="s">
        <v>2315</v>
      </c>
      <c r="D196" s="1" t="s">
        <v>2321</v>
      </c>
    </row>
    <row r="197" spans="1:4" x14ac:dyDescent="0.3">
      <c r="A197" s="1" t="s">
        <v>355</v>
      </c>
      <c r="B197" s="1" t="s">
        <v>2513</v>
      </c>
      <c r="C197" s="1" t="s">
        <v>2312</v>
      </c>
      <c r="D197" s="1" t="s">
        <v>2316</v>
      </c>
    </row>
    <row r="198" spans="1:4" x14ac:dyDescent="0.3">
      <c r="A198" s="1" t="s">
        <v>494</v>
      </c>
      <c r="B198" s="1" t="s">
        <v>2514</v>
      </c>
      <c r="C198" s="1" t="s">
        <v>2312</v>
      </c>
      <c r="D198" s="1" t="s">
        <v>2316</v>
      </c>
    </row>
    <row r="199" spans="1:4" x14ac:dyDescent="0.3">
      <c r="A199" s="1" t="s">
        <v>33</v>
      </c>
      <c r="B199" s="1" t="s">
        <v>2515</v>
      </c>
      <c r="C199" s="1" t="s">
        <v>2318</v>
      </c>
      <c r="D199" s="1" t="s">
        <v>2316</v>
      </c>
    </row>
    <row r="200" spans="1:4" x14ac:dyDescent="0.3">
      <c r="A200" s="1" t="s">
        <v>167</v>
      </c>
      <c r="B200" s="1" t="s">
        <v>2516</v>
      </c>
      <c r="C200" s="1" t="s">
        <v>2318</v>
      </c>
      <c r="D200" s="1" t="s">
        <v>2321</v>
      </c>
    </row>
    <row r="201" spans="1:4" x14ac:dyDescent="0.3">
      <c r="A201" s="1" t="s">
        <v>106</v>
      </c>
      <c r="B201" s="1" t="s">
        <v>2517</v>
      </c>
      <c r="C201" s="1" t="s">
        <v>2312</v>
      </c>
      <c r="D201" s="1" t="s">
        <v>2313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E522-A43C-4616-BB30-956E6E1719FC}">
  <dimension ref="A1:D101"/>
  <sheetViews>
    <sheetView topLeftCell="A75" workbookViewId="0">
      <selection activeCell="G8" sqref="G8"/>
    </sheetView>
  </sheetViews>
  <sheetFormatPr defaultRowHeight="14.4" x14ac:dyDescent="0.3"/>
  <cols>
    <col min="1" max="1" width="12.6640625" bestFit="1" customWidth="1"/>
    <col min="2" max="2" width="16" bestFit="1" customWidth="1"/>
    <col min="3" max="3" width="13.109375" bestFit="1" customWidth="1"/>
    <col min="4" max="4" width="15" bestFit="1" customWidth="1"/>
  </cols>
  <sheetData>
    <row r="1" spans="1:4" x14ac:dyDescent="0.3">
      <c r="A1" t="s">
        <v>3</v>
      </c>
      <c r="B1" t="s">
        <v>2518</v>
      </c>
      <c r="C1" t="s">
        <v>2519</v>
      </c>
      <c r="D1" t="s">
        <v>2520</v>
      </c>
    </row>
    <row r="2" spans="1:4" x14ac:dyDescent="0.3">
      <c r="A2" s="1" t="s">
        <v>660</v>
      </c>
      <c r="B2" s="1" t="s">
        <v>2521</v>
      </c>
      <c r="C2" s="1" t="s">
        <v>2522</v>
      </c>
      <c r="D2" s="1" t="s">
        <v>2523</v>
      </c>
    </row>
    <row r="3" spans="1:4" x14ac:dyDescent="0.3">
      <c r="A3" s="1" t="s">
        <v>727</v>
      </c>
      <c r="B3" s="1" t="s">
        <v>2524</v>
      </c>
      <c r="C3" s="1" t="s">
        <v>2525</v>
      </c>
      <c r="D3" s="1" t="s">
        <v>2526</v>
      </c>
    </row>
    <row r="4" spans="1:4" x14ac:dyDescent="0.3">
      <c r="A4" s="1" t="s">
        <v>757</v>
      </c>
      <c r="B4" s="1" t="s">
        <v>2527</v>
      </c>
      <c r="C4" s="1" t="s">
        <v>2522</v>
      </c>
      <c r="D4" s="1" t="s">
        <v>2528</v>
      </c>
    </row>
    <row r="5" spans="1:4" x14ac:dyDescent="0.3">
      <c r="A5" s="1" t="s">
        <v>16</v>
      </c>
      <c r="B5" s="1" t="s">
        <v>2529</v>
      </c>
      <c r="C5" s="1" t="s">
        <v>2530</v>
      </c>
      <c r="D5" s="1" t="s">
        <v>2531</v>
      </c>
    </row>
    <row r="6" spans="1:4" x14ac:dyDescent="0.3">
      <c r="A6" s="1" t="s">
        <v>25</v>
      </c>
      <c r="B6" s="1" t="s">
        <v>2532</v>
      </c>
      <c r="C6" s="1" t="s">
        <v>2522</v>
      </c>
      <c r="D6" s="1" t="s">
        <v>2533</v>
      </c>
    </row>
    <row r="7" spans="1:4" x14ac:dyDescent="0.3">
      <c r="A7" s="1" t="s">
        <v>288</v>
      </c>
      <c r="B7" s="1" t="s">
        <v>2534</v>
      </c>
      <c r="C7" s="1" t="s">
        <v>2525</v>
      </c>
      <c r="D7" s="1" t="s">
        <v>2526</v>
      </c>
    </row>
    <row r="8" spans="1:4" x14ac:dyDescent="0.3">
      <c r="A8" s="1" t="s">
        <v>13</v>
      </c>
      <c r="B8" s="1" t="s">
        <v>2535</v>
      </c>
      <c r="C8" s="1" t="s">
        <v>2525</v>
      </c>
      <c r="D8" s="1" t="s">
        <v>2536</v>
      </c>
    </row>
    <row r="9" spans="1:4" x14ac:dyDescent="0.3">
      <c r="A9" s="1" t="s">
        <v>111</v>
      </c>
      <c r="B9" s="1" t="s">
        <v>2537</v>
      </c>
      <c r="C9" s="1" t="s">
        <v>2530</v>
      </c>
      <c r="D9" s="1" t="s">
        <v>2538</v>
      </c>
    </row>
    <row r="10" spans="1:4" x14ac:dyDescent="0.3">
      <c r="A10" s="1" t="s">
        <v>31</v>
      </c>
      <c r="B10" s="1" t="s">
        <v>2539</v>
      </c>
      <c r="C10" s="1" t="s">
        <v>2525</v>
      </c>
      <c r="D10" s="1" t="s">
        <v>2526</v>
      </c>
    </row>
    <row r="11" spans="1:4" x14ac:dyDescent="0.3">
      <c r="A11" s="1" t="s">
        <v>378</v>
      </c>
      <c r="B11" s="1" t="s">
        <v>2540</v>
      </c>
      <c r="C11" s="1" t="s">
        <v>2522</v>
      </c>
      <c r="D11" s="1" t="s">
        <v>2533</v>
      </c>
    </row>
    <row r="12" spans="1:4" x14ac:dyDescent="0.3">
      <c r="A12" s="1" t="s">
        <v>296</v>
      </c>
      <c r="B12" s="1" t="s">
        <v>2541</v>
      </c>
      <c r="C12" s="1" t="s">
        <v>2530</v>
      </c>
      <c r="D12" s="1" t="s">
        <v>2538</v>
      </c>
    </row>
    <row r="13" spans="1:4" x14ac:dyDescent="0.3">
      <c r="A13" s="1" t="s">
        <v>221</v>
      </c>
      <c r="B13" s="1" t="s">
        <v>2542</v>
      </c>
      <c r="C13" s="1" t="s">
        <v>2530</v>
      </c>
      <c r="D13" s="1" t="s">
        <v>2531</v>
      </c>
    </row>
    <row r="14" spans="1:4" x14ac:dyDescent="0.3">
      <c r="A14" s="1" t="s">
        <v>188</v>
      </c>
      <c r="B14" s="1" t="s">
        <v>2543</v>
      </c>
      <c r="C14" s="1" t="s">
        <v>2530</v>
      </c>
      <c r="D14" s="1" t="s">
        <v>2531</v>
      </c>
    </row>
    <row r="15" spans="1:4" x14ac:dyDescent="0.3">
      <c r="A15" s="1" t="s">
        <v>234</v>
      </c>
      <c r="B15" s="1" t="s">
        <v>2544</v>
      </c>
      <c r="C15" s="1" t="s">
        <v>2525</v>
      </c>
      <c r="D15" s="1" t="s">
        <v>2545</v>
      </c>
    </row>
    <row r="16" spans="1:4" x14ac:dyDescent="0.3">
      <c r="A16" s="1" t="s">
        <v>75</v>
      </c>
      <c r="B16" s="1" t="s">
        <v>2546</v>
      </c>
      <c r="C16" s="1" t="s">
        <v>2530</v>
      </c>
      <c r="D16" s="1" t="s">
        <v>2547</v>
      </c>
    </row>
    <row r="17" spans="1:4" x14ac:dyDescent="0.3">
      <c r="A17" s="1" t="s">
        <v>127</v>
      </c>
      <c r="B17" s="1" t="s">
        <v>2548</v>
      </c>
      <c r="C17" s="1" t="s">
        <v>2525</v>
      </c>
      <c r="D17" s="1" t="s">
        <v>2526</v>
      </c>
    </row>
    <row r="18" spans="1:4" x14ac:dyDescent="0.3">
      <c r="A18" s="1" t="s">
        <v>269</v>
      </c>
      <c r="B18" s="1" t="s">
        <v>2549</v>
      </c>
      <c r="C18" s="1" t="s">
        <v>2522</v>
      </c>
      <c r="D18" s="1" t="s">
        <v>2528</v>
      </c>
    </row>
    <row r="19" spans="1:4" x14ac:dyDescent="0.3">
      <c r="A19" s="1" t="s">
        <v>40</v>
      </c>
      <c r="B19" s="1" t="s">
        <v>2550</v>
      </c>
      <c r="C19" s="1" t="s">
        <v>2522</v>
      </c>
      <c r="D19" s="1" t="s">
        <v>2523</v>
      </c>
    </row>
    <row r="20" spans="1:4" x14ac:dyDescent="0.3">
      <c r="A20" s="1" t="s">
        <v>369</v>
      </c>
      <c r="B20" s="1" t="s">
        <v>2551</v>
      </c>
      <c r="C20" s="1" t="s">
        <v>2530</v>
      </c>
      <c r="D20" s="1" t="s">
        <v>2552</v>
      </c>
    </row>
    <row r="21" spans="1:4" x14ac:dyDescent="0.3">
      <c r="A21" s="1" t="s">
        <v>19</v>
      </c>
      <c r="B21" s="1" t="s">
        <v>2553</v>
      </c>
      <c r="C21" s="1" t="s">
        <v>2522</v>
      </c>
      <c r="D21" s="1" t="s">
        <v>2528</v>
      </c>
    </row>
    <row r="22" spans="1:4" x14ac:dyDescent="0.3">
      <c r="A22" s="1" t="s">
        <v>392</v>
      </c>
      <c r="B22" s="1" t="s">
        <v>2554</v>
      </c>
      <c r="C22" s="1" t="s">
        <v>2525</v>
      </c>
      <c r="D22" s="1" t="s">
        <v>2536</v>
      </c>
    </row>
    <row r="23" spans="1:4" x14ac:dyDescent="0.3">
      <c r="A23" s="1" t="s">
        <v>294</v>
      </c>
      <c r="B23" s="1" t="s">
        <v>2555</v>
      </c>
      <c r="C23" s="1" t="s">
        <v>2530</v>
      </c>
      <c r="D23" s="1" t="s">
        <v>2547</v>
      </c>
    </row>
    <row r="24" spans="1:4" x14ac:dyDescent="0.3">
      <c r="A24" s="1" t="s">
        <v>92</v>
      </c>
      <c r="B24" s="1" t="s">
        <v>2556</v>
      </c>
      <c r="C24" s="1" t="s">
        <v>2525</v>
      </c>
      <c r="D24" s="1" t="s">
        <v>2545</v>
      </c>
    </row>
    <row r="25" spans="1:4" x14ac:dyDescent="0.3">
      <c r="A25" s="1" t="s">
        <v>37</v>
      </c>
      <c r="B25" s="1" t="s">
        <v>2557</v>
      </c>
      <c r="C25" s="1" t="s">
        <v>2525</v>
      </c>
      <c r="D25" s="1" t="s">
        <v>2536</v>
      </c>
    </row>
    <row r="26" spans="1:4" x14ac:dyDescent="0.3">
      <c r="A26" s="1" t="s">
        <v>770</v>
      </c>
      <c r="B26" s="1" t="s">
        <v>2558</v>
      </c>
      <c r="C26" s="1" t="s">
        <v>2530</v>
      </c>
      <c r="D26" s="1" t="s">
        <v>2538</v>
      </c>
    </row>
    <row r="27" spans="1:4" x14ac:dyDescent="0.3">
      <c r="A27" s="1" t="s">
        <v>242</v>
      </c>
      <c r="B27" s="1" t="s">
        <v>2559</v>
      </c>
      <c r="C27" s="1" t="s">
        <v>2530</v>
      </c>
      <c r="D27" s="1" t="s">
        <v>2552</v>
      </c>
    </row>
    <row r="28" spans="1:4" x14ac:dyDescent="0.3">
      <c r="A28" s="1" t="s">
        <v>28</v>
      </c>
      <c r="B28" s="1" t="s">
        <v>2560</v>
      </c>
      <c r="C28" s="1" t="s">
        <v>2522</v>
      </c>
      <c r="D28" s="1" t="s">
        <v>2523</v>
      </c>
    </row>
    <row r="29" spans="1:4" x14ac:dyDescent="0.3">
      <c r="A29" s="1" t="s">
        <v>147</v>
      </c>
      <c r="B29" s="1" t="s">
        <v>2561</v>
      </c>
      <c r="C29" s="1" t="s">
        <v>2530</v>
      </c>
      <c r="D29" s="1" t="s">
        <v>2531</v>
      </c>
    </row>
    <row r="30" spans="1:4" x14ac:dyDescent="0.3">
      <c r="A30" s="1" t="s">
        <v>116</v>
      </c>
      <c r="B30" s="1" t="s">
        <v>2562</v>
      </c>
      <c r="C30" s="1" t="s">
        <v>2525</v>
      </c>
      <c r="D30" s="1" t="s">
        <v>2545</v>
      </c>
    </row>
    <row r="31" spans="1:4" x14ac:dyDescent="0.3">
      <c r="A31" s="1" t="s">
        <v>361</v>
      </c>
      <c r="B31" s="1" t="s">
        <v>2563</v>
      </c>
      <c r="C31" s="1" t="s">
        <v>2525</v>
      </c>
      <c r="D31" s="1" t="s">
        <v>2545</v>
      </c>
    </row>
    <row r="32" spans="1:4" x14ac:dyDescent="0.3">
      <c r="A32" s="1" t="s">
        <v>64</v>
      </c>
      <c r="B32" s="1" t="s">
        <v>2564</v>
      </c>
      <c r="C32" s="1" t="s">
        <v>2522</v>
      </c>
      <c r="D32" s="1" t="s">
        <v>2523</v>
      </c>
    </row>
    <row r="33" spans="1:4" x14ac:dyDescent="0.3">
      <c r="A33" s="1" t="s">
        <v>209</v>
      </c>
      <c r="B33" s="1" t="s">
        <v>2565</v>
      </c>
      <c r="C33" s="1" t="s">
        <v>2522</v>
      </c>
      <c r="D33" s="1" t="s">
        <v>2533</v>
      </c>
    </row>
    <row r="34" spans="1:4" x14ac:dyDescent="0.3">
      <c r="A34" s="1" t="s">
        <v>139</v>
      </c>
      <c r="B34" s="1" t="s">
        <v>2566</v>
      </c>
      <c r="C34" s="1" t="s">
        <v>2525</v>
      </c>
      <c r="D34" s="1" t="s">
        <v>2567</v>
      </c>
    </row>
    <row r="35" spans="1:4" x14ac:dyDescent="0.3">
      <c r="A35" s="1" t="s">
        <v>218</v>
      </c>
      <c r="B35" s="1" t="s">
        <v>2568</v>
      </c>
      <c r="C35" s="1" t="s">
        <v>2522</v>
      </c>
      <c r="D35" s="1" t="s">
        <v>2523</v>
      </c>
    </row>
    <row r="36" spans="1:4" x14ac:dyDescent="0.3">
      <c r="A36" s="1" t="s">
        <v>195</v>
      </c>
      <c r="B36" s="1" t="s">
        <v>2569</v>
      </c>
      <c r="C36" s="1" t="s">
        <v>2525</v>
      </c>
      <c r="D36" s="1" t="s">
        <v>2526</v>
      </c>
    </row>
    <row r="37" spans="1:4" x14ac:dyDescent="0.3">
      <c r="A37" s="1" t="s">
        <v>143</v>
      </c>
      <c r="B37" s="1" t="s">
        <v>2570</v>
      </c>
      <c r="C37" s="1" t="s">
        <v>2525</v>
      </c>
      <c r="D37" s="1" t="s">
        <v>2545</v>
      </c>
    </row>
    <row r="38" spans="1:4" x14ac:dyDescent="0.3">
      <c r="A38" s="1" t="s">
        <v>263</v>
      </c>
      <c r="B38" s="1" t="s">
        <v>2571</v>
      </c>
      <c r="C38" s="1" t="s">
        <v>2522</v>
      </c>
      <c r="D38" s="1" t="s">
        <v>2523</v>
      </c>
    </row>
    <row r="39" spans="1:4" x14ac:dyDescent="0.3">
      <c r="A39" s="1" t="s">
        <v>364</v>
      </c>
      <c r="B39" s="1" t="s">
        <v>2572</v>
      </c>
      <c r="C39" s="1" t="s">
        <v>2530</v>
      </c>
      <c r="D39" s="1" t="s">
        <v>2538</v>
      </c>
    </row>
    <row r="40" spans="1:4" x14ac:dyDescent="0.3">
      <c r="A40" s="1" t="s">
        <v>256</v>
      </c>
      <c r="B40" s="1" t="s">
        <v>2573</v>
      </c>
      <c r="C40" s="1" t="s">
        <v>2522</v>
      </c>
      <c r="D40" s="1" t="s">
        <v>2528</v>
      </c>
    </row>
    <row r="41" spans="1:4" x14ac:dyDescent="0.3">
      <c r="A41" s="1" t="s">
        <v>54</v>
      </c>
      <c r="B41" s="1" t="s">
        <v>2574</v>
      </c>
      <c r="C41" s="1" t="s">
        <v>2522</v>
      </c>
      <c r="D41" s="1" t="s">
        <v>2575</v>
      </c>
    </row>
    <row r="42" spans="1:4" x14ac:dyDescent="0.3">
      <c r="A42" s="1" t="s">
        <v>323</v>
      </c>
      <c r="B42" s="1" t="s">
        <v>2576</v>
      </c>
      <c r="C42" s="1" t="s">
        <v>2530</v>
      </c>
      <c r="D42" s="1" t="s">
        <v>2547</v>
      </c>
    </row>
    <row r="43" spans="1:4" x14ac:dyDescent="0.3">
      <c r="A43" s="1" t="s">
        <v>10</v>
      </c>
      <c r="B43" s="1" t="s">
        <v>2577</v>
      </c>
      <c r="C43" s="1" t="s">
        <v>2530</v>
      </c>
      <c r="D43" s="1" t="s">
        <v>2547</v>
      </c>
    </row>
    <row r="44" spans="1:4" x14ac:dyDescent="0.3">
      <c r="A44" s="1" t="s">
        <v>301</v>
      </c>
      <c r="B44" s="1" t="s">
        <v>2578</v>
      </c>
      <c r="C44" s="1" t="s">
        <v>2525</v>
      </c>
      <c r="D44" s="1" t="s">
        <v>2567</v>
      </c>
    </row>
    <row r="45" spans="1:4" x14ac:dyDescent="0.3">
      <c r="A45" s="1" t="s">
        <v>275</v>
      </c>
      <c r="B45" s="1" t="s">
        <v>2579</v>
      </c>
      <c r="C45" s="1" t="s">
        <v>2525</v>
      </c>
      <c r="D45" s="1" t="s">
        <v>2567</v>
      </c>
    </row>
    <row r="46" spans="1:4" x14ac:dyDescent="0.3">
      <c r="A46" s="1" t="s">
        <v>43</v>
      </c>
      <c r="B46" s="1" t="s">
        <v>2580</v>
      </c>
      <c r="C46" s="1" t="s">
        <v>2530</v>
      </c>
      <c r="D46" s="1" t="s">
        <v>2547</v>
      </c>
    </row>
    <row r="47" spans="1:4" x14ac:dyDescent="0.3">
      <c r="A47" s="1" t="s">
        <v>72</v>
      </c>
      <c r="B47" s="1" t="s">
        <v>2581</v>
      </c>
      <c r="C47" s="1" t="s">
        <v>2525</v>
      </c>
      <c r="D47" s="1" t="s">
        <v>2526</v>
      </c>
    </row>
    <row r="48" spans="1:4" x14ac:dyDescent="0.3">
      <c r="A48" s="1" t="s">
        <v>51</v>
      </c>
      <c r="B48" s="1" t="s">
        <v>2582</v>
      </c>
      <c r="C48" s="1" t="s">
        <v>2522</v>
      </c>
      <c r="D48" s="1" t="s">
        <v>2528</v>
      </c>
    </row>
    <row r="49" spans="1:4" x14ac:dyDescent="0.3">
      <c r="A49" s="1" t="s">
        <v>34</v>
      </c>
      <c r="B49" s="1" t="s">
        <v>2583</v>
      </c>
      <c r="C49" s="1" t="s">
        <v>2525</v>
      </c>
      <c r="D49" s="1" t="s">
        <v>2567</v>
      </c>
    </row>
    <row r="50" spans="1:4" x14ac:dyDescent="0.3">
      <c r="A50" s="1" t="s">
        <v>70</v>
      </c>
      <c r="B50" s="1" t="s">
        <v>2584</v>
      </c>
      <c r="C50" s="1" t="s">
        <v>2522</v>
      </c>
      <c r="D50" s="1" t="s">
        <v>2533</v>
      </c>
    </row>
    <row r="51" spans="1:4" x14ac:dyDescent="0.3">
      <c r="A51" s="1" t="s">
        <v>107</v>
      </c>
      <c r="B51" s="1" t="s">
        <v>2585</v>
      </c>
      <c r="C51" s="1" t="s">
        <v>2522</v>
      </c>
      <c r="D51" s="1" t="s">
        <v>2528</v>
      </c>
    </row>
    <row r="52" spans="1:4" x14ac:dyDescent="0.3">
      <c r="A52" s="1" t="s">
        <v>97</v>
      </c>
      <c r="B52" s="1" t="s">
        <v>2586</v>
      </c>
      <c r="C52" s="1" t="s">
        <v>2530</v>
      </c>
      <c r="D52" s="1" t="s">
        <v>2547</v>
      </c>
    </row>
    <row r="53" spans="1:4" x14ac:dyDescent="0.3">
      <c r="A53" s="1" t="s">
        <v>22</v>
      </c>
      <c r="B53" s="1" t="s">
        <v>2587</v>
      </c>
      <c r="C53" s="1" t="s">
        <v>2525</v>
      </c>
      <c r="D53" s="1" t="s">
        <v>2526</v>
      </c>
    </row>
    <row r="54" spans="1:4" x14ac:dyDescent="0.3">
      <c r="A54" s="1" t="s">
        <v>304</v>
      </c>
      <c r="B54" s="1" t="s">
        <v>2588</v>
      </c>
      <c r="C54" s="1" t="s">
        <v>2530</v>
      </c>
      <c r="D54" s="1" t="s">
        <v>2538</v>
      </c>
    </row>
    <row r="55" spans="1:4" x14ac:dyDescent="0.3">
      <c r="A55" s="1" t="s">
        <v>170</v>
      </c>
      <c r="B55" s="1" t="s">
        <v>2589</v>
      </c>
      <c r="C55" s="1" t="s">
        <v>2525</v>
      </c>
      <c r="D55" s="1" t="s">
        <v>2545</v>
      </c>
    </row>
    <row r="56" spans="1:4" x14ac:dyDescent="0.3">
      <c r="A56" s="1" t="s">
        <v>61</v>
      </c>
      <c r="B56" s="1" t="s">
        <v>2590</v>
      </c>
      <c r="C56" s="1" t="s">
        <v>2522</v>
      </c>
      <c r="D56" s="1" t="s">
        <v>2575</v>
      </c>
    </row>
    <row r="57" spans="1:4" x14ac:dyDescent="0.3">
      <c r="A57" s="1" t="s">
        <v>314</v>
      </c>
      <c r="B57" s="1" t="s">
        <v>2591</v>
      </c>
      <c r="C57" s="1" t="s">
        <v>2522</v>
      </c>
      <c r="D57" s="1" t="s">
        <v>2533</v>
      </c>
    </row>
    <row r="58" spans="1:4" x14ac:dyDescent="0.3">
      <c r="A58" s="1" t="s">
        <v>100</v>
      </c>
      <c r="B58" s="1" t="s">
        <v>2592</v>
      </c>
      <c r="C58" s="1" t="s">
        <v>2530</v>
      </c>
      <c r="D58" s="1" t="s">
        <v>2531</v>
      </c>
    </row>
    <row r="59" spans="1:4" x14ac:dyDescent="0.3">
      <c r="A59" s="1" t="s">
        <v>249</v>
      </c>
      <c r="B59" s="1" t="s">
        <v>2593</v>
      </c>
      <c r="C59" s="1" t="s">
        <v>2522</v>
      </c>
      <c r="D59" s="1" t="s">
        <v>2533</v>
      </c>
    </row>
    <row r="60" spans="1:4" x14ac:dyDescent="0.3">
      <c r="A60" s="1" t="s">
        <v>83</v>
      </c>
      <c r="B60" s="1" t="s">
        <v>2594</v>
      </c>
      <c r="C60" s="1" t="s">
        <v>2525</v>
      </c>
      <c r="D60" s="1" t="s">
        <v>2567</v>
      </c>
    </row>
    <row r="61" spans="1:4" x14ac:dyDescent="0.3">
      <c r="A61" s="1" t="s">
        <v>109</v>
      </c>
      <c r="B61" s="1" t="s">
        <v>2595</v>
      </c>
      <c r="C61" s="1" t="s">
        <v>2525</v>
      </c>
      <c r="D61" s="1" t="s">
        <v>2526</v>
      </c>
    </row>
    <row r="62" spans="1:4" x14ac:dyDescent="0.3">
      <c r="A62" s="1" t="s">
        <v>669</v>
      </c>
      <c r="B62" s="1" t="s">
        <v>2596</v>
      </c>
      <c r="C62" s="1" t="s">
        <v>2522</v>
      </c>
      <c r="D62" s="1" t="s">
        <v>2528</v>
      </c>
    </row>
    <row r="63" spans="1:4" x14ac:dyDescent="0.3">
      <c r="A63" s="1" t="s">
        <v>372</v>
      </c>
      <c r="B63" s="1" t="s">
        <v>2597</v>
      </c>
      <c r="C63" s="1" t="s">
        <v>2525</v>
      </c>
      <c r="D63" s="1" t="s">
        <v>2545</v>
      </c>
    </row>
    <row r="64" spans="1:4" x14ac:dyDescent="0.3">
      <c r="A64" s="1" t="s">
        <v>397</v>
      </c>
      <c r="B64" s="1" t="s">
        <v>2598</v>
      </c>
      <c r="C64" s="1" t="s">
        <v>2522</v>
      </c>
      <c r="D64" s="1" t="s">
        <v>2528</v>
      </c>
    </row>
    <row r="65" spans="1:4" x14ac:dyDescent="0.3">
      <c r="A65" s="1" t="s">
        <v>211</v>
      </c>
      <c r="B65" s="1" t="s">
        <v>2599</v>
      </c>
      <c r="C65" s="1" t="s">
        <v>2522</v>
      </c>
      <c r="D65" s="1" t="s">
        <v>2575</v>
      </c>
    </row>
    <row r="66" spans="1:4" x14ac:dyDescent="0.3">
      <c r="A66" s="1" t="s">
        <v>67</v>
      </c>
      <c r="B66" s="1" t="s">
        <v>2600</v>
      </c>
      <c r="C66" s="1" t="s">
        <v>2525</v>
      </c>
      <c r="D66" s="1" t="s">
        <v>2526</v>
      </c>
    </row>
    <row r="67" spans="1:4" x14ac:dyDescent="0.3">
      <c r="A67" s="1" t="s">
        <v>130</v>
      </c>
      <c r="B67" s="1" t="s">
        <v>2601</v>
      </c>
      <c r="C67" s="1" t="s">
        <v>2525</v>
      </c>
      <c r="D67" s="1" t="s">
        <v>2536</v>
      </c>
    </row>
    <row r="68" spans="1:4" x14ac:dyDescent="0.3">
      <c r="A68" s="1" t="s">
        <v>161</v>
      </c>
      <c r="B68" s="1" t="s">
        <v>2602</v>
      </c>
      <c r="C68" s="1" t="s">
        <v>2522</v>
      </c>
      <c r="D68" s="1" t="s">
        <v>2575</v>
      </c>
    </row>
    <row r="69" spans="1:4" x14ac:dyDescent="0.3">
      <c r="A69" s="1" t="s">
        <v>177</v>
      </c>
      <c r="B69" s="1" t="s">
        <v>2603</v>
      </c>
      <c r="C69" s="1" t="s">
        <v>2525</v>
      </c>
      <c r="D69" s="1" t="s">
        <v>2567</v>
      </c>
    </row>
    <row r="70" spans="1:4" x14ac:dyDescent="0.3">
      <c r="A70" s="1" t="s">
        <v>278</v>
      </c>
      <c r="B70" s="1" t="s">
        <v>2604</v>
      </c>
      <c r="C70" s="1" t="s">
        <v>2522</v>
      </c>
      <c r="D70" s="1" t="s">
        <v>2528</v>
      </c>
    </row>
    <row r="71" spans="1:4" x14ac:dyDescent="0.3">
      <c r="A71" s="1" t="s">
        <v>201</v>
      </c>
      <c r="B71" s="1" t="s">
        <v>2605</v>
      </c>
      <c r="C71" s="1" t="s">
        <v>2522</v>
      </c>
      <c r="D71" s="1" t="s">
        <v>2533</v>
      </c>
    </row>
    <row r="72" spans="1:4" x14ac:dyDescent="0.3">
      <c r="A72" s="1" t="s">
        <v>451</v>
      </c>
      <c r="B72" s="1" t="s">
        <v>2606</v>
      </c>
      <c r="C72" s="1" t="s">
        <v>2530</v>
      </c>
      <c r="D72" s="1" t="s">
        <v>2531</v>
      </c>
    </row>
    <row r="73" spans="1:4" x14ac:dyDescent="0.3">
      <c r="A73" s="1" t="s">
        <v>180</v>
      </c>
      <c r="B73" s="1" t="s">
        <v>2607</v>
      </c>
      <c r="C73" s="1" t="s">
        <v>2525</v>
      </c>
      <c r="D73" s="1" t="s">
        <v>2526</v>
      </c>
    </row>
    <row r="74" spans="1:4" x14ac:dyDescent="0.3">
      <c r="A74" s="1" t="s">
        <v>163</v>
      </c>
      <c r="B74" s="1" t="s">
        <v>2608</v>
      </c>
      <c r="C74" s="1" t="s">
        <v>2525</v>
      </c>
      <c r="D74" s="1" t="s">
        <v>2567</v>
      </c>
    </row>
    <row r="75" spans="1:4" x14ac:dyDescent="0.3">
      <c r="A75" s="1" t="s">
        <v>86</v>
      </c>
      <c r="B75" s="1" t="s">
        <v>2609</v>
      </c>
      <c r="C75" s="1" t="s">
        <v>2525</v>
      </c>
      <c r="D75" s="1" t="s">
        <v>2567</v>
      </c>
    </row>
    <row r="76" spans="1:4" x14ac:dyDescent="0.3">
      <c r="A76" s="1" t="s">
        <v>309</v>
      </c>
      <c r="B76" s="1" t="s">
        <v>2610</v>
      </c>
      <c r="C76" s="1" t="s">
        <v>2522</v>
      </c>
      <c r="D76" s="1" t="s">
        <v>2528</v>
      </c>
    </row>
    <row r="77" spans="1:4" x14ac:dyDescent="0.3">
      <c r="A77" s="1" t="s">
        <v>239</v>
      </c>
      <c r="B77" s="1" t="s">
        <v>2611</v>
      </c>
      <c r="C77" s="1" t="s">
        <v>2525</v>
      </c>
      <c r="D77" s="1" t="s">
        <v>2545</v>
      </c>
    </row>
    <row r="78" spans="1:4" x14ac:dyDescent="0.3">
      <c r="A78" s="1" t="s">
        <v>253</v>
      </c>
      <c r="B78" s="1" t="s">
        <v>2612</v>
      </c>
      <c r="C78" s="1" t="s">
        <v>2530</v>
      </c>
      <c r="D78" s="1" t="s">
        <v>2538</v>
      </c>
    </row>
    <row r="79" spans="1:4" x14ac:dyDescent="0.3">
      <c r="A79" s="1" t="s">
        <v>122</v>
      </c>
      <c r="B79" s="1" t="s">
        <v>2613</v>
      </c>
      <c r="C79" s="1" t="s">
        <v>2522</v>
      </c>
      <c r="D79" s="1" t="s">
        <v>2523</v>
      </c>
    </row>
    <row r="80" spans="1:4" x14ac:dyDescent="0.3">
      <c r="A80" s="1" t="s">
        <v>283</v>
      </c>
      <c r="B80" s="1" t="s">
        <v>2614</v>
      </c>
      <c r="C80" s="1" t="s">
        <v>2525</v>
      </c>
      <c r="D80" s="1" t="s">
        <v>2526</v>
      </c>
    </row>
    <row r="81" spans="1:4" x14ac:dyDescent="0.3">
      <c r="A81" s="1" t="s">
        <v>45</v>
      </c>
      <c r="B81" s="1" t="s">
        <v>2615</v>
      </c>
      <c r="C81" s="1" t="s">
        <v>2522</v>
      </c>
      <c r="D81" s="1" t="s">
        <v>2528</v>
      </c>
    </row>
    <row r="82" spans="1:4" x14ac:dyDescent="0.3">
      <c r="A82" s="1" t="s">
        <v>48</v>
      </c>
      <c r="B82" s="1" t="s">
        <v>2616</v>
      </c>
      <c r="C82" s="1" t="s">
        <v>2522</v>
      </c>
      <c r="D82" s="1" t="s">
        <v>2528</v>
      </c>
    </row>
    <row r="83" spans="1:4" x14ac:dyDescent="0.3">
      <c r="A83" s="1" t="s">
        <v>603</v>
      </c>
      <c r="B83" s="1" t="s">
        <v>2617</v>
      </c>
      <c r="C83" s="1" t="s">
        <v>2530</v>
      </c>
      <c r="D83" s="1" t="s">
        <v>2538</v>
      </c>
    </row>
    <row r="84" spans="1:4" x14ac:dyDescent="0.3">
      <c r="A84" s="1" t="s">
        <v>400</v>
      </c>
      <c r="B84" s="1" t="s">
        <v>2618</v>
      </c>
      <c r="C84" s="1" t="s">
        <v>2522</v>
      </c>
      <c r="D84" s="1" t="s">
        <v>2533</v>
      </c>
    </row>
    <row r="85" spans="1:4" x14ac:dyDescent="0.3">
      <c r="A85" s="1" t="s">
        <v>679</v>
      </c>
      <c r="B85" s="1" t="s">
        <v>2619</v>
      </c>
      <c r="C85" s="1" t="s">
        <v>2522</v>
      </c>
      <c r="D85" s="1" t="s">
        <v>2533</v>
      </c>
    </row>
    <row r="86" spans="1:4" x14ac:dyDescent="0.3">
      <c r="A86" s="1" t="s">
        <v>119</v>
      </c>
      <c r="B86" s="1" t="s">
        <v>2620</v>
      </c>
      <c r="C86" s="1" t="s">
        <v>2530</v>
      </c>
      <c r="D86" s="1" t="s">
        <v>2547</v>
      </c>
    </row>
    <row r="87" spans="1:4" x14ac:dyDescent="0.3">
      <c r="A87" s="1" t="s">
        <v>455</v>
      </c>
      <c r="B87" s="1" t="s">
        <v>2621</v>
      </c>
      <c r="C87" s="1" t="s">
        <v>2525</v>
      </c>
      <c r="D87" s="1" t="s">
        <v>2545</v>
      </c>
    </row>
    <row r="88" spans="1:4" x14ac:dyDescent="0.3">
      <c r="A88" s="1" t="s">
        <v>341</v>
      </c>
      <c r="B88" s="1" t="s">
        <v>2622</v>
      </c>
      <c r="C88" s="1" t="s">
        <v>2530</v>
      </c>
      <c r="D88" s="1" t="s">
        <v>2552</v>
      </c>
    </row>
    <row r="89" spans="1:4" x14ac:dyDescent="0.3">
      <c r="A89" s="1" t="s">
        <v>186</v>
      </c>
      <c r="B89" s="1" t="s">
        <v>2623</v>
      </c>
      <c r="C89" s="1" t="s">
        <v>2530</v>
      </c>
      <c r="D89" s="1" t="s">
        <v>2531</v>
      </c>
    </row>
    <row r="90" spans="1:4" x14ac:dyDescent="0.3">
      <c r="A90" s="1" t="s">
        <v>258</v>
      </c>
      <c r="B90" s="1" t="s">
        <v>2624</v>
      </c>
      <c r="C90" s="1" t="s">
        <v>2530</v>
      </c>
      <c r="D90" s="1" t="s">
        <v>2552</v>
      </c>
    </row>
    <row r="91" spans="1:4" x14ac:dyDescent="0.3">
      <c r="A91" s="1" t="s">
        <v>78</v>
      </c>
      <c r="B91" s="1" t="s">
        <v>2625</v>
      </c>
      <c r="C91" s="1" t="s">
        <v>2530</v>
      </c>
      <c r="D91" s="1" t="s">
        <v>2538</v>
      </c>
    </row>
    <row r="92" spans="1:4" x14ac:dyDescent="0.3">
      <c r="A92" s="1" t="s">
        <v>132</v>
      </c>
      <c r="B92" s="1" t="s">
        <v>2626</v>
      </c>
      <c r="C92" s="1" t="s">
        <v>2525</v>
      </c>
      <c r="D92" s="1" t="s">
        <v>2545</v>
      </c>
    </row>
    <row r="93" spans="1:4" x14ac:dyDescent="0.3">
      <c r="A93" s="1" t="s">
        <v>141</v>
      </c>
      <c r="B93" s="1" t="s">
        <v>2627</v>
      </c>
      <c r="C93" s="1" t="s">
        <v>2530</v>
      </c>
      <c r="D93" s="1" t="s">
        <v>2552</v>
      </c>
    </row>
    <row r="94" spans="1:4" x14ac:dyDescent="0.3">
      <c r="A94" s="1" t="s">
        <v>585</v>
      </c>
      <c r="B94" s="1" t="s">
        <v>2628</v>
      </c>
      <c r="C94" s="1" t="s">
        <v>2522</v>
      </c>
      <c r="D94" s="1" t="s">
        <v>2523</v>
      </c>
    </row>
    <row r="95" spans="1:4" x14ac:dyDescent="0.3">
      <c r="A95" s="1" t="s">
        <v>215</v>
      </c>
      <c r="B95" s="1" t="s">
        <v>2629</v>
      </c>
      <c r="C95" s="1" t="s">
        <v>2525</v>
      </c>
      <c r="D95" s="1" t="s">
        <v>2567</v>
      </c>
    </row>
    <row r="96" spans="1:4" x14ac:dyDescent="0.3">
      <c r="A96" s="1" t="s">
        <v>458</v>
      </c>
      <c r="B96" s="1" t="s">
        <v>2630</v>
      </c>
      <c r="C96" s="1" t="s">
        <v>2530</v>
      </c>
      <c r="D96" s="1" t="s">
        <v>2552</v>
      </c>
    </row>
    <row r="97" spans="1:4" x14ac:dyDescent="0.3">
      <c r="A97" s="1" t="s">
        <v>226</v>
      </c>
      <c r="B97" s="1" t="s">
        <v>2631</v>
      </c>
      <c r="C97" s="1" t="s">
        <v>2530</v>
      </c>
      <c r="D97" s="1" t="s">
        <v>2531</v>
      </c>
    </row>
    <row r="98" spans="1:4" x14ac:dyDescent="0.3">
      <c r="A98" s="1" t="s">
        <v>59</v>
      </c>
      <c r="B98" s="1" t="s">
        <v>2632</v>
      </c>
      <c r="C98" s="1" t="s">
        <v>2522</v>
      </c>
      <c r="D98" s="1" t="s">
        <v>2533</v>
      </c>
    </row>
    <row r="99" spans="1:4" x14ac:dyDescent="0.3">
      <c r="A99" s="1" t="s">
        <v>502</v>
      </c>
      <c r="B99" s="1" t="s">
        <v>2633</v>
      </c>
      <c r="C99" s="1" t="s">
        <v>2525</v>
      </c>
      <c r="D99" s="1" t="s">
        <v>2545</v>
      </c>
    </row>
    <row r="100" spans="1:4" x14ac:dyDescent="0.3">
      <c r="A100" s="1" t="s">
        <v>156</v>
      </c>
      <c r="B100" s="1" t="s">
        <v>2634</v>
      </c>
      <c r="C100" s="1" t="s">
        <v>2525</v>
      </c>
      <c r="D100" s="1" t="s">
        <v>2536</v>
      </c>
    </row>
    <row r="101" spans="1:4" x14ac:dyDescent="0.3">
      <c r="A101" s="1" t="s">
        <v>89</v>
      </c>
      <c r="B101" s="1" t="s">
        <v>2635</v>
      </c>
      <c r="C101" s="1" t="s">
        <v>2530</v>
      </c>
      <c r="D101" s="1" t="s">
        <v>2552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BE0E7-722F-4124-A909-9EF58B4C25F5}">
  <dimension ref="A1:B2001"/>
  <sheetViews>
    <sheetView topLeftCell="A1975" workbookViewId="0">
      <selection activeCell="F5" sqref="F5"/>
    </sheetView>
  </sheetViews>
  <sheetFormatPr defaultRowHeight="14.4" x14ac:dyDescent="0.3"/>
  <cols>
    <col min="1" max="1" width="10.77734375" bestFit="1" customWidth="1"/>
    <col min="2" max="2" width="11" bestFit="1" customWidth="1"/>
  </cols>
  <sheetData>
    <row r="1" spans="1:2" x14ac:dyDescent="0.3">
      <c r="A1" t="s">
        <v>0</v>
      </c>
      <c r="B1" t="s">
        <v>2636</v>
      </c>
    </row>
    <row r="2" spans="1:2" x14ac:dyDescent="0.3">
      <c r="A2" s="1" t="s">
        <v>8</v>
      </c>
      <c r="B2" s="1" t="s">
        <v>2637</v>
      </c>
    </row>
    <row r="3" spans="1:2" x14ac:dyDescent="0.3">
      <c r="A3" s="1" t="s">
        <v>11</v>
      </c>
      <c r="B3" s="1" t="s">
        <v>2637</v>
      </c>
    </row>
    <row r="4" spans="1:2" x14ac:dyDescent="0.3">
      <c r="A4" s="1" t="s">
        <v>14</v>
      </c>
      <c r="B4" s="1" t="s">
        <v>2637</v>
      </c>
    </row>
    <row r="5" spans="1:2" x14ac:dyDescent="0.3">
      <c r="A5" s="1" t="s">
        <v>17</v>
      </c>
      <c r="B5" s="1" t="s">
        <v>2637</v>
      </c>
    </row>
    <row r="6" spans="1:2" x14ac:dyDescent="0.3">
      <c r="A6" s="1" t="s">
        <v>20</v>
      </c>
      <c r="B6" s="1" t="s">
        <v>2637</v>
      </c>
    </row>
    <row r="7" spans="1:2" x14ac:dyDescent="0.3">
      <c r="A7" s="1" t="s">
        <v>23</v>
      </c>
      <c r="B7" s="1" t="s">
        <v>2638</v>
      </c>
    </row>
    <row r="8" spans="1:2" x14ac:dyDescent="0.3">
      <c r="A8" s="1" t="s">
        <v>26</v>
      </c>
      <c r="B8" s="1" t="s">
        <v>2637</v>
      </c>
    </row>
    <row r="9" spans="1:2" x14ac:dyDescent="0.3">
      <c r="A9" s="1" t="s">
        <v>29</v>
      </c>
      <c r="B9" s="1" t="s">
        <v>2637</v>
      </c>
    </row>
    <row r="10" spans="1:2" x14ac:dyDescent="0.3">
      <c r="A10" s="1" t="s">
        <v>32</v>
      </c>
      <c r="B10" s="1" t="s">
        <v>2637</v>
      </c>
    </row>
    <row r="11" spans="1:2" x14ac:dyDescent="0.3">
      <c r="A11" s="1" t="s">
        <v>35</v>
      </c>
      <c r="B11" s="1" t="s">
        <v>2638</v>
      </c>
    </row>
    <row r="12" spans="1:2" x14ac:dyDescent="0.3">
      <c r="A12" s="1" t="s">
        <v>38</v>
      </c>
      <c r="B12" s="1" t="s">
        <v>2638</v>
      </c>
    </row>
    <row r="13" spans="1:2" x14ac:dyDescent="0.3">
      <c r="A13" s="1" t="s">
        <v>41</v>
      </c>
      <c r="B13" s="1" t="s">
        <v>2637</v>
      </c>
    </row>
    <row r="14" spans="1:2" x14ac:dyDescent="0.3">
      <c r="A14" s="1" t="s">
        <v>44</v>
      </c>
      <c r="B14" s="1" t="s">
        <v>2637</v>
      </c>
    </row>
    <row r="15" spans="1:2" x14ac:dyDescent="0.3">
      <c r="A15" s="1" t="s">
        <v>46</v>
      </c>
      <c r="B15" s="1" t="s">
        <v>2637</v>
      </c>
    </row>
    <row r="16" spans="1:2" x14ac:dyDescent="0.3">
      <c r="A16" s="1" t="s">
        <v>49</v>
      </c>
      <c r="B16" s="1" t="s">
        <v>2637</v>
      </c>
    </row>
    <row r="17" spans="1:2" x14ac:dyDescent="0.3">
      <c r="A17" s="1" t="s">
        <v>52</v>
      </c>
      <c r="B17" s="1" t="s">
        <v>2637</v>
      </c>
    </row>
    <row r="18" spans="1:2" x14ac:dyDescent="0.3">
      <c r="A18" s="1" t="s">
        <v>55</v>
      </c>
      <c r="B18" s="1" t="s">
        <v>2637</v>
      </c>
    </row>
    <row r="19" spans="1:2" x14ac:dyDescent="0.3">
      <c r="A19" s="1" t="s">
        <v>57</v>
      </c>
      <c r="B19" s="1" t="s">
        <v>2637</v>
      </c>
    </row>
    <row r="20" spans="1:2" x14ac:dyDescent="0.3">
      <c r="A20" s="1" t="s">
        <v>60</v>
      </c>
      <c r="B20" s="1" t="s">
        <v>2638</v>
      </c>
    </row>
    <row r="21" spans="1:2" x14ac:dyDescent="0.3">
      <c r="A21" s="1" t="s">
        <v>62</v>
      </c>
      <c r="B21" s="1" t="s">
        <v>2637</v>
      </c>
    </row>
    <row r="22" spans="1:2" x14ac:dyDescent="0.3">
      <c r="A22" s="1" t="s">
        <v>65</v>
      </c>
      <c r="B22" s="1" t="s">
        <v>2637</v>
      </c>
    </row>
    <row r="23" spans="1:2" x14ac:dyDescent="0.3">
      <c r="A23" s="1" t="s">
        <v>68</v>
      </c>
      <c r="B23" s="1" t="s">
        <v>2637</v>
      </c>
    </row>
    <row r="24" spans="1:2" x14ac:dyDescent="0.3">
      <c r="A24" s="1" t="s">
        <v>71</v>
      </c>
      <c r="B24" s="1" t="s">
        <v>2637</v>
      </c>
    </row>
    <row r="25" spans="1:2" x14ac:dyDescent="0.3">
      <c r="A25" s="1" t="s">
        <v>73</v>
      </c>
      <c r="B25" s="1" t="s">
        <v>2637</v>
      </c>
    </row>
    <row r="26" spans="1:2" x14ac:dyDescent="0.3">
      <c r="A26" s="1" t="s">
        <v>76</v>
      </c>
      <c r="B26" s="1" t="s">
        <v>2637</v>
      </c>
    </row>
    <row r="27" spans="1:2" x14ac:dyDescent="0.3">
      <c r="A27" s="1" t="s">
        <v>79</v>
      </c>
      <c r="B27" s="1" t="s">
        <v>2637</v>
      </c>
    </row>
    <row r="28" spans="1:2" x14ac:dyDescent="0.3">
      <c r="A28" s="1" t="s">
        <v>81</v>
      </c>
      <c r="B28" s="1" t="s">
        <v>2637</v>
      </c>
    </row>
    <row r="29" spans="1:2" x14ac:dyDescent="0.3">
      <c r="A29" s="1" t="s">
        <v>84</v>
      </c>
      <c r="B29" s="1" t="s">
        <v>2638</v>
      </c>
    </row>
    <row r="30" spans="1:2" x14ac:dyDescent="0.3">
      <c r="A30" s="1" t="s">
        <v>87</v>
      </c>
      <c r="B30" s="1" t="s">
        <v>2638</v>
      </c>
    </row>
    <row r="31" spans="1:2" x14ac:dyDescent="0.3">
      <c r="A31" s="1" t="s">
        <v>90</v>
      </c>
      <c r="B31" s="1" t="s">
        <v>2637</v>
      </c>
    </row>
    <row r="32" spans="1:2" x14ac:dyDescent="0.3">
      <c r="A32" s="1" t="s">
        <v>93</v>
      </c>
      <c r="B32" s="1" t="s">
        <v>2637</v>
      </c>
    </row>
    <row r="33" spans="1:2" x14ac:dyDescent="0.3">
      <c r="A33" s="1" t="s">
        <v>95</v>
      </c>
      <c r="B33" s="1" t="s">
        <v>2637</v>
      </c>
    </row>
    <row r="34" spans="1:2" x14ac:dyDescent="0.3">
      <c r="A34" s="1" t="s">
        <v>98</v>
      </c>
      <c r="B34" s="1" t="s">
        <v>2637</v>
      </c>
    </row>
    <row r="35" spans="1:2" x14ac:dyDescent="0.3">
      <c r="A35" s="1" t="s">
        <v>101</v>
      </c>
      <c r="B35" s="1" t="s">
        <v>2637</v>
      </c>
    </row>
    <row r="36" spans="1:2" x14ac:dyDescent="0.3">
      <c r="A36" s="1" t="s">
        <v>103</v>
      </c>
      <c r="B36" s="1" t="s">
        <v>2637</v>
      </c>
    </row>
    <row r="37" spans="1:2" x14ac:dyDescent="0.3">
      <c r="A37" s="1" t="s">
        <v>105</v>
      </c>
      <c r="B37" s="1" t="s">
        <v>2638</v>
      </c>
    </row>
    <row r="38" spans="1:2" x14ac:dyDescent="0.3">
      <c r="A38" s="1" t="s">
        <v>108</v>
      </c>
      <c r="B38" s="1" t="s">
        <v>2638</v>
      </c>
    </row>
    <row r="39" spans="1:2" x14ac:dyDescent="0.3">
      <c r="A39" s="1" t="s">
        <v>110</v>
      </c>
      <c r="B39" s="1" t="s">
        <v>2637</v>
      </c>
    </row>
    <row r="40" spans="1:2" x14ac:dyDescent="0.3">
      <c r="A40" s="1" t="s">
        <v>112</v>
      </c>
      <c r="B40" s="1" t="s">
        <v>2638</v>
      </c>
    </row>
    <row r="41" spans="1:2" x14ac:dyDescent="0.3">
      <c r="A41" s="1" t="s">
        <v>114</v>
      </c>
      <c r="B41" s="1" t="s">
        <v>2637</v>
      </c>
    </row>
    <row r="42" spans="1:2" x14ac:dyDescent="0.3">
      <c r="A42" s="1" t="s">
        <v>117</v>
      </c>
      <c r="B42" s="1" t="s">
        <v>2637</v>
      </c>
    </row>
    <row r="43" spans="1:2" x14ac:dyDescent="0.3">
      <c r="A43" s="1" t="s">
        <v>120</v>
      </c>
      <c r="B43" s="1" t="s">
        <v>2637</v>
      </c>
    </row>
    <row r="44" spans="1:2" x14ac:dyDescent="0.3">
      <c r="A44" s="1" t="s">
        <v>123</v>
      </c>
      <c r="B44" s="1" t="s">
        <v>2638</v>
      </c>
    </row>
    <row r="45" spans="1:2" x14ac:dyDescent="0.3">
      <c r="A45" s="1" t="s">
        <v>125</v>
      </c>
      <c r="B45" s="1" t="s">
        <v>2637</v>
      </c>
    </row>
    <row r="46" spans="1:2" x14ac:dyDescent="0.3">
      <c r="A46" s="1" t="s">
        <v>128</v>
      </c>
      <c r="B46" s="1" t="s">
        <v>2637</v>
      </c>
    </row>
    <row r="47" spans="1:2" x14ac:dyDescent="0.3">
      <c r="A47" s="1" t="s">
        <v>131</v>
      </c>
      <c r="B47" s="1" t="s">
        <v>2637</v>
      </c>
    </row>
    <row r="48" spans="1:2" x14ac:dyDescent="0.3">
      <c r="A48" s="1" t="s">
        <v>133</v>
      </c>
      <c r="B48" s="1" t="s">
        <v>2637</v>
      </c>
    </row>
    <row r="49" spans="1:2" x14ac:dyDescent="0.3">
      <c r="A49" s="1" t="s">
        <v>135</v>
      </c>
      <c r="B49" s="1" t="s">
        <v>2638</v>
      </c>
    </row>
    <row r="50" spans="1:2" x14ac:dyDescent="0.3">
      <c r="A50" s="1" t="s">
        <v>137</v>
      </c>
      <c r="B50" s="1" t="s">
        <v>2637</v>
      </c>
    </row>
    <row r="51" spans="1:2" x14ac:dyDescent="0.3">
      <c r="A51" s="1" t="s">
        <v>140</v>
      </c>
      <c r="B51" s="1" t="s">
        <v>2637</v>
      </c>
    </row>
    <row r="52" spans="1:2" x14ac:dyDescent="0.3">
      <c r="A52" s="1" t="s">
        <v>142</v>
      </c>
      <c r="B52" s="1" t="s">
        <v>2637</v>
      </c>
    </row>
    <row r="53" spans="1:2" x14ac:dyDescent="0.3">
      <c r="A53" s="1" t="s">
        <v>144</v>
      </c>
      <c r="B53" s="1" t="s">
        <v>2637</v>
      </c>
    </row>
    <row r="54" spans="1:2" x14ac:dyDescent="0.3">
      <c r="A54" s="1" t="s">
        <v>146</v>
      </c>
      <c r="B54" s="1" t="s">
        <v>2637</v>
      </c>
    </row>
    <row r="55" spans="1:2" x14ac:dyDescent="0.3">
      <c r="A55" s="1" t="s">
        <v>148</v>
      </c>
      <c r="B55" s="1" t="s">
        <v>2638</v>
      </c>
    </row>
    <row r="56" spans="1:2" x14ac:dyDescent="0.3">
      <c r="A56" s="1" t="s">
        <v>149</v>
      </c>
      <c r="B56" s="1" t="s">
        <v>2637</v>
      </c>
    </row>
    <row r="57" spans="1:2" x14ac:dyDescent="0.3">
      <c r="A57" s="1" t="s">
        <v>151</v>
      </c>
      <c r="B57" s="1" t="s">
        <v>2637</v>
      </c>
    </row>
    <row r="58" spans="1:2" x14ac:dyDescent="0.3">
      <c r="A58" s="1" t="s">
        <v>152</v>
      </c>
      <c r="B58" s="1" t="s">
        <v>2637</v>
      </c>
    </row>
    <row r="59" spans="1:2" x14ac:dyDescent="0.3">
      <c r="A59" s="1" t="s">
        <v>153</v>
      </c>
      <c r="B59" s="1" t="s">
        <v>2637</v>
      </c>
    </row>
    <row r="60" spans="1:2" x14ac:dyDescent="0.3">
      <c r="A60" s="1" t="s">
        <v>155</v>
      </c>
      <c r="B60" s="1" t="s">
        <v>2637</v>
      </c>
    </row>
    <row r="61" spans="1:2" x14ac:dyDescent="0.3">
      <c r="A61" s="1" t="s">
        <v>157</v>
      </c>
      <c r="B61" s="1" t="s">
        <v>2637</v>
      </c>
    </row>
    <row r="62" spans="1:2" x14ac:dyDescent="0.3">
      <c r="A62" s="1" t="s">
        <v>159</v>
      </c>
      <c r="B62" s="1" t="s">
        <v>2638</v>
      </c>
    </row>
    <row r="63" spans="1:2" x14ac:dyDescent="0.3">
      <c r="A63" s="1" t="s">
        <v>162</v>
      </c>
      <c r="B63" s="1" t="s">
        <v>2637</v>
      </c>
    </row>
    <row r="64" spans="1:2" x14ac:dyDescent="0.3">
      <c r="A64" s="1" t="s">
        <v>164</v>
      </c>
      <c r="B64" s="1" t="s">
        <v>2637</v>
      </c>
    </row>
    <row r="65" spans="1:2" x14ac:dyDescent="0.3">
      <c r="A65" s="1" t="s">
        <v>166</v>
      </c>
      <c r="B65" s="1" t="s">
        <v>2637</v>
      </c>
    </row>
    <row r="66" spans="1:2" x14ac:dyDescent="0.3">
      <c r="A66" s="1" t="s">
        <v>168</v>
      </c>
      <c r="B66" s="1" t="s">
        <v>2637</v>
      </c>
    </row>
    <row r="67" spans="1:2" x14ac:dyDescent="0.3">
      <c r="A67" s="1" t="s">
        <v>171</v>
      </c>
      <c r="B67" s="1" t="s">
        <v>2637</v>
      </c>
    </row>
    <row r="68" spans="1:2" x14ac:dyDescent="0.3">
      <c r="A68" s="1" t="s">
        <v>173</v>
      </c>
      <c r="B68" s="1" t="s">
        <v>2637</v>
      </c>
    </row>
    <row r="69" spans="1:2" x14ac:dyDescent="0.3">
      <c r="A69" s="1" t="s">
        <v>175</v>
      </c>
      <c r="B69" s="1" t="s">
        <v>2637</v>
      </c>
    </row>
    <row r="70" spans="1:2" x14ac:dyDescent="0.3">
      <c r="A70" s="1" t="s">
        <v>178</v>
      </c>
      <c r="B70" s="1" t="s">
        <v>2637</v>
      </c>
    </row>
    <row r="71" spans="1:2" x14ac:dyDescent="0.3">
      <c r="A71" s="1" t="s">
        <v>181</v>
      </c>
      <c r="B71" s="1" t="s">
        <v>2637</v>
      </c>
    </row>
    <row r="72" spans="1:2" x14ac:dyDescent="0.3">
      <c r="A72" s="1" t="s">
        <v>183</v>
      </c>
      <c r="B72" s="1" t="s">
        <v>2637</v>
      </c>
    </row>
    <row r="73" spans="1:2" x14ac:dyDescent="0.3">
      <c r="A73" s="1" t="s">
        <v>185</v>
      </c>
      <c r="B73" s="1" t="s">
        <v>2637</v>
      </c>
    </row>
    <row r="74" spans="1:2" x14ac:dyDescent="0.3">
      <c r="A74" s="1" t="s">
        <v>187</v>
      </c>
      <c r="B74" s="1" t="s">
        <v>2638</v>
      </c>
    </row>
    <row r="75" spans="1:2" x14ac:dyDescent="0.3">
      <c r="A75" s="1" t="s">
        <v>189</v>
      </c>
      <c r="B75" s="1" t="s">
        <v>2637</v>
      </c>
    </row>
    <row r="76" spans="1:2" x14ac:dyDescent="0.3">
      <c r="A76" s="1" t="s">
        <v>191</v>
      </c>
      <c r="B76" s="1" t="s">
        <v>2637</v>
      </c>
    </row>
    <row r="77" spans="1:2" x14ac:dyDescent="0.3">
      <c r="A77" s="1" t="s">
        <v>193</v>
      </c>
      <c r="B77" s="1" t="s">
        <v>2638</v>
      </c>
    </row>
    <row r="78" spans="1:2" x14ac:dyDescent="0.3">
      <c r="A78" s="1" t="s">
        <v>196</v>
      </c>
      <c r="B78" s="1" t="s">
        <v>2637</v>
      </c>
    </row>
    <row r="79" spans="1:2" x14ac:dyDescent="0.3">
      <c r="A79" s="1" t="s">
        <v>197</v>
      </c>
      <c r="B79" s="1" t="s">
        <v>2637</v>
      </c>
    </row>
    <row r="80" spans="1:2" x14ac:dyDescent="0.3">
      <c r="A80" s="1" t="s">
        <v>199</v>
      </c>
      <c r="B80" s="1" t="s">
        <v>2637</v>
      </c>
    </row>
    <row r="81" spans="1:2" x14ac:dyDescent="0.3">
      <c r="A81" s="1" t="s">
        <v>202</v>
      </c>
      <c r="B81" s="1" t="s">
        <v>2637</v>
      </c>
    </row>
    <row r="82" spans="1:2" x14ac:dyDescent="0.3">
      <c r="A82" s="1" t="s">
        <v>204</v>
      </c>
      <c r="B82" s="1" t="s">
        <v>2638</v>
      </c>
    </row>
    <row r="83" spans="1:2" x14ac:dyDescent="0.3">
      <c r="A83" s="1" t="s">
        <v>206</v>
      </c>
      <c r="B83" s="1" t="s">
        <v>2637</v>
      </c>
    </row>
    <row r="84" spans="1:2" x14ac:dyDescent="0.3">
      <c r="A84" s="1" t="s">
        <v>207</v>
      </c>
      <c r="B84" s="1" t="s">
        <v>2637</v>
      </c>
    </row>
    <row r="85" spans="1:2" x14ac:dyDescent="0.3">
      <c r="A85" s="1" t="s">
        <v>210</v>
      </c>
      <c r="B85" s="1" t="s">
        <v>2637</v>
      </c>
    </row>
    <row r="86" spans="1:2" x14ac:dyDescent="0.3">
      <c r="A86" s="1" t="s">
        <v>212</v>
      </c>
      <c r="B86" s="1" t="s">
        <v>2637</v>
      </c>
    </row>
    <row r="87" spans="1:2" x14ac:dyDescent="0.3">
      <c r="A87" s="1" t="s">
        <v>214</v>
      </c>
      <c r="B87" s="1" t="s">
        <v>2637</v>
      </c>
    </row>
    <row r="88" spans="1:2" x14ac:dyDescent="0.3">
      <c r="A88" s="1" t="s">
        <v>216</v>
      </c>
      <c r="B88" s="1" t="s">
        <v>2637</v>
      </c>
    </row>
    <row r="89" spans="1:2" x14ac:dyDescent="0.3">
      <c r="A89" s="1" t="s">
        <v>219</v>
      </c>
      <c r="B89" s="1" t="s">
        <v>2637</v>
      </c>
    </row>
    <row r="90" spans="1:2" x14ac:dyDescent="0.3">
      <c r="A90" s="1" t="s">
        <v>222</v>
      </c>
      <c r="B90" s="1" t="s">
        <v>2637</v>
      </c>
    </row>
    <row r="91" spans="1:2" x14ac:dyDescent="0.3">
      <c r="A91" s="1" t="s">
        <v>224</v>
      </c>
      <c r="B91" s="1" t="s">
        <v>2637</v>
      </c>
    </row>
    <row r="92" spans="1:2" x14ac:dyDescent="0.3">
      <c r="A92" s="1" t="s">
        <v>227</v>
      </c>
      <c r="B92" s="1" t="s">
        <v>2638</v>
      </c>
    </row>
    <row r="93" spans="1:2" x14ac:dyDescent="0.3">
      <c r="A93" s="1" t="s">
        <v>229</v>
      </c>
      <c r="B93" s="1" t="s">
        <v>2638</v>
      </c>
    </row>
    <row r="94" spans="1:2" x14ac:dyDescent="0.3">
      <c r="A94" s="1" t="s">
        <v>230</v>
      </c>
      <c r="B94" s="1" t="s">
        <v>2637</v>
      </c>
    </row>
    <row r="95" spans="1:2" x14ac:dyDescent="0.3">
      <c r="A95" s="1" t="s">
        <v>232</v>
      </c>
      <c r="B95" s="1" t="s">
        <v>2637</v>
      </c>
    </row>
    <row r="96" spans="1:2" x14ac:dyDescent="0.3">
      <c r="A96" s="1" t="s">
        <v>235</v>
      </c>
      <c r="B96" s="1" t="s">
        <v>2637</v>
      </c>
    </row>
    <row r="97" spans="1:2" x14ac:dyDescent="0.3">
      <c r="A97" s="1" t="s">
        <v>236</v>
      </c>
      <c r="B97" s="1" t="s">
        <v>2638</v>
      </c>
    </row>
    <row r="98" spans="1:2" x14ac:dyDescent="0.3">
      <c r="A98" s="1" t="s">
        <v>237</v>
      </c>
      <c r="B98" s="1" t="s">
        <v>2638</v>
      </c>
    </row>
    <row r="99" spans="1:2" x14ac:dyDescent="0.3">
      <c r="A99" s="1" t="s">
        <v>240</v>
      </c>
      <c r="B99" s="1" t="s">
        <v>2637</v>
      </c>
    </row>
    <row r="100" spans="1:2" x14ac:dyDescent="0.3">
      <c r="A100" s="1" t="s">
        <v>241</v>
      </c>
      <c r="B100" s="1" t="s">
        <v>2637</v>
      </c>
    </row>
    <row r="101" spans="1:2" x14ac:dyDescent="0.3">
      <c r="A101" s="1" t="s">
        <v>243</v>
      </c>
      <c r="B101" s="1" t="s">
        <v>2637</v>
      </c>
    </row>
    <row r="102" spans="1:2" x14ac:dyDescent="0.3">
      <c r="A102" s="1" t="s">
        <v>245</v>
      </c>
      <c r="B102" s="1" t="s">
        <v>2637</v>
      </c>
    </row>
    <row r="103" spans="1:2" x14ac:dyDescent="0.3">
      <c r="A103" s="1" t="s">
        <v>247</v>
      </c>
      <c r="B103" s="1" t="s">
        <v>2637</v>
      </c>
    </row>
    <row r="104" spans="1:2" x14ac:dyDescent="0.3">
      <c r="A104" s="1" t="s">
        <v>250</v>
      </c>
      <c r="B104" s="1" t="s">
        <v>2637</v>
      </c>
    </row>
    <row r="105" spans="1:2" x14ac:dyDescent="0.3">
      <c r="A105" s="1" t="s">
        <v>251</v>
      </c>
      <c r="B105" s="1" t="s">
        <v>2637</v>
      </c>
    </row>
    <row r="106" spans="1:2" x14ac:dyDescent="0.3">
      <c r="A106" s="1" t="s">
        <v>254</v>
      </c>
      <c r="B106" s="1" t="s">
        <v>2637</v>
      </c>
    </row>
    <row r="107" spans="1:2" x14ac:dyDescent="0.3">
      <c r="A107" s="1" t="s">
        <v>255</v>
      </c>
      <c r="B107" s="1" t="s">
        <v>2637</v>
      </c>
    </row>
    <row r="108" spans="1:2" x14ac:dyDescent="0.3">
      <c r="A108" s="1" t="s">
        <v>257</v>
      </c>
      <c r="B108" s="1" t="s">
        <v>2637</v>
      </c>
    </row>
    <row r="109" spans="1:2" x14ac:dyDescent="0.3">
      <c r="A109" s="1" t="s">
        <v>259</v>
      </c>
      <c r="B109" s="1" t="s">
        <v>2638</v>
      </c>
    </row>
    <row r="110" spans="1:2" x14ac:dyDescent="0.3">
      <c r="A110" s="1" t="s">
        <v>261</v>
      </c>
      <c r="B110" s="1" t="s">
        <v>2637</v>
      </c>
    </row>
    <row r="111" spans="1:2" x14ac:dyDescent="0.3">
      <c r="A111" s="1" t="s">
        <v>264</v>
      </c>
      <c r="B111" s="1" t="s">
        <v>2637</v>
      </c>
    </row>
    <row r="112" spans="1:2" x14ac:dyDescent="0.3">
      <c r="A112" s="1" t="s">
        <v>266</v>
      </c>
      <c r="B112" s="1" t="s">
        <v>2637</v>
      </c>
    </row>
    <row r="113" spans="1:2" x14ac:dyDescent="0.3">
      <c r="A113" s="1" t="s">
        <v>267</v>
      </c>
      <c r="B113" s="1" t="s">
        <v>2638</v>
      </c>
    </row>
    <row r="114" spans="1:2" x14ac:dyDescent="0.3">
      <c r="A114" s="1" t="s">
        <v>270</v>
      </c>
      <c r="B114" s="1" t="s">
        <v>2637</v>
      </c>
    </row>
    <row r="115" spans="1:2" x14ac:dyDescent="0.3">
      <c r="A115" s="1" t="s">
        <v>272</v>
      </c>
      <c r="B115" s="1" t="s">
        <v>2637</v>
      </c>
    </row>
    <row r="116" spans="1:2" x14ac:dyDescent="0.3">
      <c r="A116" s="1" t="s">
        <v>274</v>
      </c>
      <c r="B116" s="1" t="s">
        <v>2637</v>
      </c>
    </row>
    <row r="117" spans="1:2" x14ac:dyDescent="0.3">
      <c r="A117" s="1" t="s">
        <v>276</v>
      </c>
      <c r="B117" s="1" t="s">
        <v>2637</v>
      </c>
    </row>
    <row r="118" spans="1:2" x14ac:dyDescent="0.3">
      <c r="A118" s="1" t="s">
        <v>279</v>
      </c>
      <c r="B118" s="1" t="s">
        <v>2637</v>
      </c>
    </row>
    <row r="119" spans="1:2" x14ac:dyDescent="0.3">
      <c r="A119" s="1" t="s">
        <v>281</v>
      </c>
      <c r="B119" s="1" t="s">
        <v>2637</v>
      </c>
    </row>
    <row r="120" spans="1:2" x14ac:dyDescent="0.3">
      <c r="A120" s="1" t="s">
        <v>284</v>
      </c>
      <c r="B120" s="1" t="s">
        <v>2637</v>
      </c>
    </row>
    <row r="121" spans="1:2" x14ac:dyDescent="0.3">
      <c r="A121" s="1" t="s">
        <v>286</v>
      </c>
      <c r="B121" s="1" t="s">
        <v>2637</v>
      </c>
    </row>
    <row r="122" spans="1:2" x14ac:dyDescent="0.3">
      <c r="A122" s="1" t="s">
        <v>289</v>
      </c>
      <c r="B122" s="1" t="s">
        <v>2637</v>
      </c>
    </row>
    <row r="123" spans="1:2" x14ac:dyDescent="0.3">
      <c r="A123" s="1" t="s">
        <v>291</v>
      </c>
      <c r="B123" s="1" t="s">
        <v>2637</v>
      </c>
    </row>
    <row r="124" spans="1:2" x14ac:dyDescent="0.3">
      <c r="A124" s="1" t="s">
        <v>293</v>
      </c>
      <c r="B124" s="1" t="s">
        <v>2637</v>
      </c>
    </row>
    <row r="125" spans="1:2" x14ac:dyDescent="0.3">
      <c r="A125" s="1" t="s">
        <v>295</v>
      </c>
      <c r="B125" s="1" t="s">
        <v>2637</v>
      </c>
    </row>
    <row r="126" spans="1:2" x14ac:dyDescent="0.3">
      <c r="A126" s="1" t="s">
        <v>297</v>
      </c>
      <c r="B126" s="1" t="s">
        <v>2637</v>
      </c>
    </row>
    <row r="127" spans="1:2" x14ac:dyDescent="0.3">
      <c r="A127" s="1" t="s">
        <v>298</v>
      </c>
      <c r="B127" s="1" t="s">
        <v>2637</v>
      </c>
    </row>
    <row r="128" spans="1:2" x14ac:dyDescent="0.3">
      <c r="A128" s="1" t="s">
        <v>299</v>
      </c>
      <c r="B128" s="1" t="s">
        <v>2637</v>
      </c>
    </row>
    <row r="129" spans="1:2" x14ac:dyDescent="0.3">
      <c r="A129" s="1" t="s">
        <v>302</v>
      </c>
      <c r="B129" s="1" t="s">
        <v>2637</v>
      </c>
    </row>
    <row r="130" spans="1:2" x14ac:dyDescent="0.3">
      <c r="A130" s="1" t="s">
        <v>303</v>
      </c>
      <c r="B130" s="1" t="s">
        <v>2637</v>
      </c>
    </row>
    <row r="131" spans="1:2" x14ac:dyDescent="0.3">
      <c r="A131" s="1" t="s">
        <v>305</v>
      </c>
      <c r="B131" s="1" t="s">
        <v>2637</v>
      </c>
    </row>
    <row r="132" spans="1:2" x14ac:dyDescent="0.3">
      <c r="A132" s="1" t="s">
        <v>307</v>
      </c>
      <c r="B132" s="1" t="s">
        <v>2637</v>
      </c>
    </row>
    <row r="133" spans="1:2" x14ac:dyDescent="0.3">
      <c r="A133" s="1" t="s">
        <v>310</v>
      </c>
      <c r="B133" s="1" t="s">
        <v>2637</v>
      </c>
    </row>
    <row r="134" spans="1:2" x14ac:dyDescent="0.3">
      <c r="A134" s="1" t="s">
        <v>311</v>
      </c>
      <c r="B134" s="1" t="s">
        <v>2638</v>
      </c>
    </row>
    <row r="135" spans="1:2" x14ac:dyDescent="0.3">
      <c r="A135" s="1" t="s">
        <v>312</v>
      </c>
      <c r="B135" s="1" t="s">
        <v>2637</v>
      </c>
    </row>
    <row r="136" spans="1:2" x14ac:dyDescent="0.3">
      <c r="A136" s="1" t="s">
        <v>315</v>
      </c>
      <c r="B136" s="1" t="s">
        <v>2637</v>
      </c>
    </row>
    <row r="137" spans="1:2" x14ac:dyDescent="0.3">
      <c r="A137" s="1" t="s">
        <v>317</v>
      </c>
      <c r="B137" s="1" t="s">
        <v>2637</v>
      </c>
    </row>
    <row r="138" spans="1:2" x14ac:dyDescent="0.3">
      <c r="A138" s="1" t="s">
        <v>318</v>
      </c>
      <c r="B138" s="1" t="s">
        <v>2637</v>
      </c>
    </row>
    <row r="139" spans="1:2" x14ac:dyDescent="0.3">
      <c r="A139" s="1" t="s">
        <v>320</v>
      </c>
      <c r="B139" s="1" t="s">
        <v>2637</v>
      </c>
    </row>
    <row r="140" spans="1:2" x14ac:dyDescent="0.3">
      <c r="A140" s="1" t="s">
        <v>322</v>
      </c>
      <c r="B140" s="1" t="s">
        <v>2638</v>
      </c>
    </row>
    <row r="141" spans="1:2" x14ac:dyDescent="0.3">
      <c r="A141" s="1" t="s">
        <v>324</v>
      </c>
      <c r="B141" s="1" t="s">
        <v>2637</v>
      </c>
    </row>
    <row r="142" spans="1:2" x14ac:dyDescent="0.3">
      <c r="A142" s="1" t="s">
        <v>326</v>
      </c>
      <c r="B142" s="1" t="s">
        <v>2637</v>
      </c>
    </row>
    <row r="143" spans="1:2" x14ac:dyDescent="0.3">
      <c r="A143" s="1" t="s">
        <v>327</v>
      </c>
      <c r="B143" s="1" t="s">
        <v>2637</v>
      </c>
    </row>
    <row r="144" spans="1:2" x14ac:dyDescent="0.3">
      <c r="A144" s="1" t="s">
        <v>329</v>
      </c>
      <c r="B144" s="1" t="s">
        <v>2637</v>
      </c>
    </row>
    <row r="145" spans="1:2" x14ac:dyDescent="0.3">
      <c r="A145" s="1" t="s">
        <v>331</v>
      </c>
      <c r="B145" s="1" t="s">
        <v>2638</v>
      </c>
    </row>
    <row r="146" spans="1:2" x14ac:dyDescent="0.3">
      <c r="A146" s="1" t="s">
        <v>333</v>
      </c>
      <c r="B146" s="1" t="s">
        <v>2637</v>
      </c>
    </row>
    <row r="147" spans="1:2" x14ac:dyDescent="0.3">
      <c r="A147" s="1" t="s">
        <v>335</v>
      </c>
      <c r="B147" s="1" t="s">
        <v>2637</v>
      </c>
    </row>
    <row r="148" spans="1:2" x14ac:dyDescent="0.3">
      <c r="A148" s="1" t="s">
        <v>337</v>
      </c>
      <c r="B148" s="1" t="s">
        <v>2637</v>
      </c>
    </row>
    <row r="149" spans="1:2" x14ac:dyDescent="0.3">
      <c r="A149" s="1" t="s">
        <v>339</v>
      </c>
      <c r="B149" s="1" t="s">
        <v>2638</v>
      </c>
    </row>
    <row r="150" spans="1:2" x14ac:dyDescent="0.3">
      <c r="A150" s="1" t="s">
        <v>340</v>
      </c>
      <c r="B150" s="1" t="s">
        <v>2637</v>
      </c>
    </row>
    <row r="151" spans="1:2" x14ac:dyDescent="0.3">
      <c r="A151" s="1" t="s">
        <v>342</v>
      </c>
      <c r="B151" s="1" t="s">
        <v>2638</v>
      </c>
    </row>
    <row r="152" spans="1:2" x14ac:dyDescent="0.3">
      <c r="A152" s="1" t="s">
        <v>343</v>
      </c>
      <c r="B152" s="1" t="s">
        <v>2637</v>
      </c>
    </row>
    <row r="153" spans="1:2" x14ac:dyDescent="0.3">
      <c r="A153" s="1" t="s">
        <v>345</v>
      </c>
      <c r="B153" s="1" t="s">
        <v>2637</v>
      </c>
    </row>
    <row r="154" spans="1:2" x14ac:dyDescent="0.3">
      <c r="A154" s="1" t="s">
        <v>346</v>
      </c>
      <c r="B154" s="1" t="s">
        <v>2637</v>
      </c>
    </row>
    <row r="155" spans="1:2" x14ac:dyDescent="0.3">
      <c r="A155" s="1" t="s">
        <v>348</v>
      </c>
      <c r="B155" s="1" t="s">
        <v>2637</v>
      </c>
    </row>
    <row r="156" spans="1:2" x14ac:dyDescent="0.3">
      <c r="A156" s="1" t="s">
        <v>349</v>
      </c>
      <c r="B156" s="1" t="s">
        <v>2637</v>
      </c>
    </row>
    <row r="157" spans="1:2" x14ac:dyDescent="0.3">
      <c r="A157" s="1" t="s">
        <v>351</v>
      </c>
      <c r="B157" s="1" t="s">
        <v>2637</v>
      </c>
    </row>
    <row r="158" spans="1:2" x14ac:dyDescent="0.3">
      <c r="A158" s="1" t="s">
        <v>352</v>
      </c>
      <c r="B158" s="1" t="s">
        <v>2638</v>
      </c>
    </row>
    <row r="159" spans="1:2" x14ac:dyDescent="0.3">
      <c r="A159" s="1" t="s">
        <v>354</v>
      </c>
      <c r="B159" s="1" t="s">
        <v>2637</v>
      </c>
    </row>
    <row r="160" spans="1:2" x14ac:dyDescent="0.3">
      <c r="A160" s="1" t="s">
        <v>356</v>
      </c>
      <c r="B160" s="1" t="s">
        <v>2637</v>
      </c>
    </row>
    <row r="161" spans="1:2" x14ac:dyDescent="0.3">
      <c r="A161" s="1" t="s">
        <v>357</v>
      </c>
      <c r="B161" s="1" t="s">
        <v>2638</v>
      </c>
    </row>
    <row r="162" spans="1:2" x14ac:dyDescent="0.3">
      <c r="A162" s="1" t="s">
        <v>358</v>
      </c>
      <c r="B162" s="1" t="s">
        <v>2637</v>
      </c>
    </row>
    <row r="163" spans="1:2" x14ac:dyDescent="0.3">
      <c r="A163" s="1" t="s">
        <v>359</v>
      </c>
      <c r="B163" s="1" t="s">
        <v>2637</v>
      </c>
    </row>
    <row r="164" spans="1:2" x14ac:dyDescent="0.3">
      <c r="A164" s="1" t="s">
        <v>362</v>
      </c>
      <c r="B164" s="1" t="s">
        <v>2638</v>
      </c>
    </row>
    <row r="165" spans="1:2" x14ac:dyDescent="0.3">
      <c r="A165" s="1" t="s">
        <v>363</v>
      </c>
      <c r="B165" s="1" t="s">
        <v>2638</v>
      </c>
    </row>
    <row r="166" spans="1:2" x14ac:dyDescent="0.3">
      <c r="A166" s="1" t="s">
        <v>365</v>
      </c>
      <c r="B166" s="1" t="s">
        <v>2637</v>
      </c>
    </row>
    <row r="167" spans="1:2" x14ac:dyDescent="0.3">
      <c r="A167" s="1" t="s">
        <v>366</v>
      </c>
      <c r="B167" s="1" t="s">
        <v>2637</v>
      </c>
    </row>
    <row r="168" spans="1:2" x14ac:dyDescent="0.3">
      <c r="A168" s="1" t="s">
        <v>368</v>
      </c>
      <c r="B168" s="1" t="s">
        <v>2637</v>
      </c>
    </row>
    <row r="169" spans="1:2" x14ac:dyDescent="0.3">
      <c r="A169" s="1" t="s">
        <v>370</v>
      </c>
      <c r="B169" s="1" t="s">
        <v>2637</v>
      </c>
    </row>
    <row r="170" spans="1:2" x14ac:dyDescent="0.3">
      <c r="A170" s="1" t="s">
        <v>373</v>
      </c>
      <c r="B170" s="1" t="s">
        <v>2637</v>
      </c>
    </row>
    <row r="171" spans="1:2" x14ac:dyDescent="0.3">
      <c r="A171" s="1" t="s">
        <v>374</v>
      </c>
      <c r="B171" s="1" t="s">
        <v>2638</v>
      </c>
    </row>
    <row r="172" spans="1:2" x14ac:dyDescent="0.3">
      <c r="A172" s="1" t="s">
        <v>375</v>
      </c>
      <c r="B172" s="1" t="s">
        <v>2637</v>
      </c>
    </row>
    <row r="173" spans="1:2" x14ac:dyDescent="0.3">
      <c r="A173" s="1" t="s">
        <v>376</v>
      </c>
      <c r="B173" s="1" t="s">
        <v>2637</v>
      </c>
    </row>
    <row r="174" spans="1:2" x14ac:dyDescent="0.3">
      <c r="A174" s="1" t="s">
        <v>377</v>
      </c>
      <c r="B174" s="1" t="s">
        <v>2637</v>
      </c>
    </row>
    <row r="175" spans="1:2" x14ac:dyDescent="0.3">
      <c r="A175" s="1" t="s">
        <v>379</v>
      </c>
      <c r="B175" s="1" t="s">
        <v>2637</v>
      </c>
    </row>
    <row r="176" spans="1:2" x14ac:dyDescent="0.3">
      <c r="A176" s="1" t="s">
        <v>381</v>
      </c>
      <c r="B176" s="1" t="s">
        <v>2637</v>
      </c>
    </row>
    <row r="177" spans="1:2" x14ac:dyDescent="0.3">
      <c r="A177" s="1" t="s">
        <v>382</v>
      </c>
      <c r="B177" s="1" t="s">
        <v>2638</v>
      </c>
    </row>
    <row r="178" spans="1:2" x14ac:dyDescent="0.3">
      <c r="A178" s="1" t="s">
        <v>383</v>
      </c>
      <c r="B178" s="1" t="s">
        <v>2638</v>
      </c>
    </row>
    <row r="179" spans="1:2" x14ac:dyDescent="0.3">
      <c r="A179" s="1" t="s">
        <v>385</v>
      </c>
      <c r="B179" s="1" t="s">
        <v>2637</v>
      </c>
    </row>
    <row r="180" spans="1:2" x14ac:dyDescent="0.3">
      <c r="A180" s="1" t="s">
        <v>386</v>
      </c>
      <c r="B180" s="1" t="s">
        <v>2637</v>
      </c>
    </row>
    <row r="181" spans="1:2" x14ac:dyDescent="0.3">
      <c r="A181" s="1" t="s">
        <v>387</v>
      </c>
      <c r="B181" s="1" t="s">
        <v>2637</v>
      </c>
    </row>
    <row r="182" spans="1:2" x14ac:dyDescent="0.3">
      <c r="A182" s="1" t="s">
        <v>389</v>
      </c>
      <c r="B182" s="1" t="s">
        <v>2637</v>
      </c>
    </row>
    <row r="183" spans="1:2" x14ac:dyDescent="0.3">
      <c r="A183" s="1" t="s">
        <v>390</v>
      </c>
      <c r="B183" s="1" t="s">
        <v>2637</v>
      </c>
    </row>
    <row r="184" spans="1:2" x14ac:dyDescent="0.3">
      <c r="A184" s="1" t="s">
        <v>393</v>
      </c>
      <c r="B184" s="1" t="s">
        <v>2637</v>
      </c>
    </row>
    <row r="185" spans="1:2" x14ac:dyDescent="0.3">
      <c r="A185" s="1" t="s">
        <v>395</v>
      </c>
      <c r="B185" s="1" t="s">
        <v>2638</v>
      </c>
    </row>
    <row r="186" spans="1:2" x14ac:dyDescent="0.3">
      <c r="A186" s="1" t="s">
        <v>398</v>
      </c>
      <c r="B186" s="1" t="s">
        <v>2638</v>
      </c>
    </row>
    <row r="187" spans="1:2" x14ac:dyDescent="0.3">
      <c r="A187" s="1" t="s">
        <v>399</v>
      </c>
      <c r="B187" s="1" t="s">
        <v>2637</v>
      </c>
    </row>
    <row r="188" spans="1:2" x14ac:dyDescent="0.3">
      <c r="A188" s="1" t="s">
        <v>401</v>
      </c>
      <c r="B188" s="1" t="s">
        <v>2637</v>
      </c>
    </row>
    <row r="189" spans="1:2" x14ac:dyDescent="0.3">
      <c r="A189" s="1" t="s">
        <v>403</v>
      </c>
      <c r="B189" s="1" t="s">
        <v>2637</v>
      </c>
    </row>
    <row r="190" spans="1:2" x14ac:dyDescent="0.3">
      <c r="A190" s="1" t="s">
        <v>405</v>
      </c>
      <c r="B190" s="1" t="s">
        <v>2637</v>
      </c>
    </row>
    <row r="191" spans="1:2" x14ac:dyDescent="0.3">
      <c r="A191" s="1" t="s">
        <v>407</v>
      </c>
      <c r="B191" s="1" t="s">
        <v>2637</v>
      </c>
    </row>
    <row r="192" spans="1:2" x14ac:dyDescent="0.3">
      <c r="A192" s="1" t="s">
        <v>408</v>
      </c>
      <c r="B192" s="1" t="s">
        <v>2637</v>
      </c>
    </row>
    <row r="193" spans="1:2" x14ac:dyDescent="0.3">
      <c r="A193" s="1" t="s">
        <v>409</v>
      </c>
      <c r="B193" s="1" t="s">
        <v>2637</v>
      </c>
    </row>
    <row r="194" spans="1:2" x14ac:dyDescent="0.3">
      <c r="A194" s="1" t="s">
        <v>410</v>
      </c>
      <c r="B194" s="1" t="s">
        <v>2638</v>
      </c>
    </row>
    <row r="195" spans="1:2" x14ac:dyDescent="0.3">
      <c r="A195" s="1" t="s">
        <v>411</v>
      </c>
      <c r="B195" s="1" t="s">
        <v>2637</v>
      </c>
    </row>
    <row r="196" spans="1:2" x14ac:dyDescent="0.3">
      <c r="A196" s="1" t="s">
        <v>413</v>
      </c>
      <c r="B196" s="1" t="s">
        <v>2637</v>
      </c>
    </row>
    <row r="197" spans="1:2" x14ac:dyDescent="0.3">
      <c r="A197" s="1" t="s">
        <v>414</v>
      </c>
      <c r="B197" s="1" t="s">
        <v>2638</v>
      </c>
    </row>
    <row r="198" spans="1:2" x14ac:dyDescent="0.3">
      <c r="A198" s="1" t="s">
        <v>415</v>
      </c>
      <c r="B198" s="1" t="s">
        <v>2637</v>
      </c>
    </row>
    <row r="199" spans="1:2" x14ac:dyDescent="0.3">
      <c r="A199" s="1" t="s">
        <v>416</v>
      </c>
      <c r="B199" s="1" t="s">
        <v>2637</v>
      </c>
    </row>
    <row r="200" spans="1:2" x14ac:dyDescent="0.3">
      <c r="A200" s="1" t="s">
        <v>418</v>
      </c>
      <c r="B200" s="1" t="s">
        <v>2637</v>
      </c>
    </row>
    <row r="201" spans="1:2" x14ac:dyDescent="0.3">
      <c r="A201" s="1" t="s">
        <v>419</v>
      </c>
      <c r="B201" s="1" t="s">
        <v>2637</v>
      </c>
    </row>
    <row r="202" spans="1:2" x14ac:dyDescent="0.3">
      <c r="A202" s="1" t="s">
        <v>421</v>
      </c>
      <c r="B202" s="1" t="s">
        <v>2637</v>
      </c>
    </row>
    <row r="203" spans="1:2" x14ac:dyDescent="0.3">
      <c r="A203" s="1" t="s">
        <v>423</v>
      </c>
      <c r="B203" s="1" t="s">
        <v>2638</v>
      </c>
    </row>
    <row r="204" spans="1:2" x14ac:dyDescent="0.3">
      <c r="A204" s="1" t="s">
        <v>424</v>
      </c>
      <c r="B204" s="1" t="s">
        <v>2637</v>
      </c>
    </row>
    <row r="205" spans="1:2" x14ac:dyDescent="0.3">
      <c r="A205" s="1" t="s">
        <v>426</v>
      </c>
      <c r="B205" s="1" t="s">
        <v>2637</v>
      </c>
    </row>
    <row r="206" spans="1:2" x14ac:dyDescent="0.3">
      <c r="A206" s="1" t="s">
        <v>427</v>
      </c>
      <c r="B206" s="1" t="s">
        <v>2637</v>
      </c>
    </row>
    <row r="207" spans="1:2" x14ac:dyDescent="0.3">
      <c r="A207" s="1" t="s">
        <v>428</v>
      </c>
      <c r="B207" s="1" t="s">
        <v>2637</v>
      </c>
    </row>
    <row r="208" spans="1:2" x14ac:dyDescent="0.3">
      <c r="A208" s="1" t="s">
        <v>429</v>
      </c>
      <c r="B208" s="1" t="s">
        <v>2637</v>
      </c>
    </row>
    <row r="209" spans="1:2" x14ac:dyDescent="0.3">
      <c r="A209" s="1" t="s">
        <v>430</v>
      </c>
      <c r="B209" s="1" t="s">
        <v>2637</v>
      </c>
    </row>
    <row r="210" spans="1:2" x14ac:dyDescent="0.3">
      <c r="A210" s="1" t="s">
        <v>431</v>
      </c>
      <c r="B210" s="1" t="s">
        <v>2637</v>
      </c>
    </row>
    <row r="211" spans="1:2" x14ac:dyDescent="0.3">
      <c r="A211" s="1" t="s">
        <v>432</v>
      </c>
      <c r="B211" s="1" t="s">
        <v>2637</v>
      </c>
    </row>
    <row r="212" spans="1:2" x14ac:dyDescent="0.3">
      <c r="A212" s="1" t="s">
        <v>433</v>
      </c>
      <c r="B212" s="1" t="s">
        <v>2637</v>
      </c>
    </row>
    <row r="213" spans="1:2" x14ac:dyDescent="0.3">
      <c r="A213" s="1" t="s">
        <v>435</v>
      </c>
      <c r="B213" s="1" t="s">
        <v>2637</v>
      </c>
    </row>
    <row r="214" spans="1:2" x14ac:dyDescent="0.3">
      <c r="A214" s="1" t="s">
        <v>437</v>
      </c>
      <c r="B214" s="1" t="s">
        <v>2637</v>
      </c>
    </row>
    <row r="215" spans="1:2" x14ac:dyDescent="0.3">
      <c r="A215" s="1" t="s">
        <v>438</v>
      </c>
      <c r="B215" s="1" t="s">
        <v>2637</v>
      </c>
    </row>
    <row r="216" spans="1:2" x14ac:dyDescent="0.3">
      <c r="A216" s="1" t="s">
        <v>440</v>
      </c>
      <c r="B216" s="1" t="s">
        <v>2637</v>
      </c>
    </row>
    <row r="217" spans="1:2" x14ac:dyDescent="0.3">
      <c r="A217" s="1" t="s">
        <v>441</v>
      </c>
      <c r="B217" s="1" t="s">
        <v>2637</v>
      </c>
    </row>
    <row r="218" spans="1:2" x14ac:dyDescent="0.3">
      <c r="A218" s="1" t="s">
        <v>443</v>
      </c>
      <c r="B218" s="1" t="s">
        <v>2637</v>
      </c>
    </row>
    <row r="219" spans="1:2" x14ac:dyDescent="0.3">
      <c r="A219" s="1" t="s">
        <v>445</v>
      </c>
      <c r="B219" s="1" t="s">
        <v>2637</v>
      </c>
    </row>
    <row r="220" spans="1:2" x14ac:dyDescent="0.3">
      <c r="A220" s="1" t="s">
        <v>446</v>
      </c>
      <c r="B220" s="1" t="s">
        <v>2637</v>
      </c>
    </row>
    <row r="221" spans="1:2" x14ac:dyDescent="0.3">
      <c r="A221" s="1" t="s">
        <v>448</v>
      </c>
      <c r="B221" s="1" t="s">
        <v>2637</v>
      </c>
    </row>
    <row r="222" spans="1:2" x14ac:dyDescent="0.3">
      <c r="A222" s="1" t="s">
        <v>450</v>
      </c>
      <c r="B222" s="1" t="s">
        <v>2638</v>
      </c>
    </row>
    <row r="223" spans="1:2" x14ac:dyDescent="0.3">
      <c r="A223" s="1" t="s">
        <v>452</v>
      </c>
      <c r="B223" s="1" t="s">
        <v>2637</v>
      </c>
    </row>
    <row r="224" spans="1:2" x14ac:dyDescent="0.3">
      <c r="A224" s="1" t="s">
        <v>453</v>
      </c>
      <c r="B224" s="1" t="s">
        <v>2638</v>
      </c>
    </row>
    <row r="225" spans="1:2" x14ac:dyDescent="0.3">
      <c r="A225" s="1" t="s">
        <v>454</v>
      </c>
      <c r="B225" s="1" t="s">
        <v>2638</v>
      </c>
    </row>
    <row r="226" spans="1:2" x14ac:dyDescent="0.3">
      <c r="A226" s="1" t="s">
        <v>456</v>
      </c>
      <c r="B226" s="1" t="s">
        <v>2637</v>
      </c>
    </row>
    <row r="227" spans="1:2" x14ac:dyDescent="0.3">
      <c r="A227" s="1" t="s">
        <v>457</v>
      </c>
      <c r="B227" s="1" t="s">
        <v>2637</v>
      </c>
    </row>
    <row r="228" spans="1:2" x14ac:dyDescent="0.3">
      <c r="A228" s="1" t="s">
        <v>459</v>
      </c>
      <c r="B228" s="1" t="s">
        <v>2637</v>
      </c>
    </row>
    <row r="229" spans="1:2" x14ac:dyDescent="0.3">
      <c r="A229" s="1" t="s">
        <v>460</v>
      </c>
      <c r="B229" s="1" t="s">
        <v>2637</v>
      </c>
    </row>
    <row r="230" spans="1:2" x14ac:dyDescent="0.3">
      <c r="A230" s="1" t="s">
        <v>461</v>
      </c>
      <c r="B230" s="1" t="s">
        <v>2637</v>
      </c>
    </row>
    <row r="231" spans="1:2" x14ac:dyDescent="0.3">
      <c r="A231" s="1" t="s">
        <v>462</v>
      </c>
      <c r="B231" s="1" t="s">
        <v>2637</v>
      </c>
    </row>
    <row r="232" spans="1:2" x14ac:dyDescent="0.3">
      <c r="A232" s="1" t="s">
        <v>463</v>
      </c>
      <c r="B232" s="1" t="s">
        <v>2637</v>
      </c>
    </row>
    <row r="233" spans="1:2" x14ac:dyDescent="0.3">
      <c r="A233" s="1" t="s">
        <v>465</v>
      </c>
      <c r="B233" s="1" t="s">
        <v>2637</v>
      </c>
    </row>
    <row r="234" spans="1:2" x14ac:dyDescent="0.3">
      <c r="A234" s="1" t="s">
        <v>467</v>
      </c>
      <c r="B234" s="1" t="s">
        <v>2637</v>
      </c>
    </row>
    <row r="235" spans="1:2" x14ac:dyDescent="0.3">
      <c r="A235" s="1" t="s">
        <v>469</v>
      </c>
      <c r="B235" s="1" t="s">
        <v>2638</v>
      </c>
    </row>
    <row r="236" spans="1:2" x14ac:dyDescent="0.3">
      <c r="A236" s="1" t="s">
        <v>470</v>
      </c>
      <c r="B236" s="1" t="s">
        <v>2638</v>
      </c>
    </row>
    <row r="237" spans="1:2" x14ac:dyDescent="0.3">
      <c r="A237" s="1" t="s">
        <v>471</v>
      </c>
      <c r="B237" s="1" t="s">
        <v>2637</v>
      </c>
    </row>
    <row r="238" spans="1:2" x14ac:dyDescent="0.3">
      <c r="A238" s="1" t="s">
        <v>472</v>
      </c>
      <c r="B238" s="1" t="s">
        <v>2637</v>
      </c>
    </row>
    <row r="239" spans="1:2" x14ac:dyDescent="0.3">
      <c r="A239" s="1" t="s">
        <v>474</v>
      </c>
      <c r="B239" s="1" t="s">
        <v>2638</v>
      </c>
    </row>
    <row r="240" spans="1:2" x14ac:dyDescent="0.3">
      <c r="A240" s="1" t="s">
        <v>476</v>
      </c>
      <c r="B240" s="1" t="s">
        <v>2637</v>
      </c>
    </row>
    <row r="241" spans="1:2" x14ac:dyDescent="0.3">
      <c r="A241" s="1" t="s">
        <v>477</v>
      </c>
      <c r="B241" s="1" t="s">
        <v>2637</v>
      </c>
    </row>
    <row r="242" spans="1:2" x14ac:dyDescent="0.3">
      <c r="A242" s="1" t="s">
        <v>478</v>
      </c>
      <c r="B242" s="1" t="s">
        <v>2637</v>
      </c>
    </row>
    <row r="243" spans="1:2" x14ac:dyDescent="0.3">
      <c r="A243" s="1" t="s">
        <v>479</v>
      </c>
      <c r="B243" s="1" t="s">
        <v>2637</v>
      </c>
    </row>
    <row r="244" spans="1:2" x14ac:dyDescent="0.3">
      <c r="A244" s="1" t="s">
        <v>480</v>
      </c>
      <c r="B244" s="1" t="s">
        <v>2637</v>
      </c>
    </row>
    <row r="245" spans="1:2" x14ac:dyDescent="0.3">
      <c r="A245" s="1" t="s">
        <v>481</v>
      </c>
      <c r="B245" s="1" t="s">
        <v>2637</v>
      </c>
    </row>
    <row r="246" spans="1:2" x14ac:dyDescent="0.3">
      <c r="A246" s="1" t="s">
        <v>483</v>
      </c>
      <c r="B246" s="1" t="s">
        <v>2637</v>
      </c>
    </row>
    <row r="247" spans="1:2" x14ac:dyDescent="0.3">
      <c r="A247" s="1" t="s">
        <v>484</v>
      </c>
      <c r="B247" s="1" t="s">
        <v>2637</v>
      </c>
    </row>
    <row r="248" spans="1:2" x14ac:dyDescent="0.3">
      <c r="A248" s="1" t="s">
        <v>485</v>
      </c>
      <c r="B248" s="1" t="s">
        <v>2637</v>
      </c>
    </row>
    <row r="249" spans="1:2" x14ac:dyDescent="0.3">
      <c r="A249" s="1" t="s">
        <v>486</v>
      </c>
      <c r="B249" s="1" t="s">
        <v>2637</v>
      </c>
    </row>
    <row r="250" spans="1:2" x14ac:dyDescent="0.3">
      <c r="A250" s="1" t="s">
        <v>488</v>
      </c>
      <c r="B250" s="1" t="s">
        <v>2638</v>
      </c>
    </row>
    <row r="251" spans="1:2" x14ac:dyDescent="0.3">
      <c r="A251" s="1" t="s">
        <v>490</v>
      </c>
      <c r="B251" s="1" t="s">
        <v>2637</v>
      </c>
    </row>
    <row r="252" spans="1:2" x14ac:dyDescent="0.3">
      <c r="A252" s="1" t="s">
        <v>492</v>
      </c>
      <c r="B252" s="1" t="s">
        <v>2637</v>
      </c>
    </row>
    <row r="253" spans="1:2" x14ac:dyDescent="0.3">
      <c r="A253" s="1" t="s">
        <v>493</v>
      </c>
      <c r="B253" s="1" t="s">
        <v>2637</v>
      </c>
    </row>
    <row r="254" spans="1:2" x14ac:dyDescent="0.3">
      <c r="A254" s="1" t="s">
        <v>495</v>
      </c>
      <c r="B254" s="1" t="s">
        <v>2637</v>
      </c>
    </row>
    <row r="255" spans="1:2" x14ac:dyDescent="0.3">
      <c r="A255" s="1" t="s">
        <v>496</v>
      </c>
      <c r="B255" s="1" t="s">
        <v>2638</v>
      </c>
    </row>
    <row r="256" spans="1:2" x14ac:dyDescent="0.3">
      <c r="A256" s="1" t="s">
        <v>497</v>
      </c>
      <c r="B256" s="1" t="s">
        <v>2637</v>
      </c>
    </row>
    <row r="257" spans="1:2" x14ac:dyDescent="0.3">
      <c r="A257" s="1" t="s">
        <v>498</v>
      </c>
      <c r="B257" s="1" t="s">
        <v>2637</v>
      </c>
    </row>
    <row r="258" spans="1:2" x14ac:dyDescent="0.3">
      <c r="A258" s="1" t="s">
        <v>499</v>
      </c>
      <c r="B258" s="1" t="s">
        <v>2637</v>
      </c>
    </row>
    <row r="259" spans="1:2" x14ac:dyDescent="0.3">
      <c r="A259" s="1" t="s">
        <v>500</v>
      </c>
      <c r="B259" s="1" t="s">
        <v>2638</v>
      </c>
    </row>
    <row r="260" spans="1:2" x14ac:dyDescent="0.3">
      <c r="A260" s="1" t="s">
        <v>501</v>
      </c>
      <c r="B260" s="1" t="s">
        <v>2637</v>
      </c>
    </row>
    <row r="261" spans="1:2" x14ac:dyDescent="0.3">
      <c r="A261" s="1" t="s">
        <v>503</v>
      </c>
      <c r="B261" s="1" t="s">
        <v>2637</v>
      </c>
    </row>
    <row r="262" spans="1:2" x14ac:dyDescent="0.3">
      <c r="A262" s="1" t="s">
        <v>504</v>
      </c>
      <c r="B262" s="1" t="s">
        <v>2638</v>
      </c>
    </row>
    <row r="263" spans="1:2" x14ac:dyDescent="0.3">
      <c r="A263" s="1" t="s">
        <v>506</v>
      </c>
      <c r="B263" s="1" t="s">
        <v>2637</v>
      </c>
    </row>
    <row r="264" spans="1:2" x14ac:dyDescent="0.3">
      <c r="A264" s="1" t="s">
        <v>507</v>
      </c>
      <c r="B264" s="1" t="s">
        <v>2637</v>
      </c>
    </row>
    <row r="265" spans="1:2" x14ac:dyDescent="0.3">
      <c r="A265" s="1" t="s">
        <v>508</v>
      </c>
      <c r="B265" s="1" t="s">
        <v>2638</v>
      </c>
    </row>
    <row r="266" spans="1:2" x14ac:dyDescent="0.3">
      <c r="A266" s="1" t="s">
        <v>509</v>
      </c>
      <c r="B266" s="1" t="s">
        <v>2638</v>
      </c>
    </row>
    <row r="267" spans="1:2" x14ac:dyDescent="0.3">
      <c r="A267" s="1" t="s">
        <v>511</v>
      </c>
      <c r="B267" s="1" t="s">
        <v>2638</v>
      </c>
    </row>
    <row r="268" spans="1:2" x14ac:dyDescent="0.3">
      <c r="A268" s="1" t="s">
        <v>512</v>
      </c>
      <c r="B268" s="1" t="s">
        <v>2637</v>
      </c>
    </row>
    <row r="269" spans="1:2" x14ac:dyDescent="0.3">
      <c r="A269" s="1" t="s">
        <v>513</v>
      </c>
      <c r="B269" s="1" t="s">
        <v>2638</v>
      </c>
    </row>
    <row r="270" spans="1:2" x14ac:dyDescent="0.3">
      <c r="A270" s="1" t="s">
        <v>514</v>
      </c>
      <c r="B270" s="1" t="s">
        <v>2637</v>
      </c>
    </row>
    <row r="271" spans="1:2" x14ac:dyDescent="0.3">
      <c r="A271" s="1" t="s">
        <v>515</v>
      </c>
      <c r="B271" s="1" t="s">
        <v>2637</v>
      </c>
    </row>
    <row r="272" spans="1:2" x14ac:dyDescent="0.3">
      <c r="A272" s="1" t="s">
        <v>516</v>
      </c>
      <c r="B272" s="1" t="s">
        <v>2637</v>
      </c>
    </row>
    <row r="273" spans="1:2" x14ac:dyDescent="0.3">
      <c r="A273" s="1" t="s">
        <v>517</v>
      </c>
      <c r="B273" s="1" t="s">
        <v>2638</v>
      </c>
    </row>
    <row r="274" spans="1:2" x14ac:dyDescent="0.3">
      <c r="A274" s="1" t="s">
        <v>518</v>
      </c>
      <c r="B274" s="1" t="s">
        <v>2637</v>
      </c>
    </row>
    <row r="275" spans="1:2" x14ac:dyDescent="0.3">
      <c r="A275" s="1" t="s">
        <v>519</v>
      </c>
      <c r="B275" s="1" t="s">
        <v>2637</v>
      </c>
    </row>
    <row r="276" spans="1:2" x14ac:dyDescent="0.3">
      <c r="A276" s="1" t="s">
        <v>521</v>
      </c>
      <c r="B276" s="1" t="s">
        <v>2637</v>
      </c>
    </row>
    <row r="277" spans="1:2" x14ac:dyDescent="0.3">
      <c r="A277" s="1" t="s">
        <v>522</v>
      </c>
      <c r="B277" s="1" t="s">
        <v>2637</v>
      </c>
    </row>
    <row r="278" spans="1:2" x14ac:dyDescent="0.3">
      <c r="A278" s="1" t="s">
        <v>523</v>
      </c>
      <c r="B278" s="1" t="s">
        <v>2638</v>
      </c>
    </row>
    <row r="279" spans="1:2" x14ac:dyDescent="0.3">
      <c r="A279" s="1" t="s">
        <v>525</v>
      </c>
      <c r="B279" s="1" t="s">
        <v>2637</v>
      </c>
    </row>
    <row r="280" spans="1:2" x14ac:dyDescent="0.3">
      <c r="A280" s="1" t="s">
        <v>527</v>
      </c>
      <c r="B280" s="1" t="s">
        <v>2637</v>
      </c>
    </row>
    <row r="281" spans="1:2" x14ac:dyDescent="0.3">
      <c r="A281" s="1" t="s">
        <v>528</v>
      </c>
      <c r="B281" s="1" t="s">
        <v>2637</v>
      </c>
    </row>
    <row r="282" spans="1:2" x14ac:dyDescent="0.3">
      <c r="A282" s="1" t="s">
        <v>530</v>
      </c>
      <c r="B282" s="1" t="s">
        <v>2637</v>
      </c>
    </row>
    <row r="283" spans="1:2" x14ac:dyDescent="0.3">
      <c r="A283" s="1" t="s">
        <v>531</v>
      </c>
      <c r="B283" s="1" t="s">
        <v>2637</v>
      </c>
    </row>
    <row r="284" spans="1:2" x14ac:dyDescent="0.3">
      <c r="A284" s="1" t="s">
        <v>532</v>
      </c>
      <c r="B284" s="1" t="s">
        <v>2638</v>
      </c>
    </row>
    <row r="285" spans="1:2" x14ac:dyDescent="0.3">
      <c r="A285" s="1" t="s">
        <v>534</v>
      </c>
      <c r="B285" s="1" t="s">
        <v>2637</v>
      </c>
    </row>
    <row r="286" spans="1:2" x14ac:dyDescent="0.3">
      <c r="A286" s="1" t="s">
        <v>535</v>
      </c>
      <c r="B286" s="1" t="s">
        <v>2637</v>
      </c>
    </row>
    <row r="287" spans="1:2" x14ac:dyDescent="0.3">
      <c r="A287" s="1" t="s">
        <v>536</v>
      </c>
      <c r="B287" s="1" t="s">
        <v>2638</v>
      </c>
    </row>
    <row r="288" spans="1:2" x14ac:dyDescent="0.3">
      <c r="A288" s="1" t="s">
        <v>538</v>
      </c>
      <c r="B288" s="1" t="s">
        <v>2637</v>
      </c>
    </row>
    <row r="289" spans="1:2" x14ac:dyDescent="0.3">
      <c r="A289" s="1" t="s">
        <v>539</v>
      </c>
      <c r="B289" s="1" t="s">
        <v>2637</v>
      </c>
    </row>
    <row r="290" spans="1:2" x14ac:dyDescent="0.3">
      <c r="A290" s="1" t="s">
        <v>540</v>
      </c>
      <c r="B290" s="1" t="s">
        <v>2637</v>
      </c>
    </row>
    <row r="291" spans="1:2" x14ac:dyDescent="0.3">
      <c r="A291" s="1" t="s">
        <v>541</v>
      </c>
      <c r="B291" s="1" t="s">
        <v>2638</v>
      </c>
    </row>
    <row r="292" spans="1:2" x14ac:dyDescent="0.3">
      <c r="A292" s="1" t="s">
        <v>543</v>
      </c>
      <c r="B292" s="1" t="s">
        <v>2637</v>
      </c>
    </row>
    <row r="293" spans="1:2" x14ac:dyDescent="0.3">
      <c r="A293" s="1" t="s">
        <v>544</v>
      </c>
      <c r="B293" s="1" t="s">
        <v>2637</v>
      </c>
    </row>
    <row r="294" spans="1:2" x14ac:dyDescent="0.3">
      <c r="A294" s="1" t="s">
        <v>545</v>
      </c>
      <c r="B294" s="1" t="s">
        <v>2637</v>
      </c>
    </row>
    <row r="295" spans="1:2" x14ac:dyDescent="0.3">
      <c r="A295" s="1" t="s">
        <v>546</v>
      </c>
      <c r="B295" s="1" t="s">
        <v>2638</v>
      </c>
    </row>
    <row r="296" spans="1:2" x14ac:dyDescent="0.3">
      <c r="A296" s="1" t="s">
        <v>548</v>
      </c>
      <c r="B296" s="1" t="s">
        <v>2637</v>
      </c>
    </row>
    <row r="297" spans="1:2" x14ac:dyDescent="0.3">
      <c r="A297" s="1" t="s">
        <v>549</v>
      </c>
      <c r="B297" s="1" t="s">
        <v>2637</v>
      </c>
    </row>
    <row r="298" spans="1:2" x14ac:dyDescent="0.3">
      <c r="A298" s="1" t="s">
        <v>550</v>
      </c>
      <c r="B298" s="1" t="s">
        <v>2637</v>
      </c>
    </row>
    <row r="299" spans="1:2" x14ac:dyDescent="0.3">
      <c r="A299" s="1" t="s">
        <v>551</v>
      </c>
      <c r="B299" s="1" t="s">
        <v>2637</v>
      </c>
    </row>
    <row r="300" spans="1:2" x14ac:dyDescent="0.3">
      <c r="A300" s="1" t="s">
        <v>552</v>
      </c>
      <c r="B300" s="1" t="s">
        <v>2638</v>
      </c>
    </row>
    <row r="301" spans="1:2" x14ac:dyDescent="0.3">
      <c r="A301" s="1" t="s">
        <v>553</v>
      </c>
      <c r="B301" s="1" t="s">
        <v>2638</v>
      </c>
    </row>
    <row r="302" spans="1:2" x14ac:dyDescent="0.3">
      <c r="A302" s="1" t="s">
        <v>555</v>
      </c>
      <c r="B302" s="1" t="s">
        <v>2637</v>
      </c>
    </row>
    <row r="303" spans="1:2" x14ac:dyDescent="0.3">
      <c r="A303" s="1" t="s">
        <v>556</v>
      </c>
      <c r="B303" s="1" t="s">
        <v>2637</v>
      </c>
    </row>
    <row r="304" spans="1:2" x14ac:dyDescent="0.3">
      <c r="A304" s="1" t="s">
        <v>557</v>
      </c>
      <c r="B304" s="1" t="s">
        <v>2637</v>
      </c>
    </row>
    <row r="305" spans="1:2" x14ac:dyDescent="0.3">
      <c r="A305" s="1" t="s">
        <v>558</v>
      </c>
      <c r="B305" s="1" t="s">
        <v>2637</v>
      </c>
    </row>
    <row r="306" spans="1:2" x14ac:dyDescent="0.3">
      <c r="A306" s="1" t="s">
        <v>560</v>
      </c>
      <c r="B306" s="1" t="s">
        <v>2637</v>
      </c>
    </row>
    <row r="307" spans="1:2" x14ac:dyDescent="0.3">
      <c r="A307" s="1" t="s">
        <v>561</v>
      </c>
      <c r="B307" s="1" t="s">
        <v>2637</v>
      </c>
    </row>
    <row r="308" spans="1:2" x14ac:dyDescent="0.3">
      <c r="A308" s="1" t="s">
        <v>562</v>
      </c>
      <c r="B308" s="1" t="s">
        <v>2637</v>
      </c>
    </row>
    <row r="309" spans="1:2" x14ac:dyDescent="0.3">
      <c r="A309" s="1" t="s">
        <v>563</v>
      </c>
      <c r="B309" s="1" t="s">
        <v>2637</v>
      </c>
    </row>
    <row r="310" spans="1:2" x14ac:dyDescent="0.3">
      <c r="A310" s="1" t="s">
        <v>564</v>
      </c>
      <c r="B310" s="1" t="s">
        <v>2637</v>
      </c>
    </row>
    <row r="311" spans="1:2" x14ac:dyDescent="0.3">
      <c r="A311" s="1" t="s">
        <v>565</v>
      </c>
      <c r="B311" s="1" t="s">
        <v>2637</v>
      </c>
    </row>
    <row r="312" spans="1:2" x14ac:dyDescent="0.3">
      <c r="A312" s="1" t="s">
        <v>566</v>
      </c>
      <c r="B312" s="1" t="s">
        <v>2638</v>
      </c>
    </row>
    <row r="313" spans="1:2" x14ac:dyDescent="0.3">
      <c r="A313" s="1" t="s">
        <v>567</v>
      </c>
      <c r="B313" s="1" t="s">
        <v>2637</v>
      </c>
    </row>
    <row r="314" spans="1:2" x14ac:dyDescent="0.3">
      <c r="A314" s="1" t="s">
        <v>568</v>
      </c>
      <c r="B314" s="1" t="s">
        <v>2637</v>
      </c>
    </row>
    <row r="315" spans="1:2" x14ac:dyDescent="0.3">
      <c r="A315" s="1" t="s">
        <v>570</v>
      </c>
      <c r="B315" s="1" t="s">
        <v>2637</v>
      </c>
    </row>
    <row r="316" spans="1:2" x14ac:dyDescent="0.3">
      <c r="A316" s="1" t="s">
        <v>571</v>
      </c>
      <c r="B316" s="1" t="s">
        <v>2637</v>
      </c>
    </row>
    <row r="317" spans="1:2" x14ac:dyDescent="0.3">
      <c r="A317" s="1" t="s">
        <v>572</v>
      </c>
      <c r="B317" s="1" t="s">
        <v>2637</v>
      </c>
    </row>
    <row r="318" spans="1:2" x14ac:dyDescent="0.3">
      <c r="A318" s="1" t="s">
        <v>573</v>
      </c>
      <c r="B318" s="1" t="s">
        <v>2637</v>
      </c>
    </row>
    <row r="319" spans="1:2" x14ac:dyDescent="0.3">
      <c r="A319" s="1" t="s">
        <v>574</v>
      </c>
      <c r="B319" s="1" t="s">
        <v>2637</v>
      </c>
    </row>
    <row r="320" spans="1:2" x14ac:dyDescent="0.3">
      <c r="A320" s="1" t="s">
        <v>575</v>
      </c>
      <c r="B320" s="1" t="s">
        <v>2637</v>
      </c>
    </row>
    <row r="321" spans="1:2" x14ac:dyDescent="0.3">
      <c r="A321" s="1" t="s">
        <v>577</v>
      </c>
      <c r="B321" s="1" t="s">
        <v>2638</v>
      </c>
    </row>
    <row r="322" spans="1:2" x14ac:dyDescent="0.3">
      <c r="A322" s="1" t="s">
        <v>578</v>
      </c>
      <c r="B322" s="1" t="s">
        <v>2637</v>
      </c>
    </row>
    <row r="323" spans="1:2" x14ac:dyDescent="0.3">
      <c r="A323" s="1" t="s">
        <v>580</v>
      </c>
      <c r="B323" s="1" t="s">
        <v>2637</v>
      </c>
    </row>
    <row r="324" spans="1:2" x14ac:dyDescent="0.3">
      <c r="A324" s="1" t="s">
        <v>581</v>
      </c>
      <c r="B324" s="1" t="s">
        <v>2637</v>
      </c>
    </row>
    <row r="325" spans="1:2" x14ac:dyDescent="0.3">
      <c r="A325" s="1" t="s">
        <v>582</v>
      </c>
      <c r="B325" s="1" t="s">
        <v>2638</v>
      </c>
    </row>
    <row r="326" spans="1:2" x14ac:dyDescent="0.3">
      <c r="A326" s="1" t="s">
        <v>583</v>
      </c>
      <c r="B326" s="1" t="s">
        <v>2638</v>
      </c>
    </row>
    <row r="327" spans="1:2" x14ac:dyDescent="0.3">
      <c r="A327" s="1" t="s">
        <v>584</v>
      </c>
      <c r="B327" s="1" t="s">
        <v>2637</v>
      </c>
    </row>
    <row r="328" spans="1:2" x14ac:dyDescent="0.3">
      <c r="A328" s="1" t="s">
        <v>586</v>
      </c>
      <c r="B328" s="1" t="s">
        <v>2637</v>
      </c>
    </row>
    <row r="329" spans="1:2" x14ac:dyDescent="0.3">
      <c r="A329" s="1" t="s">
        <v>587</v>
      </c>
      <c r="B329" s="1" t="s">
        <v>2638</v>
      </c>
    </row>
    <row r="330" spans="1:2" x14ac:dyDescent="0.3">
      <c r="A330" s="1" t="s">
        <v>589</v>
      </c>
      <c r="B330" s="1" t="s">
        <v>2637</v>
      </c>
    </row>
    <row r="331" spans="1:2" x14ac:dyDescent="0.3">
      <c r="A331" s="1" t="s">
        <v>590</v>
      </c>
      <c r="B331" s="1" t="s">
        <v>2637</v>
      </c>
    </row>
    <row r="332" spans="1:2" x14ac:dyDescent="0.3">
      <c r="A332" s="1" t="s">
        <v>591</v>
      </c>
      <c r="B332" s="1" t="s">
        <v>2637</v>
      </c>
    </row>
    <row r="333" spans="1:2" x14ac:dyDescent="0.3">
      <c r="A333" s="1" t="s">
        <v>592</v>
      </c>
      <c r="B333" s="1" t="s">
        <v>2637</v>
      </c>
    </row>
    <row r="334" spans="1:2" x14ac:dyDescent="0.3">
      <c r="A334" s="1" t="s">
        <v>593</v>
      </c>
      <c r="B334" s="1" t="s">
        <v>2637</v>
      </c>
    </row>
    <row r="335" spans="1:2" x14ac:dyDescent="0.3">
      <c r="A335" s="1" t="s">
        <v>594</v>
      </c>
      <c r="B335" s="1" t="s">
        <v>2637</v>
      </c>
    </row>
    <row r="336" spans="1:2" x14ac:dyDescent="0.3">
      <c r="A336" s="1" t="s">
        <v>595</v>
      </c>
      <c r="B336" s="1" t="s">
        <v>2637</v>
      </c>
    </row>
    <row r="337" spans="1:2" x14ac:dyDescent="0.3">
      <c r="A337" s="1" t="s">
        <v>596</v>
      </c>
      <c r="B337" s="1" t="s">
        <v>2637</v>
      </c>
    </row>
    <row r="338" spans="1:2" x14ac:dyDescent="0.3">
      <c r="A338" s="1" t="s">
        <v>597</v>
      </c>
      <c r="B338" s="1" t="s">
        <v>2637</v>
      </c>
    </row>
    <row r="339" spans="1:2" x14ac:dyDescent="0.3">
      <c r="A339" s="1" t="s">
        <v>599</v>
      </c>
      <c r="B339" s="1" t="s">
        <v>2638</v>
      </c>
    </row>
    <row r="340" spans="1:2" x14ac:dyDescent="0.3">
      <c r="A340" s="1" t="s">
        <v>600</v>
      </c>
      <c r="B340" s="1" t="s">
        <v>2637</v>
      </c>
    </row>
    <row r="341" spans="1:2" x14ac:dyDescent="0.3">
      <c r="A341" s="1" t="s">
        <v>601</v>
      </c>
      <c r="B341" s="1" t="s">
        <v>2637</v>
      </c>
    </row>
    <row r="342" spans="1:2" x14ac:dyDescent="0.3">
      <c r="A342" s="1" t="s">
        <v>602</v>
      </c>
      <c r="B342" s="1" t="s">
        <v>2637</v>
      </c>
    </row>
    <row r="343" spans="1:2" x14ac:dyDescent="0.3">
      <c r="A343" s="1" t="s">
        <v>604</v>
      </c>
      <c r="B343" s="1" t="s">
        <v>2637</v>
      </c>
    </row>
    <row r="344" spans="1:2" x14ac:dyDescent="0.3">
      <c r="A344" s="1" t="s">
        <v>606</v>
      </c>
      <c r="B344" s="1" t="s">
        <v>2637</v>
      </c>
    </row>
    <row r="345" spans="1:2" x14ac:dyDescent="0.3">
      <c r="A345" s="1" t="s">
        <v>608</v>
      </c>
      <c r="B345" s="1" t="s">
        <v>2638</v>
      </c>
    </row>
    <row r="346" spans="1:2" x14ac:dyDescent="0.3">
      <c r="A346" s="1" t="s">
        <v>609</v>
      </c>
      <c r="B346" s="1" t="s">
        <v>2637</v>
      </c>
    </row>
    <row r="347" spans="1:2" x14ac:dyDescent="0.3">
      <c r="A347" s="1" t="s">
        <v>611</v>
      </c>
      <c r="B347" s="1" t="s">
        <v>2637</v>
      </c>
    </row>
    <row r="348" spans="1:2" x14ac:dyDescent="0.3">
      <c r="A348" s="1" t="s">
        <v>612</v>
      </c>
      <c r="B348" s="1" t="s">
        <v>2637</v>
      </c>
    </row>
    <row r="349" spans="1:2" x14ac:dyDescent="0.3">
      <c r="A349" s="1" t="s">
        <v>613</v>
      </c>
      <c r="B349" s="1" t="s">
        <v>2638</v>
      </c>
    </row>
    <row r="350" spans="1:2" x14ac:dyDescent="0.3">
      <c r="A350" s="1" t="s">
        <v>614</v>
      </c>
      <c r="B350" s="1" t="s">
        <v>2637</v>
      </c>
    </row>
    <row r="351" spans="1:2" x14ac:dyDescent="0.3">
      <c r="A351" s="1" t="s">
        <v>615</v>
      </c>
      <c r="B351" s="1" t="s">
        <v>2637</v>
      </c>
    </row>
    <row r="352" spans="1:2" x14ac:dyDescent="0.3">
      <c r="A352" s="1" t="s">
        <v>616</v>
      </c>
      <c r="B352" s="1" t="s">
        <v>2637</v>
      </c>
    </row>
    <row r="353" spans="1:2" x14ac:dyDescent="0.3">
      <c r="A353" s="1" t="s">
        <v>617</v>
      </c>
      <c r="B353" s="1" t="s">
        <v>2637</v>
      </c>
    </row>
    <row r="354" spans="1:2" x14ac:dyDescent="0.3">
      <c r="A354" s="1" t="s">
        <v>618</v>
      </c>
      <c r="B354" s="1" t="s">
        <v>2637</v>
      </c>
    </row>
    <row r="355" spans="1:2" x14ac:dyDescent="0.3">
      <c r="A355" s="1" t="s">
        <v>619</v>
      </c>
      <c r="B355" s="1" t="s">
        <v>2638</v>
      </c>
    </row>
    <row r="356" spans="1:2" x14ac:dyDescent="0.3">
      <c r="A356" s="1" t="s">
        <v>620</v>
      </c>
      <c r="B356" s="1" t="s">
        <v>2637</v>
      </c>
    </row>
    <row r="357" spans="1:2" x14ac:dyDescent="0.3">
      <c r="A357" s="1" t="s">
        <v>621</v>
      </c>
      <c r="B357" s="1" t="s">
        <v>2638</v>
      </c>
    </row>
    <row r="358" spans="1:2" x14ac:dyDescent="0.3">
      <c r="A358" s="1" t="s">
        <v>623</v>
      </c>
      <c r="B358" s="1" t="s">
        <v>2637</v>
      </c>
    </row>
    <row r="359" spans="1:2" x14ac:dyDescent="0.3">
      <c r="A359" s="1" t="s">
        <v>624</v>
      </c>
      <c r="B359" s="1" t="s">
        <v>2637</v>
      </c>
    </row>
    <row r="360" spans="1:2" x14ac:dyDescent="0.3">
      <c r="A360" s="1" t="s">
        <v>625</v>
      </c>
      <c r="B360" s="1" t="s">
        <v>2637</v>
      </c>
    </row>
    <row r="361" spans="1:2" x14ac:dyDescent="0.3">
      <c r="A361" s="1" t="s">
        <v>626</v>
      </c>
      <c r="B361" s="1" t="s">
        <v>2637</v>
      </c>
    </row>
    <row r="362" spans="1:2" x14ac:dyDescent="0.3">
      <c r="A362" s="1" t="s">
        <v>627</v>
      </c>
      <c r="B362" s="1" t="s">
        <v>2637</v>
      </c>
    </row>
    <row r="363" spans="1:2" x14ac:dyDescent="0.3">
      <c r="A363" s="1" t="s">
        <v>628</v>
      </c>
      <c r="B363" s="1" t="s">
        <v>2637</v>
      </c>
    </row>
    <row r="364" spans="1:2" x14ac:dyDescent="0.3">
      <c r="A364" s="1" t="s">
        <v>629</v>
      </c>
      <c r="B364" s="1" t="s">
        <v>2637</v>
      </c>
    </row>
    <row r="365" spans="1:2" x14ac:dyDescent="0.3">
      <c r="A365" s="1" t="s">
        <v>630</v>
      </c>
      <c r="B365" s="1" t="s">
        <v>2637</v>
      </c>
    </row>
    <row r="366" spans="1:2" x14ac:dyDescent="0.3">
      <c r="A366" s="1" t="s">
        <v>631</v>
      </c>
      <c r="B366" s="1" t="s">
        <v>2637</v>
      </c>
    </row>
    <row r="367" spans="1:2" x14ac:dyDescent="0.3">
      <c r="A367" s="1" t="s">
        <v>632</v>
      </c>
      <c r="B367" s="1" t="s">
        <v>2638</v>
      </c>
    </row>
    <row r="368" spans="1:2" x14ac:dyDescent="0.3">
      <c r="A368" s="1" t="s">
        <v>633</v>
      </c>
      <c r="B368" s="1" t="s">
        <v>2637</v>
      </c>
    </row>
    <row r="369" spans="1:2" x14ac:dyDescent="0.3">
      <c r="A369" s="1" t="s">
        <v>634</v>
      </c>
      <c r="B369" s="1" t="s">
        <v>2637</v>
      </c>
    </row>
    <row r="370" spans="1:2" x14ac:dyDescent="0.3">
      <c r="A370" s="1" t="s">
        <v>635</v>
      </c>
      <c r="B370" s="1" t="s">
        <v>2638</v>
      </c>
    </row>
    <row r="371" spans="1:2" x14ac:dyDescent="0.3">
      <c r="A371" s="1" t="s">
        <v>636</v>
      </c>
      <c r="B371" s="1" t="s">
        <v>2637</v>
      </c>
    </row>
    <row r="372" spans="1:2" x14ac:dyDescent="0.3">
      <c r="A372" s="1" t="s">
        <v>638</v>
      </c>
      <c r="B372" s="1" t="s">
        <v>2637</v>
      </c>
    </row>
    <row r="373" spans="1:2" x14ac:dyDescent="0.3">
      <c r="A373" s="1" t="s">
        <v>639</v>
      </c>
      <c r="B373" s="1" t="s">
        <v>2638</v>
      </c>
    </row>
    <row r="374" spans="1:2" x14ac:dyDescent="0.3">
      <c r="A374" s="1" t="s">
        <v>640</v>
      </c>
      <c r="B374" s="1" t="s">
        <v>2637</v>
      </c>
    </row>
    <row r="375" spans="1:2" x14ac:dyDescent="0.3">
      <c r="A375" s="1" t="s">
        <v>641</v>
      </c>
      <c r="B375" s="1" t="s">
        <v>2637</v>
      </c>
    </row>
    <row r="376" spans="1:2" x14ac:dyDescent="0.3">
      <c r="A376" s="1" t="s">
        <v>642</v>
      </c>
      <c r="B376" s="1" t="s">
        <v>2637</v>
      </c>
    </row>
    <row r="377" spans="1:2" x14ac:dyDescent="0.3">
      <c r="A377" s="1" t="s">
        <v>643</v>
      </c>
      <c r="B377" s="1" t="s">
        <v>2638</v>
      </c>
    </row>
    <row r="378" spans="1:2" x14ac:dyDescent="0.3">
      <c r="A378" s="1" t="s">
        <v>644</v>
      </c>
      <c r="B378" s="1" t="s">
        <v>2637</v>
      </c>
    </row>
    <row r="379" spans="1:2" x14ac:dyDescent="0.3">
      <c r="A379" s="1" t="s">
        <v>645</v>
      </c>
      <c r="B379" s="1" t="s">
        <v>2637</v>
      </c>
    </row>
    <row r="380" spans="1:2" x14ac:dyDescent="0.3">
      <c r="A380" s="1" t="s">
        <v>646</v>
      </c>
      <c r="B380" s="1" t="s">
        <v>2637</v>
      </c>
    </row>
    <row r="381" spans="1:2" x14ac:dyDescent="0.3">
      <c r="A381" s="1" t="s">
        <v>648</v>
      </c>
      <c r="B381" s="1" t="s">
        <v>2637</v>
      </c>
    </row>
    <row r="382" spans="1:2" x14ac:dyDescent="0.3">
      <c r="A382" s="1" t="s">
        <v>649</v>
      </c>
      <c r="B382" s="1" t="s">
        <v>2637</v>
      </c>
    </row>
    <row r="383" spans="1:2" x14ac:dyDescent="0.3">
      <c r="A383" s="1" t="s">
        <v>650</v>
      </c>
      <c r="B383" s="1" t="s">
        <v>2637</v>
      </c>
    </row>
    <row r="384" spans="1:2" x14ac:dyDescent="0.3">
      <c r="A384" s="1" t="s">
        <v>651</v>
      </c>
      <c r="B384" s="1" t="s">
        <v>2637</v>
      </c>
    </row>
    <row r="385" spans="1:2" x14ac:dyDescent="0.3">
      <c r="A385" s="1" t="s">
        <v>652</v>
      </c>
      <c r="B385" s="1" t="s">
        <v>2637</v>
      </c>
    </row>
    <row r="386" spans="1:2" x14ac:dyDescent="0.3">
      <c r="A386" s="1" t="s">
        <v>653</v>
      </c>
      <c r="B386" s="1" t="s">
        <v>2637</v>
      </c>
    </row>
    <row r="387" spans="1:2" x14ac:dyDescent="0.3">
      <c r="A387" s="1" t="s">
        <v>654</v>
      </c>
      <c r="B387" s="1" t="s">
        <v>2637</v>
      </c>
    </row>
    <row r="388" spans="1:2" x14ac:dyDescent="0.3">
      <c r="A388" s="1" t="s">
        <v>655</v>
      </c>
      <c r="B388" s="1" t="s">
        <v>2637</v>
      </c>
    </row>
    <row r="389" spans="1:2" x14ac:dyDescent="0.3">
      <c r="A389" s="1" t="s">
        <v>656</v>
      </c>
      <c r="B389" s="1" t="s">
        <v>2638</v>
      </c>
    </row>
    <row r="390" spans="1:2" x14ac:dyDescent="0.3">
      <c r="A390" s="1" t="s">
        <v>658</v>
      </c>
      <c r="B390" s="1" t="s">
        <v>2637</v>
      </c>
    </row>
    <row r="391" spans="1:2" x14ac:dyDescent="0.3">
      <c r="A391" s="1" t="s">
        <v>659</v>
      </c>
      <c r="B391" s="1" t="s">
        <v>2637</v>
      </c>
    </row>
    <row r="392" spans="1:2" x14ac:dyDescent="0.3">
      <c r="A392" s="1" t="s">
        <v>661</v>
      </c>
      <c r="B392" s="1" t="s">
        <v>2637</v>
      </c>
    </row>
    <row r="393" spans="1:2" x14ac:dyDescent="0.3">
      <c r="A393" s="1" t="s">
        <v>663</v>
      </c>
      <c r="B393" s="1" t="s">
        <v>2637</v>
      </c>
    </row>
    <row r="394" spans="1:2" x14ac:dyDescent="0.3">
      <c r="A394" s="1" t="s">
        <v>664</v>
      </c>
      <c r="B394" s="1" t="s">
        <v>2638</v>
      </c>
    </row>
    <row r="395" spans="1:2" x14ac:dyDescent="0.3">
      <c r="A395" s="1" t="s">
        <v>665</v>
      </c>
      <c r="B395" s="1" t="s">
        <v>2637</v>
      </c>
    </row>
    <row r="396" spans="1:2" x14ac:dyDescent="0.3">
      <c r="A396" s="1" t="s">
        <v>666</v>
      </c>
      <c r="B396" s="1" t="s">
        <v>2638</v>
      </c>
    </row>
    <row r="397" spans="1:2" x14ac:dyDescent="0.3">
      <c r="A397" s="1" t="s">
        <v>667</v>
      </c>
      <c r="B397" s="1" t="s">
        <v>2637</v>
      </c>
    </row>
    <row r="398" spans="1:2" x14ac:dyDescent="0.3">
      <c r="A398" s="1" t="s">
        <v>668</v>
      </c>
      <c r="B398" s="1" t="s">
        <v>2637</v>
      </c>
    </row>
    <row r="399" spans="1:2" x14ac:dyDescent="0.3">
      <c r="A399" s="1" t="s">
        <v>670</v>
      </c>
      <c r="B399" s="1" t="s">
        <v>2637</v>
      </c>
    </row>
    <row r="400" spans="1:2" x14ac:dyDescent="0.3">
      <c r="A400" s="1" t="s">
        <v>672</v>
      </c>
      <c r="B400" s="1" t="s">
        <v>2637</v>
      </c>
    </row>
    <row r="401" spans="1:2" x14ac:dyDescent="0.3">
      <c r="A401" s="1" t="s">
        <v>674</v>
      </c>
      <c r="B401" s="1" t="s">
        <v>2637</v>
      </c>
    </row>
    <row r="402" spans="1:2" x14ac:dyDescent="0.3">
      <c r="A402" s="1" t="s">
        <v>675</v>
      </c>
      <c r="B402" s="1" t="s">
        <v>2637</v>
      </c>
    </row>
    <row r="403" spans="1:2" x14ac:dyDescent="0.3">
      <c r="A403" s="1" t="s">
        <v>676</v>
      </c>
      <c r="B403" s="1" t="s">
        <v>2638</v>
      </c>
    </row>
    <row r="404" spans="1:2" x14ac:dyDescent="0.3">
      <c r="A404" s="1" t="s">
        <v>677</v>
      </c>
      <c r="B404" s="1" t="s">
        <v>2638</v>
      </c>
    </row>
    <row r="405" spans="1:2" x14ac:dyDescent="0.3">
      <c r="A405" s="1" t="s">
        <v>680</v>
      </c>
      <c r="B405" s="1" t="s">
        <v>2637</v>
      </c>
    </row>
    <row r="406" spans="1:2" x14ac:dyDescent="0.3">
      <c r="A406" s="1" t="s">
        <v>681</v>
      </c>
      <c r="B406" s="1" t="s">
        <v>2637</v>
      </c>
    </row>
    <row r="407" spans="1:2" x14ac:dyDescent="0.3">
      <c r="A407" s="1" t="s">
        <v>682</v>
      </c>
      <c r="B407" s="1" t="s">
        <v>2637</v>
      </c>
    </row>
    <row r="408" spans="1:2" x14ac:dyDescent="0.3">
      <c r="A408" s="1" t="s">
        <v>684</v>
      </c>
      <c r="B408" s="1" t="s">
        <v>2637</v>
      </c>
    </row>
    <row r="409" spans="1:2" x14ac:dyDescent="0.3">
      <c r="A409" s="1" t="s">
        <v>686</v>
      </c>
      <c r="B409" s="1" t="s">
        <v>2637</v>
      </c>
    </row>
    <row r="410" spans="1:2" x14ac:dyDescent="0.3">
      <c r="A410" s="1" t="s">
        <v>687</v>
      </c>
      <c r="B410" s="1" t="s">
        <v>2637</v>
      </c>
    </row>
    <row r="411" spans="1:2" x14ac:dyDescent="0.3">
      <c r="A411" s="1" t="s">
        <v>688</v>
      </c>
      <c r="B411" s="1" t="s">
        <v>2637</v>
      </c>
    </row>
    <row r="412" spans="1:2" x14ac:dyDescent="0.3">
      <c r="A412" s="1" t="s">
        <v>689</v>
      </c>
      <c r="B412" s="1" t="s">
        <v>2638</v>
      </c>
    </row>
    <row r="413" spans="1:2" x14ac:dyDescent="0.3">
      <c r="A413" s="1" t="s">
        <v>690</v>
      </c>
      <c r="B413" s="1" t="s">
        <v>2638</v>
      </c>
    </row>
    <row r="414" spans="1:2" x14ac:dyDescent="0.3">
      <c r="A414" s="1" t="s">
        <v>692</v>
      </c>
      <c r="B414" s="1" t="s">
        <v>2637</v>
      </c>
    </row>
    <row r="415" spans="1:2" x14ac:dyDescent="0.3">
      <c r="A415" s="1" t="s">
        <v>693</v>
      </c>
      <c r="B415" s="1" t="s">
        <v>2637</v>
      </c>
    </row>
    <row r="416" spans="1:2" x14ac:dyDescent="0.3">
      <c r="A416" s="1" t="s">
        <v>694</v>
      </c>
      <c r="B416" s="1" t="s">
        <v>2637</v>
      </c>
    </row>
    <row r="417" spans="1:2" x14ac:dyDescent="0.3">
      <c r="A417" s="1" t="s">
        <v>695</v>
      </c>
      <c r="B417" s="1" t="s">
        <v>2638</v>
      </c>
    </row>
    <row r="418" spans="1:2" x14ac:dyDescent="0.3">
      <c r="A418" s="1" t="s">
        <v>696</v>
      </c>
      <c r="B418" s="1" t="s">
        <v>2637</v>
      </c>
    </row>
    <row r="419" spans="1:2" x14ac:dyDescent="0.3">
      <c r="A419" s="1" t="s">
        <v>698</v>
      </c>
      <c r="B419" s="1" t="s">
        <v>2637</v>
      </c>
    </row>
    <row r="420" spans="1:2" x14ac:dyDescent="0.3">
      <c r="A420" s="1" t="s">
        <v>699</v>
      </c>
      <c r="B420" s="1" t="s">
        <v>2637</v>
      </c>
    </row>
    <row r="421" spans="1:2" x14ac:dyDescent="0.3">
      <c r="A421" s="1" t="s">
        <v>700</v>
      </c>
      <c r="B421" s="1" t="s">
        <v>2637</v>
      </c>
    </row>
    <row r="422" spans="1:2" x14ac:dyDescent="0.3">
      <c r="A422" s="1" t="s">
        <v>701</v>
      </c>
      <c r="B422" s="1" t="s">
        <v>2637</v>
      </c>
    </row>
    <row r="423" spans="1:2" x14ac:dyDescent="0.3">
      <c r="A423" s="1" t="s">
        <v>702</v>
      </c>
      <c r="B423" s="1" t="s">
        <v>2637</v>
      </c>
    </row>
    <row r="424" spans="1:2" x14ac:dyDescent="0.3">
      <c r="A424" s="1" t="s">
        <v>703</v>
      </c>
      <c r="B424" s="1" t="s">
        <v>2638</v>
      </c>
    </row>
    <row r="425" spans="1:2" x14ac:dyDescent="0.3">
      <c r="A425" s="1" t="s">
        <v>704</v>
      </c>
      <c r="B425" s="1" t="s">
        <v>2638</v>
      </c>
    </row>
    <row r="426" spans="1:2" x14ac:dyDescent="0.3">
      <c r="A426" s="1" t="s">
        <v>705</v>
      </c>
      <c r="B426" s="1" t="s">
        <v>2637</v>
      </c>
    </row>
    <row r="427" spans="1:2" x14ac:dyDescent="0.3">
      <c r="A427" s="1" t="s">
        <v>706</v>
      </c>
      <c r="B427" s="1" t="s">
        <v>2637</v>
      </c>
    </row>
    <row r="428" spans="1:2" x14ac:dyDescent="0.3">
      <c r="A428" s="1" t="s">
        <v>707</v>
      </c>
      <c r="B428" s="1" t="s">
        <v>2637</v>
      </c>
    </row>
    <row r="429" spans="1:2" x14ac:dyDescent="0.3">
      <c r="A429" s="1" t="s">
        <v>708</v>
      </c>
      <c r="B429" s="1" t="s">
        <v>2637</v>
      </c>
    </row>
    <row r="430" spans="1:2" x14ac:dyDescent="0.3">
      <c r="A430" s="1" t="s">
        <v>710</v>
      </c>
      <c r="B430" s="1" t="s">
        <v>2637</v>
      </c>
    </row>
    <row r="431" spans="1:2" x14ac:dyDescent="0.3">
      <c r="A431" s="1" t="s">
        <v>711</v>
      </c>
      <c r="B431" s="1" t="s">
        <v>2638</v>
      </c>
    </row>
    <row r="432" spans="1:2" x14ac:dyDescent="0.3">
      <c r="A432" s="1" t="s">
        <v>712</v>
      </c>
      <c r="B432" s="1" t="s">
        <v>2637</v>
      </c>
    </row>
    <row r="433" spans="1:2" x14ac:dyDescent="0.3">
      <c r="A433" s="1" t="s">
        <v>713</v>
      </c>
      <c r="B433" s="1" t="s">
        <v>2637</v>
      </c>
    </row>
    <row r="434" spans="1:2" x14ac:dyDescent="0.3">
      <c r="A434" s="1" t="s">
        <v>714</v>
      </c>
      <c r="B434" s="1" t="s">
        <v>2637</v>
      </c>
    </row>
    <row r="435" spans="1:2" x14ac:dyDescent="0.3">
      <c r="A435" s="1" t="s">
        <v>715</v>
      </c>
      <c r="B435" s="1" t="s">
        <v>2637</v>
      </c>
    </row>
    <row r="436" spans="1:2" x14ac:dyDescent="0.3">
      <c r="A436" s="1" t="s">
        <v>716</v>
      </c>
      <c r="B436" s="1" t="s">
        <v>2637</v>
      </c>
    </row>
    <row r="437" spans="1:2" x14ac:dyDescent="0.3">
      <c r="A437" s="1" t="s">
        <v>717</v>
      </c>
      <c r="B437" s="1" t="s">
        <v>2638</v>
      </c>
    </row>
    <row r="438" spans="1:2" x14ac:dyDescent="0.3">
      <c r="A438" s="1" t="s">
        <v>718</v>
      </c>
      <c r="B438" s="1" t="s">
        <v>2637</v>
      </c>
    </row>
    <row r="439" spans="1:2" x14ac:dyDescent="0.3">
      <c r="A439" s="1" t="s">
        <v>719</v>
      </c>
      <c r="B439" s="1" t="s">
        <v>2637</v>
      </c>
    </row>
    <row r="440" spans="1:2" x14ac:dyDescent="0.3">
      <c r="A440" s="1" t="s">
        <v>720</v>
      </c>
      <c r="B440" s="1" t="s">
        <v>2637</v>
      </c>
    </row>
    <row r="441" spans="1:2" x14ac:dyDescent="0.3">
      <c r="A441" s="1" t="s">
        <v>721</v>
      </c>
      <c r="B441" s="1" t="s">
        <v>2638</v>
      </c>
    </row>
    <row r="442" spans="1:2" x14ac:dyDescent="0.3">
      <c r="A442" s="1" t="s">
        <v>722</v>
      </c>
      <c r="B442" s="1" t="s">
        <v>2637</v>
      </c>
    </row>
    <row r="443" spans="1:2" x14ac:dyDescent="0.3">
      <c r="A443" s="1" t="s">
        <v>724</v>
      </c>
      <c r="B443" s="1" t="s">
        <v>2637</v>
      </c>
    </row>
    <row r="444" spans="1:2" x14ac:dyDescent="0.3">
      <c r="A444" s="1" t="s">
        <v>725</v>
      </c>
      <c r="B444" s="1" t="s">
        <v>2637</v>
      </c>
    </row>
    <row r="445" spans="1:2" x14ac:dyDescent="0.3">
      <c r="A445" s="1" t="s">
        <v>726</v>
      </c>
      <c r="B445" s="1" t="s">
        <v>2637</v>
      </c>
    </row>
    <row r="446" spans="1:2" x14ac:dyDescent="0.3">
      <c r="A446" s="1" t="s">
        <v>728</v>
      </c>
      <c r="B446" s="1" t="s">
        <v>2637</v>
      </c>
    </row>
    <row r="447" spans="1:2" x14ac:dyDescent="0.3">
      <c r="A447" s="1" t="s">
        <v>730</v>
      </c>
      <c r="B447" s="1" t="s">
        <v>2637</v>
      </c>
    </row>
    <row r="448" spans="1:2" x14ac:dyDescent="0.3">
      <c r="A448" s="1" t="s">
        <v>731</v>
      </c>
      <c r="B448" s="1" t="s">
        <v>2637</v>
      </c>
    </row>
    <row r="449" spans="1:2" x14ac:dyDescent="0.3">
      <c r="A449" s="1" t="s">
        <v>732</v>
      </c>
      <c r="B449" s="1" t="s">
        <v>2637</v>
      </c>
    </row>
    <row r="450" spans="1:2" x14ac:dyDescent="0.3">
      <c r="A450" s="1" t="s">
        <v>733</v>
      </c>
      <c r="B450" s="1" t="s">
        <v>2638</v>
      </c>
    </row>
    <row r="451" spans="1:2" x14ac:dyDescent="0.3">
      <c r="A451" s="1" t="s">
        <v>734</v>
      </c>
      <c r="B451" s="1" t="s">
        <v>2637</v>
      </c>
    </row>
    <row r="452" spans="1:2" x14ac:dyDescent="0.3">
      <c r="A452" s="1" t="s">
        <v>735</v>
      </c>
      <c r="B452" s="1" t="s">
        <v>2637</v>
      </c>
    </row>
    <row r="453" spans="1:2" x14ac:dyDescent="0.3">
      <c r="A453" s="1" t="s">
        <v>736</v>
      </c>
      <c r="B453" s="1" t="s">
        <v>2638</v>
      </c>
    </row>
    <row r="454" spans="1:2" x14ac:dyDescent="0.3">
      <c r="A454" s="1" t="s">
        <v>737</v>
      </c>
      <c r="B454" s="1" t="s">
        <v>2637</v>
      </c>
    </row>
    <row r="455" spans="1:2" x14ac:dyDescent="0.3">
      <c r="A455" s="1" t="s">
        <v>738</v>
      </c>
      <c r="B455" s="1" t="s">
        <v>2637</v>
      </c>
    </row>
    <row r="456" spans="1:2" x14ac:dyDescent="0.3">
      <c r="A456" s="1" t="s">
        <v>740</v>
      </c>
      <c r="B456" s="1" t="s">
        <v>2637</v>
      </c>
    </row>
    <row r="457" spans="1:2" x14ac:dyDescent="0.3">
      <c r="A457" s="1" t="s">
        <v>741</v>
      </c>
      <c r="B457" s="1" t="s">
        <v>2637</v>
      </c>
    </row>
    <row r="458" spans="1:2" x14ac:dyDescent="0.3">
      <c r="A458" s="1" t="s">
        <v>742</v>
      </c>
      <c r="B458" s="1" t="s">
        <v>2637</v>
      </c>
    </row>
    <row r="459" spans="1:2" x14ac:dyDescent="0.3">
      <c r="A459" s="1" t="s">
        <v>743</v>
      </c>
      <c r="B459" s="1" t="s">
        <v>2637</v>
      </c>
    </row>
    <row r="460" spans="1:2" x14ac:dyDescent="0.3">
      <c r="A460" s="1" t="s">
        <v>745</v>
      </c>
      <c r="B460" s="1" t="s">
        <v>2637</v>
      </c>
    </row>
    <row r="461" spans="1:2" x14ac:dyDescent="0.3">
      <c r="A461" s="1" t="s">
        <v>746</v>
      </c>
      <c r="B461" s="1" t="s">
        <v>2637</v>
      </c>
    </row>
    <row r="462" spans="1:2" x14ac:dyDescent="0.3">
      <c r="A462" s="1" t="s">
        <v>747</v>
      </c>
      <c r="B462" s="1" t="s">
        <v>2637</v>
      </c>
    </row>
    <row r="463" spans="1:2" x14ac:dyDescent="0.3">
      <c r="A463" s="1" t="s">
        <v>748</v>
      </c>
      <c r="B463" s="1" t="s">
        <v>2637</v>
      </c>
    </row>
    <row r="464" spans="1:2" x14ac:dyDescent="0.3">
      <c r="A464" s="1" t="s">
        <v>749</v>
      </c>
      <c r="B464" s="1" t="s">
        <v>2637</v>
      </c>
    </row>
    <row r="465" spans="1:2" x14ac:dyDescent="0.3">
      <c r="A465" s="1" t="s">
        <v>750</v>
      </c>
      <c r="B465" s="1" t="s">
        <v>2637</v>
      </c>
    </row>
    <row r="466" spans="1:2" x14ac:dyDescent="0.3">
      <c r="A466" s="1" t="s">
        <v>752</v>
      </c>
      <c r="B466" s="1" t="s">
        <v>2637</v>
      </c>
    </row>
    <row r="467" spans="1:2" x14ac:dyDescent="0.3">
      <c r="A467" s="1" t="s">
        <v>753</v>
      </c>
      <c r="B467" s="1" t="s">
        <v>2638</v>
      </c>
    </row>
    <row r="468" spans="1:2" x14ac:dyDescent="0.3">
      <c r="A468" s="1" t="s">
        <v>754</v>
      </c>
      <c r="B468" s="1" t="s">
        <v>2637</v>
      </c>
    </row>
    <row r="469" spans="1:2" x14ac:dyDescent="0.3">
      <c r="A469" s="1" t="s">
        <v>755</v>
      </c>
      <c r="B469" s="1" t="s">
        <v>2637</v>
      </c>
    </row>
    <row r="470" spans="1:2" x14ac:dyDescent="0.3">
      <c r="A470" s="1" t="s">
        <v>756</v>
      </c>
      <c r="B470" s="1" t="s">
        <v>2637</v>
      </c>
    </row>
    <row r="471" spans="1:2" x14ac:dyDescent="0.3">
      <c r="A471" s="1" t="s">
        <v>758</v>
      </c>
      <c r="B471" s="1" t="s">
        <v>2638</v>
      </c>
    </row>
    <row r="472" spans="1:2" x14ac:dyDescent="0.3">
      <c r="A472" s="1" t="s">
        <v>759</v>
      </c>
      <c r="B472" s="1" t="s">
        <v>2637</v>
      </c>
    </row>
    <row r="473" spans="1:2" x14ac:dyDescent="0.3">
      <c r="A473" s="1" t="s">
        <v>760</v>
      </c>
      <c r="B473" s="1" t="s">
        <v>2637</v>
      </c>
    </row>
    <row r="474" spans="1:2" x14ac:dyDescent="0.3">
      <c r="A474" s="1" t="s">
        <v>761</v>
      </c>
      <c r="B474" s="1" t="s">
        <v>2637</v>
      </c>
    </row>
    <row r="475" spans="1:2" x14ac:dyDescent="0.3">
      <c r="A475" s="1" t="s">
        <v>762</v>
      </c>
      <c r="B475" s="1" t="s">
        <v>2637</v>
      </c>
    </row>
    <row r="476" spans="1:2" x14ac:dyDescent="0.3">
      <c r="A476" s="1" t="s">
        <v>763</v>
      </c>
      <c r="B476" s="1" t="s">
        <v>2637</v>
      </c>
    </row>
    <row r="477" spans="1:2" x14ac:dyDescent="0.3">
      <c r="A477" s="1" t="s">
        <v>764</v>
      </c>
      <c r="B477" s="1" t="s">
        <v>2637</v>
      </c>
    </row>
    <row r="478" spans="1:2" x14ac:dyDescent="0.3">
      <c r="A478" s="1" t="s">
        <v>765</v>
      </c>
      <c r="B478" s="1" t="s">
        <v>2637</v>
      </c>
    </row>
    <row r="479" spans="1:2" x14ac:dyDescent="0.3">
      <c r="A479" s="1" t="s">
        <v>766</v>
      </c>
      <c r="B479" s="1" t="s">
        <v>2638</v>
      </c>
    </row>
    <row r="480" spans="1:2" x14ac:dyDescent="0.3">
      <c r="A480" s="1" t="s">
        <v>767</v>
      </c>
      <c r="B480" s="1" t="s">
        <v>2637</v>
      </c>
    </row>
    <row r="481" spans="1:2" x14ac:dyDescent="0.3">
      <c r="A481" s="1" t="s">
        <v>768</v>
      </c>
      <c r="B481" s="1" t="s">
        <v>2637</v>
      </c>
    </row>
    <row r="482" spans="1:2" x14ac:dyDescent="0.3">
      <c r="A482" s="1" t="s">
        <v>769</v>
      </c>
      <c r="B482" s="1" t="s">
        <v>2637</v>
      </c>
    </row>
    <row r="483" spans="1:2" x14ac:dyDescent="0.3">
      <c r="A483" s="1" t="s">
        <v>771</v>
      </c>
      <c r="B483" s="1" t="s">
        <v>2637</v>
      </c>
    </row>
    <row r="484" spans="1:2" x14ac:dyDescent="0.3">
      <c r="A484" s="1" t="s">
        <v>772</v>
      </c>
      <c r="B484" s="1" t="s">
        <v>2637</v>
      </c>
    </row>
    <row r="485" spans="1:2" x14ac:dyDescent="0.3">
      <c r="A485" s="1" t="s">
        <v>773</v>
      </c>
      <c r="B485" s="1" t="s">
        <v>2637</v>
      </c>
    </row>
    <row r="486" spans="1:2" x14ac:dyDescent="0.3">
      <c r="A486" s="1" t="s">
        <v>774</v>
      </c>
      <c r="B486" s="1" t="s">
        <v>2637</v>
      </c>
    </row>
    <row r="487" spans="1:2" x14ac:dyDescent="0.3">
      <c r="A487" s="1" t="s">
        <v>775</v>
      </c>
      <c r="B487" s="1" t="s">
        <v>2637</v>
      </c>
    </row>
    <row r="488" spans="1:2" x14ac:dyDescent="0.3">
      <c r="A488" s="1" t="s">
        <v>776</v>
      </c>
      <c r="B488" s="1" t="s">
        <v>2638</v>
      </c>
    </row>
    <row r="489" spans="1:2" x14ac:dyDescent="0.3">
      <c r="A489" s="1" t="s">
        <v>778</v>
      </c>
      <c r="B489" s="1" t="s">
        <v>2637</v>
      </c>
    </row>
    <row r="490" spans="1:2" x14ac:dyDescent="0.3">
      <c r="A490" s="1" t="s">
        <v>779</v>
      </c>
      <c r="B490" s="1" t="s">
        <v>2638</v>
      </c>
    </row>
    <row r="491" spans="1:2" x14ac:dyDescent="0.3">
      <c r="A491" s="1" t="s">
        <v>780</v>
      </c>
      <c r="B491" s="1" t="s">
        <v>2637</v>
      </c>
    </row>
    <row r="492" spans="1:2" x14ac:dyDescent="0.3">
      <c r="A492" s="1" t="s">
        <v>781</v>
      </c>
      <c r="B492" s="1" t="s">
        <v>2638</v>
      </c>
    </row>
    <row r="493" spans="1:2" x14ac:dyDescent="0.3">
      <c r="A493" s="1" t="s">
        <v>782</v>
      </c>
      <c r="B493" s="1" t="s">
        <v>2638</v>
      </c>
    </row>
    <row r="494" spans="1:2" x14ac:dyDescent="0.3">
      <c r="A494" s="1" t="s">
        <v>783</v>
      </c>
      <c r="B494" s="1" t="s">
        <v>2637</v>
      </c>
    </row>
    <row r="495" spans="1:2" x14ac:dyDescent="0.3">
      <c r="A495" s="1" t="s">
        <v>784</v>
      </c>
      <c r="B495" s="1" t="s">
        <v>2637</v>
      </c>
    </row>
    <row r="496" spans="1:2" x14ac:dyDescent="0.3">
      <c r="A496" s="1" t="s">
        <v>785</v>
      </c>
      <c r="B496" s="1" t="s">
        <v>2637</v>
      </c>
    </row>
    <row r="497" spans="1:2" x14ac:dyDescent="0.3">
      <c r="A497" s="1" t="s">
        <v>787</v>
      </c>
      <c r="B497" s="1" t="s">
        <v>2638</v>
      </c>
    </row>
    <row r="498" spans="1:2" x14ac:dyDescent="0.3">
      <c r="A498" s="1" t="s">
        <v>788</v>
      </c>
      <c r="B498" s="1" t="s">
        <v>2637</v>
      </c>
    </row>
    <row r="499" spans="1:2" x14ac:dyDescent="0.3">
      <c r="A499" s="1" t="s">
        <v>789</v>
      </c>
      <c r="B499" s="1" t="s">
        <v>2638</v>
      </c>
    </row>
    <row r="500" spans="1:2" x14ac:dyDescent="0.3">
      <c r="A500" s="1" t="s">
        <v>790</v>
      </c>
      <c r="B500" s="1" t="s">
        <v>2637</v>
      </c>
    </row>
    <row r="501" spans="1:2" x14ac:dyDescent="0.3">
      <c r="A501" s="1" t="s">
        <v>791</v>
      </c>
      <c r="B501" s="1" t="s">
        <v>2637</v>
      </c>
    </row>
    <row r="502" spans="1:2" x14ac:dyDescent="0.3">
      <c r="A502" s="1" t="s">
        <v>792</v>
      </c>
      <c r="B502" s="1" t="s">
        <v>2637</v>
      </c>
    </row>
    <row r="503" spans="1:2" x14ac:dyDescent="0.3">
      <c r="A503" s="1" t="s">
        <v>793</v>
      </c>
      <c r="B503" s="1" t="s">
        <v>2637</v>
      </c>
    </row>
    <row r="504" spans="1:2" x14ac:dyDescent="0.3">
      <c r="A504" s="1" t="s">
        <v>794</v>
      </c>
      <c r="B504" s="1" t="s">
        <v>2637</v>
      </c>
    </row>
    <row r="505" spans="1:2" x14ac:dyDescent="0.3">
      <c r="A505" s="1" t="s">
        <v>795</v>
      </c>
      <c r="B505" s="1" t="s">
        <v>2637</v>
      </c>
    </row>
    <row r="506" spans="1:2" x14ac:dyDescent="0.3">
      <c r="A506" s="1" t="s">
        <v>796</v>
      </c>
      <c r="B506" s="1" t="s">
        <v>2637</v>
      </c>
    </row>
    <row r="507" spans="1:2" x14ac:dyDescent="0.3">
      <c r="A507" s="1" t="s">
        <v>797</v>
      </c>
      <c r="B507" s="1" t="s">
        <v>2637</v>
      </c>
    </row>
    <row r="508" spans="1:2" x14ac:dyDescent="0.3">
      <c r="A508" s="1" t="s">
        <v>798</v>
      </c>
      <c r="B508" s="1" t="s">
        <v>2637</v>
      </c>
    </row>
    <row r="509" spans="1:2" x14ac:dyDescent="0.3">
      <c r="A509" s="1" t="s">
        <v>799</v>
      </c>
      <c r="B509" s="1" t="s">
        <v>2638</v>
      </c>
    </row>
    <row r="510" spans="1:2" x14ac:dyDescent="0.3">
      <c r="A510" s="1" t="s">
        <v>801</v>
      </c>
      <c r="B510" s="1" t="s">
        <v>2637</v>
      </c>
    </row>
    <row r="511" spans="1:2" x14ac:dyDescent="0.3">
      <c r="A511" s="1" t="s">
        <v>802</v>
      </c>
      <c r="B511" s="1" t="s">
        <v>2637</v>
      </c>
    </row>
    <row r="512" spans="1:2" x14ac:dyDescent="0.3">
      <c r="A512" s="1" t="s">
        <v>804</v>
      </c>
      <c r="B512" s="1" t="s">
        <v>2637</v>
      </c>
    </row>
    <row r="513" spans="1:2" x14ac:dyDescent="0.3">
      <c r="A513" s="1" t="s">
        <v>805</v>
      </c>
      <c r="B513" s="1" t="s">
        <v>2638</v>
      </c>
    </row>
    <row r="514" spans="1:2" x14ac:dyDescent="0.3">
      <c r="A514" s="1" t="s">
        <v>806</v>
      </c>
      <c r="B514" s="1" t="s">
        <v>2638</v>
      </c>
    </row>
    <row r="515" spans="1:2" x14ac:dyDescent="0.3">
      <c r="A515" s="1" t="s">
        <v>807</v>
      </c>
      <c r="B515" s="1" t="s">
        <v>2637</v>
      </c>
    </row>
    <row r="516" spans="1:2" x14ac:dyDescent="0.3">
      <c r="A516" s="1" t="s">
        <v>808</v>
      </c>
      <c r="B516" s="1" t="s">
        <v>2637</v>
      </c>
    </row>
    <row r="517" spans="1:2" x14ac:dyDescent="0.3">
      <c r="A517" s="1" t="s">
        <v>809</v>
      </c>
      <c r="B517" s="1" t="s">
        <v>2638</v>
      </c>
    </row>
    <row r="518" spans="1:2" x14ac:dyDescent="0.3">
      <c r="A518" s="1" t="s">
        <v>810</v>
      </c>
      <c r="B518" s="1" t="s">
        <v>2637</v>
      </c>
    </row>
    <row r="519" spans="1:2" x14ac:dyDescent="0.3">
      <c r="A519" s="1" t="s">
        <v>811</v>
      </c>
      <c r="B519" s="1" t="s">
        <v>2637</v>
      </c>
    </row>
    <row r="520" spans="1:2" x14ac:dyDescent="0.3">
      <c r="A520" s="1" t="s">
        <v>812</v>
      </c>
      <c r="B520" s="1" t="s">
        <v>2637</v>
      </c>
    </row>
    <row r="521" spans="1:2" x14ac:dyDescent="0.3">
      <c r="A521" s="1" t="s">
        <v>813</v>
      </c>
      <c r="B521" s="1" t="s">
        <v>2638</v>
      </c>
    </row>
    <row r="522" spans="1:2" x14ac:dyDescent="0.3">
      <c r="A522" s="1" t="s">
        <v>814</v>
      </c>
      <c r="B522" s="1" t="s">
        <v>2637</v>
      </c>
    </row>
    <row r="523" spans="1:2" x14ac:dyDescent="0.3">
      <c r="A523" s="1" t="s">
        <v>815</v>
      </c>
      <c r="B523" s="1" t="s">
        <v>2637</v>
      </c>
    </row>
    <row r="524" spans="1:2" x14ac:dyDescent="0.3">
      <c r="A524" s="1" t="s">
        <v>816</v>
      </c>
      <c r="B524" s="1" t="s">
        <v>2638</v>
      </c>
    </row>
    <row r="525" spans="1:2" x14ac:dyDescent="0.3">
      <c r="A525" s="1" t="s">
        <v>817</v>
      </c>
      <c r="B525" s="1" t="s">
        <v>2637</v>
      </c>
    </row>
    <row r="526" spans="1:2" x14ac:dyDescent="0.3">
      <c r="A526" s="1" t="s">
        <v>818</v>
      </c>
      <c r="B526" s="1" t="s">
        <v>2637</v>
      </c>
    </row>
    <row r="527" spans="1:2" x14ac:dyDescent="0.3">
      <c r="A527" s="1" t="s">
        <v>819</v>
      </c>
      <c r="B527" s="1" t="s">
        <v>2637</v>
      </c>
    </row>
    <row r="528" spans="1:2" x14ac:dyDescent="0.3">
      <c r="A528" s="1" t="s">
        <v>820</v>
      </c>
      <c r="B528" s="1" t="s">
        <v>2637</v>
      </c>
    </row>
    <row r="529" spans="1:2" x14ac:dyDescent="0.3">
      <c r="A529" s="1" t="s">
        <v>821</v>
      </c>
      <c r="B529" s="1" t="s">
        <v>2638</v>
      </c>
    </row>
    <row r="530" spans="1:2" x14ac:dyDescent="0.3">
      <c r="A530" s="1" t="s">
        <v>822</v>
      </c>
      <c r="B530" s="1" t="s">
        <v>2638</v>
      </c>
    </row>
    <row r="531" spans="1:2" x14ac:dyDescent="0.3">
      <c r="A531" s="1" t="s">
        <v>823</v>
      </c>
      <c r="B531" s="1" t="s">
        <v>2637</v>
      </c>
    </row>
    <row r="532" spans="1:2" x14ac:dyDescent="0.3">
      <c r="A532" s="1" t="s">
        <v>824</v>
      </c>
      <c r="B532" s="1" t="s">
        <v>2637</v>
      </c>
    </row>
    <row r="533" spans="1:2" x14ac:dyDescent="0.3">
      <c r="A533" s="1" t="s">
        <v>825</v>
      </c>
      <c r="B533" s="1" t="s">
        <v>2637</v>
      </c>
    </row>
    <row r="534" spans="1:2" x14ac:dyDescent="0.3">
      <c r="A534" s="1" t="s">
        <v>826</v>
      </c>
      <c r="B534" s="1" t="s">
        <v>2637</v>
      </c>
    </row>
    <row r="535" spans="1:2" x14ac:dyDescent="0.3">
      <c r="A535" s="1" t="s">
        <v>827</v>
      </c>
      <c r="B535" s="1" t="s">
        <v>2637</v>
      </c>
    </row>
    <row r="536" spans="1:2" x14ac:dyDescent="0.3">
      <c r="A536" s="1" t="s">
        <v>828</v>
      </c>
      <c r="B536" s="1" t="s">
        <v>2637</v>
      </c>
    </row>
    <row r="537" spans="1:2" x14ac:dyDescent="0.3">
      <c r="A537" s="1" t="s">
        <v>829</v>
      </c>
      <c r="B537" s="1" t="s">
        <v>2638</v>
      </c>
    </row>
    <row r="538" spans="1:2" x14ac:dyDescent="0.3">
      <c r="A538" s="1" t="s">
        <v>830</v>
      </c>
      <c r="B538" s="1" t="s">
        <v>2637</v>
      </c>
    </row>
    <row r="539" spans="1:2" x14ac:dyDescent="0.3">
      <c r="A539" s="1" t="s">
        <v>831</v>
      </c>
      <c r="B539" s="1" t="s">
        <v>2637</v>
      </c>
    </row>
    <row r="540" spans="1:2" x14ac:dyDescent="0.3">
      <c r="A540" s="1" t="s">
        <v>832</v>
      </c>
      <c r="B540" s="1" t="s">
        <v>2637</v>
      </c>
    </row>
    <row r="541" spans="1:2" x14ac:dyDescent="0.3">
      <c r="A541" s="1" t="s">
        <v>833</v>
      </c>
      <c r="B541" s="1" t="s">
        <v>2638</v>
      </c>
    </row>
    <row r="542" spans="1:2" x14ac:dyDescent="0.3">
      <c r="A542" s="1" t="s">
        <v>835</v>
      </c>
      <c r="B542" s="1" t="s">
        <v>2637</v>
      </c>
    </row>
    <row r="543" spans="1:2" x14ac:dyDescent="0.3">
      <c r="A543" s="1" t="s">
        <v>836</v>
      </c>
      <c r="B543" s="1" t="s">
        <v>2637</v>
      </c>
    </row>
    <row r="544" spans="1:2" x14ac:dyDescent="0.3">
      <c r="A544" s="1" t="s">
        <v>837</v>
      </c>
      <c r="B544" s="1" t="s">
        <v>2637</v>
      </c>
    </row>
    <row r="545" spans="1:2" x14ac:dyDescent="0.3">
      <c r="A545" s="1" t="s">
        <v>838</v>
      </c>
      <c r="B545" s="1" t="s">
        <v>2638</v>
      </c>
    </row>
    <row r="546" spans="1:2" x14ac:dyDescent="0.3">
      <c r="A546" s="1" t="s">
        <v>839</v>
      </c>
      <c r="B546" s="1" t="s">
        <v>2637</v>
      </c>
    </row>
    <row r="547" spans="1:2" x14ac:dyDescent="0.3">
      <c r="A547" s="1" t="s">
        <v>840</v>
      </c>
      <c r="B547" s="1" t="s">
        <v>2637</v>
      </c>
    </row>
    <row r="548" spans="1:2" x14ac:dyDescent="0.3">
      <c r="A548" s="1" t="s">
        <v>841</v>
      </c>
      <c r="B548" s="1" t="s">
        <v>2637</v>
      </c>
    </row>
    <row r="549" spans="1:2" x14ac:dyDescent="0.3">
      <c r="A549" s="1" t="s">
        <v>842</v>
      </c>
      <c r="B549" s="1" t="s">
        <v>2637</v>
      </c>
    </row>
    <row r="550" spans="1:2" x14ac:dyDescent="0.3">
      <c r="A550" s="1" t="s">
        <v>844</v>
      </c>
      <c r="B550" s="1" t="s">
        <v>2638</v>
      </c>
    </row>
    <row r="551" spans="1:2" x14ac:dyDescent="0.3">
      <c r="A551" s="1" t="s">
        <v>845</v>
      </c>
      <c r="B551" s="1" t="s">
        <v>2637</v>
      </c>
    </row>
    <row r="552" spans="1:2" x14ac:dyDescent="0.3">
      <c r="A552" s="1" t="s">
        <v>846</v>
      </c>
      <c r="B552" s="1" t="s">
        <v>2637</v>
      </c>
    </row>
    <row r="553" spans="1:2" x14ac:dyDescent="0.3">
      <c r="A553" s="1" t="s">
        <v>847</v>
      </c>
      <c r="B553" s="1" t="s">
        <v>2637</v>
      </c>
    </row>
    <row r="554" spans="1:2" x14ac:dyDescent="0.3">
      <c r="A554" s="1" t="s">
        <v>848</v>
      </c>
      <c r="B554" s="1" t="s">
        <v>2637</v>
      </c>
    </row>
    <row r="555" spans="1:2" x14ac:dyDescent="0.3">
      <c r="A555" s="1" t="s">
        <v>849</v>
      </c>
      <c r="B555" s="1" t="s">
        <v>2637</v>
      </c>
    </row>
    <row r="556" spans="1:2" x14ac:dyDescent="0.3">
      <c r="A556" s="1" t="s">
        <v>850</v>
      </c>
      <c r="B556" s="1" t="s">
        <v>2637</v>
      </c>
    </row>
    <row r="557" spans="1:2" x14ac:dyDescent="0.3">
      <c r="A557" s="1" t="s">
        <v>851</v>
      </c>
      <c r="B557" s="1" t="s">
        <v>2638</v>
      </c>
    </row>
    <row r="558" spans="1:2" x14ac:dyDescent="0.3">
      <c r="A558" s="1" t="s">
        <v>852</v>
      </c>
      <c r="B558" s="1" t="s">
        <v>2637</v>
      </c>
    </row>
    <row r="559" spans="1:2" x14ac:dyDescent="0.3">
      <c r="A559" s="1" t="s">
        <v>853</v>
      </c>
      <c r="B559" s="1" t="s">
        <v>2637</v>
      </c>
    </row>
    <row r="560" spans="1:2" x14ac:dyDescent="0.3">
      <c r="A560" s="1" t="s">
        <v>854</v>
      </c>
      <c r="B560" s="1" t="s">
        <v>2637</v>
      </c>
    </row>
    <row r="561" spans="1:2" x14ac:dyDescent="0.3">
      <c r="A561" s="1" t="s">
        <v>855</v>
      </c>
      <c r="B561" s="1" t="s">
        <v>2637</v>
      </c>
    </row>
    <row r="562" spans="1:2" x14ac:dyDescent="0.3">
      <c r="A562" s="1" t="s">
        <v>856</v>
      </c>
      <c r="B562" s="1" t="s">
        <v>2637</v>
      </c>
    </row>
    <row r="563" spans="1:2" x14ac:dyDescent="0.3">
      <c r="A563" s="1" t="s">
        <v>857</v>
      </c>
      <c r="B563" s="1" t="s">
        <v>2638</v>
      </c>
    </row>
    <row r="564" spans="1:2" x14ac:dyDescent="0.3">
      <c r="A564" s="1" t="s">
        <v>858</v>
      </c>
      <c r="B564" s="1" t="s">
        <v>2637</v>
      </c>
    </row>
    <row r="565" spans="1:2" x14ac:dyDescent="0.3">
      <c r="A565" s="1" t="s">
        <v>859</v>
      </c>
      <c r="B565" s="1" t="s">
        <v>2638</v>
      </c>
    </row>
    <row r="566" spans="1:2" x14ac:dyDescent="0.3">
      <c r="A566" s="1" t="s">
        <v>860</v>
      </c>
      <c r="B566" s="1" t="s">
        <v>2637</v>
      </c>
    </row>
    <row r="567" spans="1:2" x14ac:dyDescent="0.3">
      <c r="A567" s="1" t="s">
        <v>861</v>
      </c>
      <c r="B567" s="1" t="s">
        <v>2637</v>
      </c>
    </row>
    <row r="568" spans="1:2" x14ac:dyDescent="0.3">
      <c r="A568" s="1" t="s">
        <v>862</v>
      </c>
      <c r="B568" s="1" t="s">
        <v>2637</v>
      </c>
    </row>
    <row r="569" spans="1:2" x14ac:dyDescent="0.3">
      <c r="A569" s="1" t="s">
        <v>863</v>
      </c>
      <c r="B569" s="1" t="s">
        <v>2637</v>
      </c>
    </row>
    <row r="570" spans="1:2" x14ac:dyDescent="0.3">
      <c r="A570" s="1" t="s">
        <v>864</v>
      </c>
      <c r="B570" s="1" t="s">
        <v>2637</v>
      </c>
    </row>
    <row r="571" spans="1:2" x14ac:dyDescent="0.3">
      <c r="A571" s="1" t="s">
        <v>865</v>
      </c>
      <c r="B571" s="1" t="s">
        <v>2637</v>
      </c>
    </row>
    <row r="572" spans="1:2" x14ac:dyDescent="0.3">
      <c r="A572" s="1" t="s">
        <v>866</v>
      </c>
      <c r="B572" s="1" t="s">
        <v>2637</v>
      </c>
    </row>
    <row r="573" spans="1:2" x14ac:dyDescent="0.3">
      <c r="A573" s="1" t="s">
        <v>867</v>
      </c>
      <c r="B573" s="1" t="s">
        <v>2637</v>
      </c>
    </row>
    <row r="574" spans="1:2" x14ac:dyDescent="0.3">
      <c r="A574" s="1" t="s">
        <v>868</v>
      </c>
      <c r="B574" s="1" t="s">
        <v>2637</v>
      </c>
    </row>
    <row r="575" spans="1:2" x14ac:dyDescent="0.3">
      <c r="A575" s="1" t="s">
        <v>869</v>
      </c>
      <c r="B575" s="1" t="s">
        <v>2638</v>
      </c>
    </row>
    <row r="576" spans="1:2" x14ac:dyDescent="0.3">
      <c r="A576" s="1" t="s">
        <v>870</v>
      </c>
      <c r="B576" s="1" t="s">
        <v>2637</v>
      </c>
    </row>
    <row r="577" spans="1:2" x14ac:dyDescent="0.3">
      <c r="A577" s="1" t="s">
        <v>871</v>
      </c>
      <c r="B577" s="1" t="s">
        <v>2637</v>
      </c>
    </row>
    <row r="578" spans="1:2" x14ac:dyDescent="0.3">
      <c r="A578" s="1" t="s">
        <v>872</v>
      </c>
      <c r="B578" s="1" t="s">
        <v>2637</v>
      </c>
    </row>
    <row r="579" spans="1:2" x14ac:dyDescent="0.3">
      <c r="A579" s="1" t="s">
        <v>873</v>
      </c>
      <c r="B579" s="1" t="s">
        <v>2637</v>
      </c>
    </row>
    <row r="580" spans="1:2" x14ac:dyDescent="0.3">
      <c r="A580" s="1" t="s">
        <v>874</v>
      </c>
      <c r="B580" s="1" t="s">
        <v>2637</v>
      </c>
    </row>
    <row r="581" spans="1:2" x14ac:dyDescent="0.3">
      <c r="A581" s="1" t="s">
        <v>875</v>
      </c>
      <c r="B581" s="1" t="s">
        <v>2637</v>
      </c>
    </row>
    <row r="582" spans="1:2" x14ac:dyDescent="0.3">
      <c r="A582" s="1" t="s">
        <v>876</v>
      </c>
      <c r="B582" s="1" t="s">
        <v>2637</v>
      </c>
    </row>
    <row r="583" spans="1:2" x14ac:dyDescent="0.3">
      <c r="A583" s="1" t="s">
        <v>877</v>
      </c>
      <c r="B583" s="1" t="s">
        <v>2637</v>
      </c>
    </row>
    <row r="584" spans="1:2" x14ac:dyDescent="0.3">
      <c r="A584" s="1" t="s">
        <v>878</v>
      </c>
      <c r="B584" s="1" t="s">
        <v>2637</v>
      </c>
    </row>
    <row r="585" spans="1:2" x14ac:dyDescent="0.3">
      <c r="A585" s="1" t="s">
        <v>879</v>
      </c>
      <c r="B585" s="1" t="s">
        <v>2637</v>
      </c>
    </row>
    <row r="586" spans="1:2" x14ac:dyDescent="0.3">
      <c r="A586" s="1" t="s">
        <v>880</v>
      </c>
      <c r="B586" s="1" t="s">
        <v>2637</v>
      </c>
    </row>
    <row r="587" spans="1:2" x14ac:dyDescent="0.3">
      <c r="A587" s="1" t="s">
        <v>881</v>
      </c>
      <c r="B587" s="1" t="s">
        <v>2637</v>
      </c>
    </row>
    <row r="588" spans="1:2" x14ac:dyDescent="0.3">
      <c r="A588" s="1" t="s">
        <v>882</v>
      </c>
      <c r="B588" s="1" t="s">
        <v>2637</v>
      </c>
    </row>
    <row r="589" spans="1:2" x14ac:dyDescent="0.3">
      <c r="A589" s="1" t="s">
        <v>883</v>
      </c>
      <c r="B589" s="1" t="s">
        <v>2638</v>
      </c>
    </row>
    <row r="590" spans="1:2" x14ac:dyDescent="0.3">
      <c r="A590" s="1" t="s">
        <v>884</v>
      </c>
      <c r="B590" s="1" t="s">
        <v>2637</v>
      </c>
    </row>
    <row r="591" spans="1:2" x14ac:dyDescent="0.3">
      <c r="A591" s="1" t="s">
        <v>885</v>
      </c>
      <c r="B591" s="1" t="s">
        <v>2637</v>
      </c>
    </row>
    <row r="592" spans="1:2" x14ac:dyDescent="0.3">
      <c r="A592" s="1" t="s">
        <v>886</v>
      </c>
      <c r="B592" s="1" t="s">
        <v>2637</v>
      </c>
    </row>
    <row r="593" spans="1:2" x14ac:dyDescent="0.3">
      <c r="A593" s="1" t="s">
        <v>887</v>
      </c>
      <c r="B593" s="1" t="s">
        <v>2637</v>
      </c>
    </row>
    <row r="594" spans="1:2" x14ac:dyDescent="0.3">
      <c r="A594" s="1" t="s">
        <v>888</v>
      </c>
      <c r="B594" s="1" t="s">
        <v>2637</v>
      </c>
    </row>
    <row r="595" spans="1:2" x14ac:dyDescent="0.3">
      <c r="A595" s="1" t="s">
        <v>889</v>
      </c>
      <c r="B595" s="1" t="s">
        <v>2637</v>
      </c>
    </row>
    <row r="596" spans="1:2" x14ac:dyDescent="0.3">
      <c r="A596" s="1" t="s">
        <v>890</v>
      </c>
      <c r="B596" s="1" t="s">
        <v>2637</v>
      </c>
    </row>
    <row r="597" spans="1:2" x14ac:dyDescent="0.3">
      <c r="A597" s="1" t="s">
        <v>891</v>
      </c>
      <c r="B597" s="1" t="s">
        <v>2637</v>
      </c>
    </row>
    <row r="598" spans="1:2" x14ac:dyDescent="0.3">
      <c r="A598" s="1" t="s">
        <v>892</v>
      </c>
      <c r="B598" s="1" t="s">
        <v>2638</v>
      </c>
    </row>
    <row r="599" spans="1:2" x14ac:dyDescent="0.3">
      <c r="A599" s="1" t="s">
        <v>893</v>
      </c>
      <c r="B599" s="1" t="s">
        <v>2637</v>
      </c>
    </row>
    <row r="600" spans="1:2" x14ac:dyDescent="0.3">
      <c r="A600" s="1" t="s">
        <v>894</v>
      </c>
      <c r="B600" s="1" t="s">
        <v>2637</v>
      </c>
    </row>
    <row r="601" spans="1:2" x14ac:dyDescent="0.3">
      <c r="A601" s="1" t="s">
        <v>895</v>
      </c>
      <c r="B601" s="1" t="s">
        <v>2637</v>
      </c>
    </row>
    <row r="602" spans="1:2" x14ac:dyDescent="0.3">
      <c r="A602" s="1" t="s">
        <v>896</v>
      </c>
      <c r="B602" s="1" t="s">
        <v>2637</v>
      </c>
    </row>
    <row r="603" spans="1:2" x14ac:dyDescent="0.3">
      <c r="A603" s="1" t="s">
        <v>897</v>
      </c>
      <c r="B603" s="1" t="s">
        <v>2637</v>
      </c>
    </row>
    <row r="604" spans="1:2" x14ac:dyDescent="0.3">
      <c r="A604" s="1" t="s">
        <v>898</v>
      </c>
      <c r="B604" s="1" t="s">
        <v>2637</v>
      </c>
    </row>
    <row r="605" spans="1:2" x14ac:dyDescent="0.3">
      <c r="A605" s="1" t="s">
        <v>899</v>
      </c>
      <c r="B605" s="1" t="s">
        <v>2637</v>
      </c>
    </row>
    <row r="606" spans="1:2" x14ac:dyDescent="0.3">
      <c r="A606" s="1" t="s">
        <v>900</v>
      </c>
      <c r="B606" s="1" t="s">
        <v>2637</v>
      </c>
    </row>
    <row r="607" spans="1:2" x14ac:dyDescent="0.3">
      <c r="A607" s="1" t="s">
        <v>901</v>
      </c>
      <c r="B607" s="1" t="s">
        <v>2637</v>
      </c>
    </row>
    <row r="608" spans="1:2" x14ac:dyDescent="0.3">
      <c r="A608" s="1" t="s">
        <v>903</v>
      </c>
      <c r="B608" s="1" t="s">
        <v>2637</v>
      </c>
    </row>
    <row r="609" spans="1:2" x14ac:dyDescent="0.3">
      <c r="A609" s="1" t="s">
        <v>904</v>
      </c>
      <c r="B609" s="1" t="s">
        <v>2637</v>
      </c>
    </row>
    <row r="610" spans="1:2" x14ac:dyDescent="0.3">
      <c r="A610" s="1" t="s">
        <v>905</v>
      </c>
      <c r="B610" s="1" t="s">
        <v>2637</v>
      </c>
    </row>
    <row r="611" spans="1:2" x14ac:dyDescent="0.3">
      <c r="A611" s="1" t="s">
        <v>906</v>
      </c>
      <c r="B611" s="1" t="s">
        <v>2637</v>
      </c>
    </row>
    <row r="612" spans="1:2" x14ac:dyDescent="0.3">
      <c r="A612" s="1" t="s">
        <v>907</v>
      </c>
      <c r="B612" s="1" t="s">
        <v>2637</v>
      </c>
    </row>
    <row r="613" spans="1:2" x14ac:dyDescent="0.3">
      <c r="A613" s="1" t="s">
        <v>908</v>
      </c>
      <c r="B613" s="1" t="s">
        <v>2637</v>
      </c>
    </row>
    <row r="614" spans="1:2" x14ac:dyDescent="0.3">
      <c r="A614" s="1" t="s">
        <v>909</v>
      </c>
      <c r="B614" s="1" t="s">
        <v>2637</v>
      </c>
    </row>
    <row r="615" spans="1:2" x14ac:dyDescent="0.3">
      <c r="A615" s="1" t="s">
        <v>910</v>
      </c>
      <c r="B615" s="1" t="s">
        <v>2637</v>
      </c>
    </row>
    <row r="616" spans="1:2" x14ac:dyDescent="0.3">
      <c r="A616" s="1" t="s">
        <v>911</v>
      </c>
      <c r="B616" s="1" t="s">
        <v>2637</v>
      </c>
    </row>
    <row r="617" spans="1:2" x14ac:dyDescent="0.3">
      <c r="A617" s="1" t="s">
        <v>912</v>
      </c>
      <c r="B617" s="1" t="s">
        <v>2638</v>
      </c>
    </row>
    <row r="618" spans="1:2" x14ac:dyDescent="0.3">
      <c r="A618" s="1" t="s">
        <v>913</v>
      </c>
      <c r="B618" s="1" t="s">
        <v>2637</v>
      </c>
    </row>
    <row r="619" spans="1:2" x14ac:dyDescent="0.3">
      <c r="A619" s="1" t="s">
        <v>914</v>
      </c>
      <c r="B619" s="1" t="s">
        <v>2637</v>
      </c>
    </row>
    <row r="620" spans="1:2" x14ac:dyDescent="0.3">
      <c r="A620" s="1" t="s">
        <v>915</v>
      </c>
      <c r="B620" s="1" t="s">
        <v>2638</v>
      </c>
    </row>
    <row r="621" spans="1:2" x14ac:dyDescent="0.3">
      <c r="A621" s="1" t="s">
        <v>916</v>
      </c>
      <c r="B621" s="1" t="s">
        <v>2637</v>
      </c>
    </row>
    <row r="622" spans="1:2" x14ac:dyDescent="0.3">
      <c r="A622" s="1" t="s">
        <v>917</v>
      </c>
      <c r="B622" s="1" t="s">
        <v>2637</v>
      </c>
    </row>
    <row r="623" spans="1:2" x14ac:dyDescent="0.3">
      <c r="A623" s="1" t="s">
        <v>918</v>
      </c>
      <c r="B623" s="1" t="s">
        <v>2637</v>
      </c>
    </row>
    <row r="624" spans="1:2" x14ac:dyDescent="0.3">
      <c r="A624" s="1" t="s">
        <v>919</v>
      </c>
      <c r="B624" s="1" t="s">
        <v>2637</v>
      </c>
    </row>
    <row r="625" spans="1:2" x14ac:dyDescent="0.3">
      <c r="A625" s="1" t="s">
        <v>920</v>
      </c>
      <c r="B625" s="1" t="s">
        <v>2638</v>
      </c>
    </row>
    <row r="626" spans="1:2" x14ac:dyDescent="0.3">
      <c r="A626" s="1" t="s">
        <v>921</v>
      </c>
      <c r="B626" s="1" t="s">
        <v>2637</v>
      </c>
    </row>
    <row r="627" spans="1:2" x14ac:dyDescent="0.3">
      <c r="A627" s="1" t="s">
        <v>922</v>
      </c>
      <c r="B627" s="1" t="s">
        <v>2638</v>
      </c>
    </row>
    <row r="628" spans="1:2" x14ac:dyDescent="0.3">
      <c r="A628" s="1" t="s">
        <v>923</v>
      </c>
      <c r="B628" s="1" t="s">
        <v>2637</v>
      </c>
    </row>
    <row r="629" spans="1:2" x14ac:dyDescent="0.3">
      <c r="A629" s="1" t="s">
        <v>924</v>
      </c>
      <c r="B629" s="1" t="s">
        <v>2638</v>
      </c>
    </row>
    <row r="630" spans="1:2" x14ac:dyDescent="0.3">
      <c r="A630" s="1" t="s">
        <v>925</v>
      </c>
      <c r="B630" s="1" t="s">
        <v>2637</v>
      </c>
    </row>
    <row r="631" spans="1:2" x14ac:dyDescent="0.3">
      <c r="A631" s="1" t="s">
        <v>926</v>
      </c>
      <c r="B631" s="1" t="s">
        <v>2637</v>
      </c>
    </row>
    <row r="632" spans="1:2" x14ac:dyDescent="0.3">
      <c r="A632" s="1" t="s">
        <v>928</v>
      </c>
      <c r="B632" s="1" t="s">
        <v>2637</v>
      </c>
    </row>
    <row r="633" spans="1:2" x14ac:dyDescent="0.3">
      <c r="A633" s="1" t="s">
        <v>929</v>
      </c>
      <c r="B633" s="1" t="s">
        <v>2637</v>
      </c>
    </row>
    <row r="634" spans="1:2" x14ac:dyDescent="0.3">
      <c r="A634" s="1" t="s">
        <v>930</v>
      </c>
      <c r="B634" s="1" t="s">
        <v>2637</v>
      </c>
    </row>
    <row r="635" spans="1:2" x14ac:dyDescent="0.3">
      <c r="A635" s="1" t="s">
        <v>931</v>
      </c>
      <c r="B635" s="1" t="s">
        <v>2638</v>
      </c>
    </row>
    <row r="636" spans="1:2" x14ac:dyDescent="0.3">
      <c r="A636" s="1" t="s">
        <v>932</v>
      </c>
      <c r="B636" s="1" t="s">
        <v>2637</v>
      </c>
    </row>
    <row r="637" spans="1:2" x14ac:dyDescent="0.3">
      <c r="A637" s="1" t="s">
        <v>933</v>
      </c>
      <c r="B637" s="1" t="s">
        <v>2637</v>
      </c>
    </row>
    <row r="638" spans="1:2" x14ac:dyDescent="0.3">
      <c r="A638" s="1" t="s">
        <v>934</v>
      </c>
      <c r="B638" s="1" t="s">
        <v>2638</v>
      </c>
    </row>
    <row r="639" spans="1:2" x14ac:dyDescent="0.3">
      <c r="A639" s="1" t="s">
        <v>935</v>
      </c>
      <c r="B639" s="1" t="s">
        <v>2637</v>
      </c>
    </row>
    <row r="640" spans="1:2" x14ac:dyDescent="0.3">
      <c r="A640" s="1" t="s">
        <v>936</v>
      </c>
      <c r="B640" s="1" t="s">
        <v>2637</v>
      </c>
    </row>
    <row r="641" spans="1:2" x14ac:dyDescent="0.3">
      <c r="A641" s="1" t="s">
        <v>937</v>
      </c>
      <c r="B641" s="1" t="s">
        <v>2637</v>
      </c>
    </row>
    <row r="642" spans="1:2" x14ac:dyDescent="0.3">
      <c r="A642" s="1" t="s">
        <v>938</v>
      </c>
      <c r="B642" s="1" t="s">
        <v>2637</v>
      </c>
    </row>
    <row r="643" spans="1:2" x14ac:dyDescent="0.3">
      <c r="A643" s="1" t="s">
        <v>939</v>
      </c>
      <c r="B643" s="1" t="s">
        <v>2637</v>
      </c>
    </row>
    <row r="644" spans="1:2" x14ac:dyDescent="0.3">
      <c r="A644" s="1" t="s">
        <v>940</v>
      </c>
      <c r="B644" s="1" t="s">
        <v>2637</v>
      </c>
    </row>
    <row r="645" spans="1:2" x14ac:dyDescent="0.3">
      <c r="A645" s="1" t="s">
        <v>941</v>
      </c>
      <c r="B645" s="1" t="s">
        <v>2637</v>
      </c>
    </row>
    <row r="646" spans="1:2" x14ac:dyDescent="0.3">
      <c r="A646" s="1" t="s">
        <v>942</v>
      </c>
      <c r="B646" s="1" t="s">
        <v>2638</v>
      </c>
    </row>
    <row r="647" spans="1:2" x14ac:dyDescent="0.3">
      <c r="A647" s="1" t="s">
        <v>943</v>
      </c>
      <c r="B647" s="1" t="s">
        <v>2637</v>
      </c>
    </row>
    <row r="648" spans="1:2" x14ac:dyDescent="0.3">
      <c r="A648" s="1" t="s">
        <v>944</v>
      </c>
      <c r="B648" s="1" t="s">
        <v>2637</v>
      </c>
    </row>
    <row r="649" spans="1:2" x14ac:dyDescent="0.3">
      <c r="A649" s="1" t="s">
        <v>945</v>
      </c>
      <c r="B649" s="1" t="s">
        <v>2637</v>
      </c>
    </row>
    <row r="650" spans="1:2" x14ac:dyDescent="0.3">
      <c r="A650" s="1" t="s">
        <v>947</v>
      </c>
      <c r="B650" s="1" t="s">
        <v>2637</v>
      </c>
    </row>
    <row r="651" spans="1:2" x14ac:dyDescent="0.3">
      <c r="A651" s="1" t="s">
        <v>948</v>
      </c>
      <c r="B651" s="1" t="s">
        <v>2638</v>
      </c>
    </row>
    <row r="652" spans="1:2" x14ac:dyDescent="0.3">
      <c r="A652" s="1" t="s">
        <v>949</v>
      </c>
      <c r="B652" s="1" t="s">
        <v>2637</v>
      </c>
    </row>
    <row r="653" spans="1:2" x14ac:dyDescent="0.3">
      <c r="A653" s="1" t="s">
        <v>950</v>
      </c>
      <c r="B653" s="1" t="s">
        <v>2637</v>
      </c>
    </row>
    <row r="654" spans="1:2" x14ac:dyDescent="0.3">
      <c r="A654" s="1" t="s">
        <v>951</v>
      </c>
      <c r="B654" s="1" t="s">
        <v>2638</v>
      </c>
    </row>
    <row r="655" spans="1:2" x14ac:dyDescent="0.3">
      <c r="A655" s="1" t="s">
        <v>952</v>
      </c>
      <c r="B655" s="1" t="s">
        <v>2637</v>
      </c>
    </row>
    <row r="656" spans="1:2" x14ac:dyDescent="0.3">
      <c r="A656" s="1" t="s">
        <v>953</v>
      </c>
      <c r="B656" s="1" t="s">
        <v>2638</v>
      </c>
    </row>
    <row r="657" spans="1:2" x14ac:dyDescent="0.3">
      <c r="A657" s="1" t="s">
        <v>954</v>
      </c>
      <c r="B657" s="1" t="s">
        <v>2637</v>
      </c>
    </row>
    <row r="658" spans="1:2" x14ac:dyDescent="0.3">
      <c r="A658" s="1" t="s">
        <v>955</v>
      </c>
      <c r="B658" s="1" t="s">
        <v>2637</v>
      </c>
    </row>
    <row r="659" spans="1:2" x14ac:dyDescent="0.3">
      <c r="A659" s="1" t="s">
        <v>956</v>
      </c>
      <c r="B659" s="1" t="s">
        <v>2637</v>
      </c>
    </row>
    <row r="660" spans="1:2" x14ac:dyDescent="0.3">
      <c r="A660" s="1" t="s">
        <v>957</v>
      </c>
      <c r="B660" s="1" t="s">
        <v>2637</v>
      </c>
    </row>
    <row r="661" spans="1:2" x14ac:dyDescent="0.3">
      <c r="A661" s="1" t="s">
        <v>958</v>
      </c>
      <c r="B661" s="1" t="s">
        <v>2637</v>
      </c>
    </row>
    <row r="662" spans="1:2" x14ac:dyDescent="0.3">
      <c r="A662" s="1" t="s">
        <v>959</v>
      </c>
      <c r="B662" s="1" t="s">
        <v>2637</v>
      </c>
    </row>
    <row r="663" spans="1:2" x14ac:dyDescent="0.3">
      <c r="A663" s="1" t="s">
        <v>960</v>
      </c>
      <c r="B663" s="1" t="s">
        <v>2637</v>
      </c>
    </row>
    <row r="664" spans="1:2" x14ac:dyDescent="0.3">
      <c r="A664" s="1" t="s">
        <v>961</v>
      </c>
      <c r="B664" s="1" t="s">
        <v>2637</v>
      </c>
    </row>
    <row r="665" spans="1:2" x14ac:dyDescent="0.3">
      <c r="A665" s="1" t="s">
        <v>962</v>
      </c>
      <c r="B665" s="1" t="s">
        <v>2637</v>
      </c>
    </row>
    <row r="666" spans="1:2" x14ac:dyDescent="0.3">
      <c r="A666" s="1" t="s">
        <v>963</v>
      </c>
      <c r="B666" s="1" t="s">
        <v>2638</v>
      </c>
    </row>
    <row r="667" spans="1:2" x14ac:dyDescent="0.3">
      <c r="A667" s="1" t="s">
        <v>964</v>
      </c>
      <c r="B667" s="1" t="s">
        <v>2637</v>
      </c>
    </row>
    <row r="668" spans="1:2" x14ac:dyDescent="0.3">
      <c r="A668" s="1" t="s">
        <v>965</v>
      </c>
      <c r="B668" s="1" t="s">
        <v>2637</v>
      </c>
    </row>
    <row r="669" spans="1:2" x14ac:dyDescent="0.3">
      <c r="A669" s="1" t="s">
        <v>966</v>
      </c>
      <c r="B669" s="1" t="s">
        <v>2638</v>
      </c>
    </row>
    <row r="670" spans="1:2" x14ac:dyDescent="0.3">
      <c r="A670" s="1" t="s">
        <v>967</v>
      </c>
      <c r="B670" s="1" t="s">
        <v>2637</v>
      </c>
    </row>
    <row r="671" spans="1:2" x14ac:dyDescent="0.3">
      <c r="A671" s="1" t="s">
        <v>968</v>
      </c>
      <c r="B671" s="1" t="s">
        <v>2637</v>
      </c>
    </row>
    <row r="672" spans="1:2" x14ac:dyDescent="0.3">
      <c r="A672" s="1" t="s">
        <v>969</v>
      </c>
      <c r="B672" s="1" t="s">
        <v>2638</v>
      </c>
    </row>
    <row r="673" spans="1:2" x14ac:dyDescent="0.3">
      <c r="A673" s="1" t="s">
        <v>970</v>
      </c>
      <c r="B673" s="1" t="s">
        <v>2637</v>
      </c>
    </row>
    <row r="674" spans="1:2" x14ac:dyDescent="0.3">
      <c r="A674" s="1" t="s">
        <v>971</v>
      </c>
      <c r="B674" s="1" t="s">
        <v>2637</v>
      </c>
    </row>
    <row r="675" spans="1:2" x14ac:dyDescent="0.3">
      <c r="A675" s="1" t="s">
        <v>972</v>
      </c>
      <c r="B675" s="1" t="s">
        <v>2637</v>
      </c>
    </row>
    <row r="676" spans="1:2" x14ac:dyDescent="0.3">
      <c r="A676" s="1" t="s">
        <v>973</v>
      </c>
      <c r="B676" s="1" t="s">
        <v>2637</v>
      </c>
    </row>
    <row r="677" spans="1:2" x14ac:dyDescent="0.3">
      <c r="A677" s="1" t="s">
        <v>974</v>
      </c>
      <c r="B677" s="1" t="s">
        <v>2637</v>
      </c>
    </row>
    <row r="678" spans="1:2" x14ac:dyDescent="0.3">
      <c r="A678" s="1" t="s">
        <v>975</v>
      </c>
      <c r="B678" s="1" t="s">
        <v>2637</v>
      </c>
    </row>
    <row r="679" spans="1:2" x14ac:dyDescent="0.3">
      <c r="A679" s="1" t="s">
        <v>976</v>
      </c>
      <c r="B679" s="1" t="s">
        <v>2637</v>
      </c>
    </row>
    <row r="680" spans="1:2" x14ac:dyDescent="0.3">
      <c r="A680" s="1" t="s">
        <v>977</v>
      </c>
      <c r="B680" s="1" t="s">
        <v>2638</v>
      </c>
    </row>
    <row r="681" spans="1:2" x14ac:dyDescent="0.3">
      <c r="A681" s="1" t="s">
        <v>979</v>
      </c>
      <c r="B681" s="1" t="s">
        <v>2638</v>
      </c>
    </row>
    <row r="682" spans="1:2" x14ac:dyDescent="0.3">
      <c r="A682" s="1" t="s">
        <v>981</v>
      </c>
      <c r="B682" s="1" t="s">
        <v>2637</v>
      </c>
    </row>
    <row r="683" spans="1:2" x14ac:dyDescent="0.3">
      <c r="A683" s="1" t="s">
        <v>982</v>
      </c>
      <c r="B683" s="1" t="s">
        <v>2637</v>
      </c>
    </row>
    <row r="684" spans="1:2" x14ac:dyDescent="0.3">
      <c r="A684" s="1" t="s">
        <v>983</v>
      </c>
      <c r="B684" s="1" t="s">
        <v>2637</v>
      </c>
    </row>
    <row r="685" spans="1:2" x14ac:dyDescent="0.3">
      <c r="A685" s="1" t="s">
        <v>984</v>
      </c>
      <c r="B685" s="1" t="s">
        <v>2638</v>
      </c>
    </row>
    <row r="686" spans="1:2" x14ac:dyDescent="0.3">
      <c r="A686" s="1" t="s">
        <v>985</v>
      </c>
      <c r="B686" s="1" t="s">
        <v>2637</v>
      </c>
    </row>
    <row r="687" spans="1:2" x14ac:dyDescent="0.3">
      <c r="A687" s="1" t="s">
        <v>986</v>
      </c>
      <c r="B687" s="1" t="s">
        <v>2638</v>
      </c>
    </row>
    <row r="688" spans="1:2" x14ac:dyDescent="0.3">
      <c r="A688" s="1" t="s">
        <v>987</v>
      </c>
      <c r="B688" s="1" t="s">
        <v>2637</v>
      </c>
    </row>
    <row r="689" spans="1:2" x14ac:dyDescent="0.3">
      <c r="A689" s="1" t="s">
        <v>988</v>
      </c>
      <c r="B689" s="1" t="s">
        <v>2638</v>
      </c>
    </row>
    <row r="690" spans="1:2" x14ac:dyDescent="0.3">
      <c r="A690" s="1" t="s">
        <v>989</v>
      </c>
      <c r="B690" s="1" t="s">
        <v>2638</v>
      </c>
    </row>
    <row r="691" spans="1:2" x14ac:dyDescent="0.3">
      <c r="A691" s="1" t="s">
        <v>990</v>
      </c>
      <c r="B691" s="1" t="s">
        <v>2637</v>
      </c>
    </row>
    <row r="692" spans="1:2" x14ac:dyDescent="0.3">
      <c r="A692" s="1" t="s">
        <v>991</v>
      </c>
      <c r="B692" s="1" t="s">
        <v>2637</v>
      </c>
    </row>
    <row r="693" spans="1:2" x14ac:dyDescent="0.3">
      <c r="A693" s="1" t="s">
        <v>992</v>
      </c>
      <c r="B693" s="1" t="s">
        <v>2637</v>
      </c>
    </row>
    <row r="694" spans="1:2" x14ac:dyDescent="0.3">
      <c r="A694" s="1" t="s">
        <v>993</v>
      </c>
      <c r="B694" s="1" t="s">
        <v>2637</v>
      </c>
    </row>
    <row r="695" spans="1:2" x14ac:dyDescent="0.3">
      <c r="A695" s="1" t="s">
        <v>994</v>
      </c>
      <c r="B695" s="1" t="s">
        <v>2637</v>
      </c>
    </row>
    <row r="696" spans="1:2" x14ac:dyDescent="0.3">
      <c r="A696" s="1" t="s">
        <v>995</v>
      </c>
      <c r="B696" s="1" t="s">
        <v>2637</v>
      </c>
    </row>
    <row r="697" spans="1:2" x14ac:dyDescent="0.3">
      <c r="A697" s="1" t="s">
        <v>996</v>
      </c>
      <c r="B697" s="1" t="s">
        <v>2638</v>
      </c>
    </row>
    <row r="698" spans="1:2" x14ac:dyDescent="0.3">
      <c r="A698" s="1" t="s">
        <v>997</v>
      </c>
      <c r="B698" s="1" t="s">
        <v>2637</v>
      </c>
    </row>
    <row r="699" spans="1:2" x14ac:dyDescent="0.3">
      <c r="A699" s="1" t="s">
        <v>998</v>
      </c>
      <c r="B699" s="1" t="s">
        <v>2637</v>
      </c>
    </row>
    <row r="700" spans="1:2" x14ac:dyDescent="0.3">
      <c r="A700" s="1" t="s">
        <v>999</v>
      </c>
      <c r="B700" s="1" t="s">
        <v>2637</v>
      </c>
    </row>
    <row r="701" spans="1:2" x14ac:dyDescent="0.3">
      <c r="A701" s="1" t="s">
        <v>1000</v>
      </c>
      <c r="B701" s="1" t="s">
        <v>2638</v>
      </c>
    </row>
    <row r="702" spans="1:2" x14ac:dyDescent="0.3">
      <c r="A702" s="1" t="s">
        <v>1001</v>
      </c>
      <c r="B702" s="1" t="s">
        <v>2637</v>
      </c>
    </row>
    <row r="703" spans="1:2" x14ac:dyDescent="0.3">
      <c r="A703" s="1" t="s">
        <v>1002</v>
      </c>
      <c r="B703" s="1" t="s">
        <v>2637</v>
      </c>
    </row>
    <row r="704" spans="1:2" x14ac:dyDescent="0.3">
      <c r="A704" s="1" t="s">
        <v>1003</v>
      </c>
      <c r="B704" s="1" t="s">
        <v>2637</v>
      </c>
    </row>
    <row r="705" spans="1:2" x14ac:dyDescent="0.3">
      <c r="A705" s="1" t="s">
        <v>1004</v>
      </c>
      <c r="B705" s="1" t="s">
        <v>2638</v>
      </c>
    </row>
    <row r="706" spans="1:2" x14ac:dyDescent="0.3">
      <c r="A706" s="1" t="s">
        <v>1005</v>
      </c>
      <c r="B706" s="1" t="s">
        <v>2638</v>
      </c>
    </row>
    <row r="707" spans="1:2" x14ac:dyDescent="0.3">
      <c r="A707" s="1" t="s">
        <v>1006</v>
      </c>
      <c r="B707" s="1" t="s">
        <v>2637</v>
      </c>
    </row>
    <row r="708" spans="1:2" x14ac:dyDescent="0.3">
      <c r="A708" s="1" t="s">
        <v>1007</v>
      </c>
      <c r="B708" s="1" t="s">
        <v>2637</v>
      </c>
    </row>
    <row r="709" spans="1:2" x14ac:dyDescent="0.3">
      <c r="A709" s="1" t="s">
        <v>1008</v>
      </c>
      <c r="B709" s="1" t="s">
        <v>2637</v>
      </c>
    </row>
    <row r="710" spans="1:2" x14ac:dyDescent="0.3">
      <c r="A710" s="1" t="s">
        <v>1009</v>
      </c>
      <c r="B710" s="1" t="s">
        <v>2637</v>
      </c>
    </row>
    <row r="711" spans="1:2" x14ac:dyDescent="0.3">
      <c r="A711" s="1" t="s">
        <v>1010</v>
      </c>
      <c r="B711" s="1" t="s">
        <v>2637</v>
      </c>
    </row>
    <row r="712" spans="1:2" x14ac:dyDescent="0.3">
      <c r="A712" s="1" t="s">
        <v>1011</v>
      </c>
      <c r="B712" s="1" t="s">
        <v>2637</v>
      </c>
    </row>
    <row r="713" spans="1:2" x14ac:dyDescent="0.3">
      <c r="A713" s="1" t="s">
        <v>1012</v>
      </c>
      <c r="B713" s="1" t="s">
        <v>2637</v>
      </c>
    </row>
    <row r="714" spans="1:2" x14ac:dyDescent="0.3">
      <c r="A714" s="1" t="s">
        <v>1013</v>
      </c>
      <c r="B714" s="1" t="s">
        <v>2637</v>
      </c>
    </row>
    <row r="715" spans="1:2" x14ac:dyDescent="0.3">
      <c r="A715" s="1" t="s">
        <v>1014</v>
      </c>
      <c r="B715" s="1" t="s">
        <v>2638</v>
      </c>
    </row>
    <row r="716" spans="1:2" x14ac:dyDescent="0.3">
      <c r="A716" s="1" t="s">
        <v>1015</v>
      </c>
      <c r="B716" s="1" t="s">
        <v>2638</v>
      </c>
    </row>
    <row r="717" spans="1:2" x14ac:dyDescent="0.3">
      <c r="A717" s="1" t="s">
        <v>1016</v>
      </c>
      <c r="B717" s="1" t="s">
        <v>2637</v>
      </c>
    </row>
    <row r="718" spans="1:2" x14ac:dyDescent="0.3">
      <c r="A718" s="1" t="s">
        <v>1017</v>
      </c>
      <c r="B718" s="1" t="s">
        <v>2638</v>
      </c>
    </row>
    <row r="719" spans="1:2" x14ac:dyDescent="0.3">
      <c r="A719" s="1" t="s">
        <v>1018</v>
      </c>
      <c r="B719" s="1" t="s">
        <v>2637</v>
      </c>
    </row>
    <row r="720" spans="1:2" x14ac:dyDescent="0.3">
      <c r="A720" s="1" t="s">
        <v>1019</v>
      </c>
      <c r="B720" s="1" t="s">
        <v>2638</v>
      </c>
    </row>
    <row r="721" spans="1:2" x14ac:dyDescent="0.3">
      <c r="A721" s="1" t="s">
        <v>1020</v>
      </c>
      <c r="B721" s="1" t="s">
        <v>2637</v>
      </c>
    </row>
    <row r="722" spans="1:2" x14ac:dyDescent="0.3">
      <c r="A722" s="1" t="s">
        <v>1021</v>
      </c>
      <c r="B722" s="1" t="s">
        <v>2637</v>
      </c>
    </row>
    <row r="723" spans="1:2" x14ac:dyDescent="0.3">
      <c r="A723" s="1" t="s">
        <v>1022</v>
      </c>
      <c r="B723" s="1" t="s">
        <v>2637</v>
      </c>
    </row>
    <row r="724" spans="1:2" x14ac:dyDescent="0.3">
      <c r="A724" s="1" t="s">
        <v>1023</v>
      </c>
      <c r="B724" s="1" t="s">
        <v>2638</v>
      </c>
    </row>
    <row r="725" spans="1:2" x14ac:dyDescent="0.3">
      <c r="A725" s="1" t="s">
        <v>1024</v>
      </c>
      <c r="B725" s="1" t="s">
        <v>2637</v>
      </c>
    </row>
    <row r="726" spans="1:2" x14ac:dyDescent="0.3">
      <c r="A726" s="1" t="s">
        <v>1025</v>
      </c>
      <c r="B726" s="1" t="s">
        <v>2637</v>
      </c>
    </row>
    <row r="727" spans="1:2" x14ac:dyDescent="0.3">
      <c r="A727" s="1" t="s">
        <v>1026</v>
      </c>
      <c r="B727" s="1" t="s">
        <v>2637</v>
      </c>
    </row>
    <row r="728" spans="1:2" x14ac:dyDescent="0.3">
      <c r="A728" s="1" t="s">
        <v>1027</v>
      </c>
      <c r="B728" s="1" t="s">
        <v>2638</v>
      </c>
    </row>
    <row r="729" spans="1:2" x14ac:dyDescent="0.3">
      <c r="A729" s="1" t="s">
        <v>1028</v>
      </c>
      <c r="B729" s="1" t="s">
        <v>2637</v>
      </c>
    </row>
    <row r="730" spans="1:2" x14ac:dyDescent="0.3">
      <c r="A730" s="1" t="s">
        <v>1029</v>
      </c>
      <c r="B730" s="1" t="s">
        <v>2637</v>
      </c>
    </row>
    <row r="731" spans="1:2" x14ac:dyDescent="0.3">
      <c r="A731" s="1" t="s">
        <v>1030</v>
      </c>
      <c r="B731" s="1" t="s">
        <v>2637</v>
      </c>
    </row>
    <row r="732" spans="1:2" x14ac:dyDescent="0.3">
      <c r="A732" s="1" t="s">
        <v>1031</v>
      </c>
      <c r="B732" s="1" t="s">
        <v>2637</v>
      </c>
    </row>
    <row r="733" spans="1:2" x14ac:dyDescent="0.3">
      <c r="A733" s="1" t="s">
        <v>1032</v>
      </c>
      <c r="B733" s="1" t="s">
        <v>2638</v>
      </c>
    </row>
    <row r="734" spans="1:2" x14ac:dyDescent="0.3">
      <c r="A734" s="1" t="s">
        <v>1033</v>
      </c>
      <c r="B734" s="1" t="s">
        <v>2637</v>
      </c>
    </row>
    <row r="735" spans="1:2" x14ac:dyDescent="0.3">
      <c r="A735" s="1" t="s">
        <v>1034</v>
      </c>
      <c r="B735" s="1" t="s">
        <v>2637</v>
      </c>
    </row>
    <row r="736" spans="1:2" x14ac:dyDescent="0.3">
      <c r="A736" s="1" t="s">
        <v>1035</v>
      </c>
      <c r="B736" s="1" t="s">
        <v>2637</v>
      </c>
    </row>
    <row r="737" spans="1:2" x14ac:dyDescent="0.3">
      <c r="A737" s="1" t="s">
        <v>1036</v>
      </c>
      <c r="B737" s="1" t="s">
        <v>2637</v>
      </c>
    </row>
    <row r="738" spans="1:2" x14ac:dyDescent="0.3">
      <c r="A738" s="1" t="s">
        <v>1037</v>
      </c>
      <c r="B738" s="1" t="s">
        <v>2638</v>
      </c>
    </row>
    <row r="739" spans="1:2" x14ac:dyDescent="0.3">
      <c r="A739" s="1" t="s">
        <v>1038</v>
      </c>
      <c r="B739" s="1" t="s">
        <v>2637</v>
      </c>
    </row>
    <row r="740" spans="1:2" x14ac:dyDescent="0.3">
      <c r="A740" s="1" t="s">
        <v>1039</v>
      </c>
      <c r="B740" s="1" t="s">
        <v>2638</v>
      </c>
    </row>
    <row r="741" spans="1:2" x14ac:dyDescent="0.3">
      <c r="A741" s="1" t="s">
        <v>1040</v>
      </c>
      <c r="B741" s="1" t="s">
        <v>2637</v>
      </c>
    </row>
    <row r="742" spans="1:2" x14ac:dyDescent="0.3">
      <c r="A742" s="1" t="s">
        <v>1041</v>
      </c>
      <c r="B742" s="1" t="s">
        <v>2637</v>
      </c>
    </row>
    <row r="743" spans="1:2" x14ac:dyDescent="0.3">
      <c r="A743" s="1" t="s">
        <v>1042</v>
      </c>
      <c r="B743" s="1" t="s">
        <v>2637</v>
      </c>
    </row>
    <row r="744" spans="1:2" x14ac:dyDescent="0.3">
      <c r="A744" s="1" t="s">
        <v>1044</v>
      </c>
      <c r="B744" s="1" t="s">
        <v>2637</v>
      </c>
    </row>
    <row r="745" spans="1:2" x14ac:dyDescent="0.3">
      <c r="A745" s="1" t="s">
        <v>1045</v>
      </c>
      <c r="B745" s="1" t="s">
        <v>2637</v>
      </c>
    </row>
    <row r="746" spans="1:2" x14ac:dyDescent="0.3">
      <c r="A746" s="1" t="s">
        <v>1046</v>
      </c>
      <c r="B746" s="1" t="s">
        <v>2637</v>
      </c>
    </row>
    <row r="747" spans="1:2" x14ac:dyDescent="0.3">
      <c r="A747" s="1" t="s">
        <v>1047</v>
      </c>
      <c r="B747" s="1" t="s">
        <v>2637</v>
      </c>
    </row>
    <row r="748" spans="1:2" x14ac:dyDescent="0.3">
      <c r="A748" s="1" t="s">
        <v>1048</v>
      </c>
      <c r="B748" s="1" t="s">
        <v>2638</v>
      </c>
    </row>
    <row r="749" spans="1:2" x14ac:dyDescent="0.3">
      <c r="A749" s="1" t="s">
        <v>1049</v>
      </c>
      <c r="B749" s="1" t="s">
        <v>2638</v>
      </c>
    </row>
    <row r="750" spans="1:2" x14ac:dyDescent="0.3">
      <c r="A750" s="1" t="s">
        <v>1050</v>
      </c>
      <c r="B750" s="1" t="s">
        <v>2637</v>
      </c>
    </row>
    <row r="751" spans="1:2" x14ac:dyDescent="0.3">
      <c r="A751" s="1" t="s">
        <v>1051</v>
      </c>
      <c r="B751" s="1" t="s">
        <v>2637</v>
      </c>
    </row>
    <row r="752" spans="1:2" x14ac:dyDescent="0.3">
      <c r="A752" s="1" t="s">
        <v>1052</v>
      </c>
      <c r="B752" s="1" t="s">
        <v>2638</v>
      </c>
    </row>
    <row r="753" spans="1:2" x14ac:dyDescent="0.3">
      <c r="A753" s="1" t="s">
        <v>1053</v>
      </c>
      <c r="B753" s="1" t="s">
        <v>2637</v>
      </c>
    </row>
    <row r="754" spans="1:2" x14ac:dyDescent="0.3">
      <c r="A754" s="1" t="s">
        <v>1054</v>
      </c>
      <c r="B754" s="1" t="s">
        <v>2637</v>
      </c>
    </row>
    <row r="755" spans="1:2" x14ac:dyDescent="0.3">
      <c r="A755" s="1" t="s">
        <v>1055</v>
      </c>
      <c r="B755" s="1" t="s">
        <v>2637</v>
      </c>
    </row>
    <row r="756" spans="1:2" x14ac:dyDescent="0.3">
      <c r="A756" s="1" t="s">
        <v>1057</v>
      </c>
      <c r="B756" s="1" t="s">
        <v>2637</v>
      </c>
    </row>
    <row r="757" spans="1:2" x14ac:dyDescent="0.3">
      <c r="A757" s="1" t="s">
        <v>1058</v>
      </c>
      <c r="B757" s="1" t="s">
        <v>2637</v>
      </c>
    </row>
    <row r="758" spans="1:2" x14ac:dyDescent="0.3">
      <c r="A758" s="1" t="s">
        <v>1059</v>
      </c>
      <c r="B758" s="1" t="s">
        <v>2637</v>
      </c>
    </row>
    <row r="759" spans="1:2" x14ac:dyDescent="0.3">
      <c r="A759" s="1" t="s">
        <v>1060</v>
      </c>
      <c r="B759" s="1" t="s">
        <v>2637</v>
      </c>
    </row>
    <row r="760" spans="1:2" x14ac:dyDescent="0.3">
      <c r="A760" s="1" t="s">
        <v>1062</v>
      </c>
      <c r="B760" s="1" t="s">
        <v>2638</v>
      </c>
    </row>
    <row r="761" spans="1:2" x14ac:dyDescent="0.3">
      <c r="A761" s="1" t="s">
        <v>1063</v>
      </c>
      <c r="B761" s="1" t="s">
        <v>2637</v>
      </c>
    </row>
    <row r="762" spans="1:2" x14ac:dyDescent="0.3">
      <c r="A762" s="1" t="s">
        <v>1064</v>
      </c>
      <c r="B762" s="1" t="s">
        <v>2637</v>
      </c>
    </row>
    <row r="763" spans="1:2" x14ac:dyDescent="0.3">
      <c r="A763" s="1" t="s">
        <v>1065</v>
      </c>
      <c r="B763" s="1" t="s">
        <v>2637</v>
      </c>
    </row>
    <row r="764" spans="1:2" x14ac:dyDescent="0.3">
      <c r="A764" s="1" t="s">
        <v>1066</v>
      </c>
      <c r="B764" s="1" t="s">
        <v>2637</v>
      </c>
    </row>
    <row r="765" spans="1:2" x14ac:dyDescent="0.3">
      <c r="A765" s="1" t="s">
        <v>1067</v>
      </c>
      <c r="B765" s="1" t="s">
        <v>2637</v>
      </c>
    </row>
    <row r="766" spans="1:2" x14ac:dyDescent="0.3">
      <c r="A766" s="1" t="s">
        <v>1068</v>
      </c>
      <c r="B766" s="1" t="s">
        <v>2637</v>
      </c>
    </row>
    <row r="767" spans="1:2" x14ac:dyDescent="0.3">
      <c r="A767" s="1" t="s">
        <v>1069</v>
      </c>
      <c r="B767" s="1" t="s">
        <v>2637</v>
      </c>
    </row>
    <row r="768" spans="1:2" x14ac:dyDescent="0.3">
      <c r="A768" s="1" t="s">
        <v>1070</v>
      </c>
      <c r="B768" s="1" t="s">
        <v>2637</v>
      </c>
    </row>
    <row r="769" spans="1:2" x14ac:dyDescent="0.3">
      <c r="A769" s="1" t="s">
        <v>1071</v>
      </c>
      <c r="B769" s="1" t="s">
        <v>2637</v>
      </c>
    </row>
    <row r="770" spans="1:2" x14ac:dyDescent="0.3">
      <c r="A770" s="1" t="s">
        <v>1072</v>
      </c>
      <c r="B770" s="1" t="s">
        <v>2637</v>
      </c>
    </row>
    <row r="771" spans="1:2" x14ac:dyDescent="0.3">
      <c r="A771" s="1" t="s">
        <v>1073</v>
      </c>
      <c r="B771" s="1" t="s">
        <v>2637</v>
      </c>
    </row>
    <row r="772" spans="1:2" x14ac:dyDescent="0.3">
      <c r="A772" s="1" t="s">
        <v>1074</v>
      </c>
      <c r="B772" s="1" t="s">
        <v>2637</v>
      </c>
    </row>
    <row r="773" spans="1:2" x14ac:dyDescent="0.3">
      <c r="A773" s="1" t="s">
        <v>1075</v>
      </c>
      <c r="B773" s="1" t="s">
        <v>2637</v>
      </c>
    </row>
    <row r="774" spans="1:2" x14ac:dyDescent="0.3">
      <c r="A774" s="1" t="s">
        <v>1076</v>
      </c>
      <c r="B774" s="1" t="s">
        <v>2637</v>
      </c>
    </row>
    <row r="775" spans="1:2" x14ac:dyDescent="0.3">
      <c r="A775" s="1" t="s">
        <v>1077</v>
      </c>
      <c r="B775" s="1" t="s">
        <v>2638</v>
      </c>
    </row>
    <row r="776" spans="1:2" x14ac:dyDescent="0.3">
      <c r="A776" s="1" t="s">
        <v>1078</v>
      </c>
      <c r="B776" s="1" t="s">
        <v>2637</v>
      </c>
    </row>
    <row r="777" spans="1:2" x14ac:dyDescent="0.3">
      <c r="A777" s="1" t="s">
        <v>1079</v>
      </c>
      <c r="B777" s="1" t="s">
        <v>2637</v>
      </c>
    </row>
    <row r="778" spans="1:2" x14ac:dyDescent="0.3">
      <c r="A778" s="1" t="s">
        <v>1080</v>
      </c>
      <c r="B778" s="1" t="s">
        <v>2638</v>
      </c>
    </row>
    <row r="779" spans="1:2" x14ac:dyDescent="0.3">
      <c r="A779" s="1" t="s">
        <v>1082</v>
      </c>
      <c r="B779" s="1" t="s">
        <v>2637</v>
      </c>
    </row>
    <row r="780" spans="1:2" x14ac:dyDescent="0.3">
      <c r="A780" s="1" t="s">
        <v>1083</v>
      </c>
      <c r="B780" s="1" t="s">
        <v>2637</v>
      </c>
    </row>
    <row r="781" spans="1:2" x14ac:dyDescent="0.3">
      <c r="A781" s="1" t="s">
        <v>1084</v>
      </c>
      <c r="B781" s="1" t="s">
        <v>2637</v>
      </c>
    </row>
    <row r="782" spans="1:2" x14ac:dyDescent="0.3">
      <c r="A782" s="1" t="s">
        <v>1085</v>
      </c>
      <c r="B782" s="1" t="s">
        <v>2638</v>
      </c>
    </row>
    <row r="783" spans="1:2" x14ac:dyDescent="0.3">
      <c r="A783" s="1" t="s">
        <v>1086</v>
      </c>
      <c r="B783" s="1" t="s">
        <v>2637</v>
      </c>
    </row>
    <row r="784" spans="1:2" x14ac:dyDescent="0.3">
      <c r="A784" s="1" t="s">
        <v>1087</v>
      </c>
      <c r="B784" s="1" t="s">
        <v>2637</v>
      </c>
    </row>
    <row r="785" spans="1:2" x14ac:dyDescent="0.3">
      <c r="A785" s="1" t="s">
        <v>1088</v>
      </c>
      <c r="B785" s="1" t="s">
        <v>2637</v>
      </c>
    </row>
    <row r="786" spans="1:2" x14ac:dyDescent="0.3">
      <c r="A786" s="1" t="s">
        <v>1089</v>
      </c>
      <c r="B786" s="1" t="s">
        <v>2637</v>
      </c>
    </row>
    <row r="787" spans="1:2" x14ac:dyDescent="0.3">
      <c r="A787" s="1" t="s">
        <v>1090</v>
      </c>
      <c r="B787" s="1" t="s">
        <v>2637</v>
      </c>
    </row>
    <row r="788" spans="1:2" x14ac:dyDescent="0.3">
      <c r="A788" s="1" t="s">
        <v>1091</v>
      </c>
      <c r="B788" s="1" t="s">
        <v>2637</v>
      </c>
    </row>
    <row r="789" spans="1:2" x14ac:dyDescent="0.3">
      <c r="A789" s="1" t="s">
        <v>1092</v>
      </c>
      <c r="B789" s="1" t="s">
        <v>2637</v>
      </c>
    </row>
    <row r="790" spans="1:2" x14ac:dyDescent="0.3">
      <c r="A790" s="1" t="s">
        <v>1094</v>
      </c>
      <c r="B790" s="1" t="s">
        <v>2637</v>
      </c>
    </row>
    <row r="791" spans="1:2" x14ac:dyDescent="0.3">
      <c r="A791" s="1" t="s">
        <v>1095</v>
      </c>
      <c r="B791" s="1" t="s">
        <v>2637</v>
      </c>
    </row>
    <row r="792" spans="1:2" x14ac:dyDescent="0.3">
      <c r="A792" s="1" t="s">
        <v>1096</v>
      </c>
      <c r="B792" s="1" t="s">
        <v>2638</v>
      </c>
    </row>
    <row r="793" spans="1:2" x14ac:dyDescent="0.3">
      <c r="A793" s="1" t="s">
        <v>1097</v>
      </c>
      <c r="B793" s="1" t="s">
        <v>2637</v>
      </c>
    </row>
    <row r="794" spans="1:2" x14ac:dyDescent="0.3">
      <c r="A794" s="1" t="s">
        <v>1098</v>
      </c>
      <c r="B794" s="1" t="s">
        <v>2637</v>
      </c>
    </row>
    <row r="795" spans="1:2" x14ac:dyDescent="0.3">
      <c r="A795" s="1" t="s">
        <v>1099</v>
      </c>
      <c r="B795" s="1" t="s">
        <v>2637</v>
      </c>
    </row>
    <row r="796" spans="1:2" x14ac:dyDescent="0.3">
      <c r="A796" s="1" t="s">
        <v>1100</v>
      </c>
      <c r="B796" s="1" t="s">
        <v>2638</v>
      </c>
    </row>
    <row r="797" spans="1:2" x14ac:dyDescent="0.3">
      <c r="A797" s="1" t="s">
        <v>1101</v>
      </c>
      <c r="B797" s="1" t="s">
        <v>2637</v>
      </c>
    </row>
    <row r="798" spans="1:2" x14ac:dyDescent="0.3">
      <c r="A798" s="1" t="s">
        <v>1102</v>
      </c>
      <c r="B798" s="1" t="s">
        <v>2638</v>
      </c>
    </row>
    <row r="799" spans="1:2" x14ac:dyDescent="0.3">
      <c r="A799" s="1" t="s">
        <v>1103</v>
      </c>
      <c r="B799" s="1" t="s">
        <v>2638</v>
      </c>
    </row>
    <row r="800" spans="1:2" x14ac:dyDescent="0.3">
      <c r="A800" s="1" t="s">
        <v>1104</v>
      </c>
      <c r="B800" s="1" t="s">
        <v>2637</v>
      </c>
    </row>
    <row r="801" spans="1:2" x14ac:dyDescent="0.3">
      <c r="A801" s="1" t="s">
        <v>1105</v>
      </c>
      <c r="B801" s="1" t="s">
        <v>2637</v>
      </c>
    </row>
    <row r="802" spans="1:2" x14ac:dyDescent="0.3">
      <c r="A802" s="1" t="s">
        <v>1106</v>
      </c>
      <c r="B802" s="1" t="s">
        <v>2637</v>
      </c>
    </row>
    <row r="803" spans="1:2" x14ac:dyDescent="0.3">
      <c r="A803" s="1" t="s">
        <v>1107</v>
      </c>
      <c r="B803" s="1" t="s">
        <v>2638</v>
      </c>
    </row>
    <row r="804" spans="1:2" x14ac:dyDescent="0.3">
      <c r="A804" s="1" t="s">
        <v>1108</v>
      </c>
      <c r="B804" s="1" t="s">
        <v>2637</v>
      </c>
    </row>
    <row r="805" spans="1:2" x14ac:dyDescent="0.3">
      <c r="A805" s="1" t="s">
        <v>1109</v>
      </c>
      <c r="B805" s="1" t="s">
        <v>2638</v>
      </c>
    </row>
    <row r="806" spans="1:2" x14ac:dyDescent="0.3">
      <c r="A806" s="1" t="s">
        <v>1110</v>
      </c>
      <c r="B806" s="1" t="s">
        <v>2637</v>
      </c>
    </row>
    <row r="807" spans="1:2" x14ac:dyDescent="0.3">
      <c r="A807" s="1" t="s">
        <v>1111</v>
      </c>
      <c r="B807" s="1" t="s">
        <v>2637</v>
      </c>
    </row>
    <row r="808" spans="1:2" x14ac:dyDescent="0.3">
      <c r="A808" s="1" t="s">
        <v>1112</v>
      </c>
      <c r="B808" s="1" t="s">
        <v>2637</v>
      </c>
    </row>
    <row r="809" spans="1:2" x14ac:dyDescent="0.3">
      <c r="A809" s="1" t="s">
        <v>1113</v>
      </c>
      <c r="B809" s="1" t="s">
        <v>2637</v>
      </c>
    </row>
    <row r="810" spans="1:2" x14ac:dyDescent="0.3">
      <c r="A810" s="1" t="s">
        <v>1114</v>
      </c>
      <c r="B810" s="1" t="s">
        <v>2638</v>
      </c>
    </row>
    <row r="811" spans="1:2" x14ac:dyDescent="0.3">
      <c r="A811" s="1" t="s">
        <v>1115</v>
      </c>
      <c r="B811" s="1" t="s">
        <v>2637</v>
      </c>
    </row>
    <row r="812" spans="1:2" x14ac:dyDescent="0.3">
      <c r="A812" s="1" t="s">
        <v>1116</v>
      </c>
      <c r="B812" s="1" t="s">
        <v>2637</v>
      </c>
    </row>
    <row r="813" spans="1:2" x14ac:dyDescent="0.3">
      <c r="A813" s="1" t="s">
        <v>1117</v>
      </c>
      <c r="B813" s="1" t="s">
        <v>2637</v>
      </c>
    </row>
    <row r="814" spans="1:2" x14ac:dyDescent="0.3">
      <c r="A814" s="1" t="s">
        <v>1118</v>
      </c>
      <c r="B814" s="1" t="s">
        <v>2637</v>
      </c>
    </row>
    <row r="815" spans="1:2" x14ac:dyDescent="0.3">
      <c r="A815" s="1" t="s">
        <v>1119</v>
      </c>
      <c r="B815" s="1" t="s">
        <v>2638</v>
      </c>
    </row>
    <row r="816" spans="1:2" x14ac:dyDescent="0.3">
      <c r="A816" s="1" t="s">
        <v>1120</v>
      </c>
      <c r="B816" s="1" t="s">
        <v>2637</v>
      </c>
    </row>
    <row r="817" spans="1:2" x14ac:dyDescent="0.3">
      <c r="A817" s="1" t="s">
        <v>1121</v>
      </c>
      <c r="B817" s="1" t="s">
        <v>2637</v>
      </c>
    </row>
    <row r="818" spans="1:2" x14ac:dyDescent="0.3">
      <c r="A818" s="1" t="s">
        <v>1122</v>
      </c>
      <c r="B818" s="1" t="s">
        <v>2637</v>
      </c>
    </row>
    <row r="819" spans="1:2" x14ac:dyDescent="0.3">
      <c r="A819" s="1" t="s">
        <v>1123</v>
      </c>
      <c r="B819" s="1" t="s">
        <v>2638</v>
      </c>
    </row>
    <row r="820" spans="1:2" x14ac:dyDescent="0.3">
      <c r="A820" s="1" t="s">
        <v>1124</v>
      </c>
      <c r="B820" s="1" t="s">
        <v>2638</v>
      </c>
    </row>
    <row r="821" spans="1:2" x14ac:dyDescent="0.3">
      <c r="A821" s="1" t="s">
        <v>1125</v>
      </c>
      <c r="B821" s="1" t="s">
        <v>2637</v>
      </c>
    </row>
    <row r="822" spans="1:2" x14ac:dyDescent="0.3">
      <c r="A822" s="1" t="s">
        <v>1126</v>
      </c>
      <c r="B822" s="1" t="s">
        <v>2637</v>
      </c>
    </row>
    <row r="823" spans="1:2" x14ac:dyDescent="0.3">
      <c r="A823" s="1" t="s">
        <v>1127</v>
      </c>
      <c r="B823" s="1" t="s">
        <v>2637</v>
      </c>
    </row>
    <row r="824" spans="1:2" x14ac:dyDescent="0.3">
      <c r="A824" s="1" t="s">
        <v>1128</v>
      </c>
      <c r="B824" s="1" t="s">
        <v>2638</v>
      </c>
    </row>
    <row r="825" spans="1:2" x14ac:dyDescent="0.3">
      <c r="A825" s="1" t="s">
        <v>1129</v>
      </c>
      <c r="B825" s="1" t="s">
        <v>2637</v>
      </c>
    </row>
    <row r="826" spans="1:2" x14ac:dyDescent="0.3">
      <c r="A826" s="1" t="s">
        <v>1130</v>
      </c>
      <c r="B826" s="1" t="s">
        <v>2637</v>
      </c>
    </row>
    <row r="827" spans="1:2" x14ac:dyDescent="0.3">
      <c r="A827" s="1" t="s">
        <v>1131</v>
      </c>
      <c r="B827" s="1" t="s">
        <v>2637</v>
      </c>
    </row>
    <row r="828" spans="1:2" x14ac:dyDescent="0.3">
      <c r="A828" s="1" t="s">
        <v>1132</v>
      </c>
      <c r="B828" s="1" t="s">
        <v>2637</v>
      </c>
    </row>
    <row r="829" spans="1:2" x14ac:dyDescent="0.3">
      <c r="A829" s="1" t="s">
        <v>1133</v>
      </c>
      <c r="B829" s="1" t="s">
        <v>2637</v>
      </c>
    </row>
    <row r="830" spans="1:2" x14ac:dyDescent="0.3">
      <c r="A830" s="1" t="s">
        <v>1134</v>
      </c>
      <c r="B830" s="1" t="s">
        <v>2637</v>
      </c>
    </row>
    <row r="831" spans="1:2" x14ac:dyDescent="0.3">
      <c r="A831" s="1" t="s">
        <v>1135</v>
      </c>
      <c r="B831" s="1" t="s">
        <v>2637</v>
      </c>
    </row>
    <row r="832" spans="1:2" x14ac:dyDescent="0.3">
      <c r="A832" s="1" t="s">
        <v>1136</v>
      </c>
      <c r="B832" s="1" t="s">
        <v>2638</v>
      </c>
    </row>
    <row r="833" spans="1:2" x14ac:dyDescent="0.3">
      <c r="A833" s="1" t="s">
        <v>1137</v>
      </c>
      <c r="B833" s="1" t="s">
        <v>2637</v>
      </c>
    </row>
    <row r="834" spans="1:2" x14ac:dyDescent="0.3">
      <c r="A834" s="1" t="s">
        <v>1138</v>
      </c>
      <c r="B834" s="1" t="s">
        <v>2637</v>
      </c>
    </row>
    <row r="835" spans="1:2" x14ac:dyDescent="0.3">
      <c r="A835" s="1" t="s">
        <v>1139</v>
      </c>
      <c r="B835" s="1" t="s">
        <v>2637</v>
      </c>
    </row>
    <row r="836" spans="1:2" x14ac:dyDescent="0.3">
      <c r="A836" s="1" t="s">
        <v>1140</v>
      </c>
      <c r="B836" s="1" t="s">
        <v>2637</v>
      </c>
    </row>
    <row r="837" spans="1:2" x14ac:dyDescent="0.3">
      <c r="A837" s="1" t="s">
        <v>1141</v>
      </c>
      <c r="B837" s="1" t="s">
        <v>2637</v>
      </c>
    </row>
    <row r="838" spans="1:2" x14ac:dyDescent="0.3">
      <c r="A838" s="1" t="s">
        <v>1142</v>
      </c>
      <c r="B838" s="1" t="s">
        <v>2637</v>
      </c>
    </row>
    <row r="839" spans="1:2" x14ac:dyDescent="0.3">
      <c r="A839" s="1" t="s">
        <v>1144</v>
      </c>
      <c r="B839" s="1" t="s">
        <v>2637</v>
      </c>
    </row>
    <row r="840" spans="1:2" x14ac:dyDescent="0.3">
      <c r="A840" s="1" t="s">
        <v>1145</v>
      </c>
      <c r="B840" s="1" t="s">
        <v>2637</v>
      </c>
    </row>
    <row r="841" spans="1:2" x14ac:dyDescent="0.3">
      <c r="A841" s="1" t="s">
        <v>1146</v>
      </c>
      <c r="B841" s="1" t="s">
        <v>2638</v>
      </c>
    </row>
    <row r="842" spans="1:2" x14ac:dyDescent="0.3">
      <c r="A842" s="1" t="s">
        <v>1147</v>
      </c>
      <c r="B842" s="1" t="s">
        <v>2638</v>
      </c>
    </row>
    <row r="843" spans="1:2" x14ac:dyDescent="0.3">
      <c r="A843" s="1" t="s">
        <v>1148</v>
      </c>
      <c r="B843" s="1" t="s">
        <v>2637</v>
      </c>
    </row>
    <row r="844" spans="1:2" x14ac:dyDescent="0.3">
      <c r="A844" s="1" t="s">
        <v>1149</v>
      </c>
      <c r="B844" s="1" t="s">
        <v>2638</v>
      </c>
    </row>
    <row r="845" spans="1:2" x14ac:dyDescent="0.3">
      <c r="A845" s="1" t="s">
        <v>1150</v>
      </c>
      <c r="B845" s="1" t="s">
        <v>2637</v>
      </c>
    </row>
    <row r="846" spans="1:2" x14ac:dyDescent="0.3">
      <c r="A846" s="1" t="s">
        <v>1151</v>
      </c>
      <c r="B846" s="1" t="s">
        <v>2637</v>
      </c>
    </row>
    <row r="847" spans="1:2" x14ac:dyDescent="0.3">
      <c r="A847" s="1" t="s">
        <v>1152</v>
      </c>
      <c r="B847" s="1" t="s">
        <v>2637</v>
      </c>
    </row>
    <row r="848" spans="1:2" x14ac:dyDescent="0.3">
      <c r="A848" s="1" t="s">
        <v>1153</v>
      </c>
      <c r="B848" s="1" t="s">
        <v>2637</v>
      </c>
    </row>
    <row r="849" spans="1:2" x14ac:dyDescent="0.3">
      <c r="A849" s="1" t="s">
        <v>1154</v>
      </c>
      <c r="B849" s="1" t="s">
        <v>2637</v>
      </c>
    </row>
    <row r="850" spans="1:2" x14ac:dyDescent="0.3">
      <c r="A850" s="1" t="s">
        <v>1155</v>
      </c>
      <c r="B850" s="1" t="s">
        <v>2638</v>
      </c>
    </row>
    <row r="851" spans="1:2" x14ac:dyDescent="0.3">
      <c r="A851" s="1" t="s">
        <v>1156</v>
      </c>
      <c r="B851" s="1" t="s">
        <v>2637</v>
      </c>
    </row>
    <row r="852" spans="1:2" x14ac:dyDescent="0.3">
      <c r="A852" s="1" t="s">
        <v>1157</v>
      </c>
      <c r="B852" s="1" t="s">
        <v>2637</v>
      </c>
    </row>
    <row r="853" spans="1:2" x14ac:dyDescent="0.3">
      <c r="A853" s="1" t="s">
        <v>1158</v>
      </c>
      <c r="B853" s="1" t="s">
        <v>2637</v>
      </c>
    </row>
    <row r="854" spans="1:2" x14ac:dyDescent="0.3">
      <c r="A854" s="1" t="s">
        <v>1159</v>
      </c>
      <c r="B854" s="1" t="s">
        <v>2637</v>
      </c>
    </row>
    <row r="855" spans="1:2" x14ac:dyDescent="0.3">
      <c r="A855" s="1" t="s">
        <v>1160</v>
      </c>
      <c r="B855" s="1" t="s">
        <v>2637</v>
      </c>
    </row>
    <row r="856" spans="1:2" x14ac:dyDescent="0.3">
      <c r="A856" s="1" t="s">
        <v>1161</v>
      </c>
      <c r="B856" s="1" t="s">
        <v>2638</v>
      </c>
    </row>
    <row r="857" spans="1:2" x14ac:dyDescent="0.3">
      <c r="A857" s="1" t="s">
        <v>1162</v>
      </c>
      <c r="B857" s="1" t="s">
        <v>2637</v>
      </c>
    </row>
    <row r="858" spans="1:2" x14ac:dyDescent="0.3">
      <c r="A858" s="1" t="s">
        <v>1163</v>
      </c>
      <c r="B858" s="1" t="s">
        <v>2638</v>
      </c>
    </row>
    <row r="859" spans="1:2" x14ac:dyDescent="0.3">
      <c r="A859" s="1" t="s">
        <v>1164</v>
      </c>
      <c r="B859" s="1" t="s">
        <v>2637</v>
      </c>
    </row>
    <row r="860" spans="1:2" x14ac:dyDescent="0.3">
      <c r="A860" s="1" t="s">
        <v>1165</v>
      </c>
      <c r="B860" s="1" t="s">
        <v>2637</v>
      </c>
    </row>
    <row r="861" spans="1:2" x14ac:dyDescent="0.3">
      <c r="A861" s="1" t="s">
        <v>1166</v>
      </c>
      <c r="B861" s="1" t="s">
        <v>2637</v>
      </c>
    </row>
    <row r="862" spans="1:2" x14ac:dyDescent="0.3">
      <c r="A862" s="1" t="s">
        <v>1167</v>
      </c>
      <c r="B862" s="1" t="s">
        <v>2637</v>
      </c>
    </row>
    <row r="863" spans="1:2" x14ac:dyDescent="0.3">
      <c r="A863" s="1" t="s">
        <v>1168</v>
      </c>
      <c r="B863" s="1" t="s">
        <v>2638</v>
      </c>
    </row>
    <row r="864" spans="1:2" x14ac:dyDescent="0.3">
      <c r="A864" s="1" t="s">
        <v>1169</v>
      </c>
      <c r="B864" s="1" t="s">
        <v>2637</v>
      </c>
    </row>
    <row r="865" spans="1:2" x14ac:dyDescent="0.3">
      <c r="A865" s="1" t="s">
        <v>1170</v>
      </c>
      <c r="B865" s="1" t="s">
        <v>2638</v>
      </c>
    </row>
    <row r="866" spans="1:2" x14ac:dyDescent="0.3">
      <c r="A866" s="1" t="s">
        <v>1171</v>
      </c>
      <c r="B866" s="1" t="s">
        <v>2638</v>
      </c>
    </row>
    <row r="867" spans="1:2" x14ac:dyDescent="0.3">
      <c r="A867" s="1" t="s">
        <v>1172</v>
      </c>
      <c r="B867" s="1" t="s">
        <v>2637</v>
      </c>
    </row>
    <row r="868" spans="1:2" x14ac:dyDescent="0.3">
      <c r="A868" s="1" t="s">
        <v>1173</v>
      </c>
      <c r="B868" s="1" t="s">
        <v>2637</v>
      </c>
    </row>
    <row r="869" spans="1:2" x14ac:dyDescent="0.3">
      <c r="A869" s="1" t="s">
        <v>1174</v>
      </c>
      <c r="B869" s="1" t="s">
        <v>2637</v>
      </c>
    </row>
    <row r="870" spans="1:2" x14ac:dyDescent="0.3">
      <c r="A870" s="1" t="s">
        <v>1175</v>
      </c>
      <c r="B870" s="1" t="s">
        <v>2637</v>
      </c>
    </row>
    <row r="871" spans="1:2" x14ac:dyDescent="0.3">
      <c r="A871" s="1" t="s">
        <v>1176</v>
      </c>
      <c r="B871" s="1" t="s">
        <v>2637</v>
      </c>
    </row>
    <row r="872" spans="1:2" x14ac:dyDescent="0.3">
      <c r="A872" s="1" t="s">
        <v>1177</v>
      </c>
      <c r="B872" s="1" t="s">
        <v>2637</v>
      </c>
    </row>
    <row r="873" spans="1:2" x14ac:dyDescent="0.3">
      <c r="A873" s="1" t="s">
        <v>1178</v>
      </c>
      <c r="B873" s="1" t="s">
        <v>2638</v>
      </c>
    </row>
    <row r="874" spans="1:2" x14ac:dyDescent="0.3">
      <c r="A874" s="1" t="s">
        <v>1179</v>
      </c>
      <c r="B874" s="1" t="s">
        <v>2637</v>
      </c>
    </row>
    <row r="875" spans="1:2" x14ac:dyDescent="0.3">
      <c r="A875" s="1" t="s">
        <v>1180</v>
      </c>
      <c r="B875" s="1" t="s">
        <v>2637</v>
      </c>
    </row>
    <row r="876" spans="1:2" x14ac:dyDescent="0.3">
      <c r="A876" s="1" t="s">
        <v>1182</v>
      </c>
      <c r="B876" s="1" t="s">
        <v>2637</v>
      </c>
    </row>
    <row r="877" spans="1:2" x14ac:dyDescent="0.3">
      <c r="A877" s="1" t="s">
        <v>1183</v>
      </c>
      <c r="B877" s="1" t="s">
        <v>2637</v>
      </c>
    </row>
    <row r="878" spans="1:2" x14ac:dyDescent="0.3">
      <c r="A878" s="1" t="s">
        <v>1184</v>
      </c>
      <c r="B878" s="1" t="s">
        <v>2637</v>
      </c>
    </row>
    <row r="879" spans="1:2" x14ac:dyDescent="0.3">
      <c r="A879" s="1" t="s">
        <v>1185</v>
      </c>
      <c r="B879" s="1" t="s">
        <v>2637</v>
      </c>
    </row>
    <row r="880" spans="1:2" x14ac:dyDescent="0.3">
      <c r="A880" s="1" t="s">
        <v>1186</v>
      </c>
      <c r="B880" s="1" t="s">
        <v>2637</v>
      </c>
    </row>
    <row r="881" spans="1:2" x14ac:dyDescent="0.3">
      <c r="A881" s="1" t="s">
        <v>1187</v>
      </c>
      <c r="B881" s="1" t="s">
        <v>2637</v>
      </c>
    </row>
    <row r="882" spans="1:2" x14ac:dyDescent="0.3">
      <c r="A882" s="1" t="s">
        <v>1188</v>
      </c>
      <c r="B882" s="1" t="s">
        <v>2637</v>
      </c>
    </row>
    <row r="883" spans="1:2" x14ac:dyDescent="0.3">
      <c r="A883" s="1" t="s">
        <v>1189</v>
      </c>
      <c r="B883" s="1" t="s">
        <v>2637</v>
      </c>
    </row>
    <row r="884" spans="1:2" x14ac:dyDescent="0.3">
      <c r="A884" s="1" t="s">
        <v>1190</v>
      </c>
      <c r="B884" s="1" t="s">
        <v>2637</v>
      </c>
    </row>
    <row r="885" spans="1:2" x14ac:dyDescent="0.3">
      <c r="A885" s="1" t="s">
        <v>1191</v>
      </c>
      <c r="B885" s="1" t="s">
        <v>2637</v>
      </c>
    </row>
    <row r="886" spans="1:2" x14ac:dyDescent="0.3">
      <c r="A886" s="1" t="s">
        <v>1192</v>
      </c>
      <c r="B886" s="1" t="s">
        <v>2637</v>
      </c>
    </row>
    <row r="887" spans="1:2" x14ac:dyDescent="0.3">
      <c r="A887" s="1" t="s">
        <v>1193</v>
      </c>
      <c r="B887" s="1" t="s">
        <v>2637</v>
      </c>
    </row>
    <row r="888" spans="1:2" x14ac:dyDescent="0.3">
      <c r="A888" s="1" t="s">
        <v>1194</v>
      </c>
      <c r="B888" s="1" t="s">
        <v>2637</v>
      </c>
    </row>
    <row r="889" spans="1:2" x14ac:dyDescent="0.3">
      <c r="A889" s="1" t="s">
        <v>1195</v>
      </c>
      <c r="B889" s="1" t="s">
        <v>2637</v>
      </c>
    </row>
    <row r="890" spans="1:2" x14ac:dyDescent="0.3">
      <c r="A890" s="1" t="s">
        <v>1196</v>
      </c>
      <c r="B890" s="1" t="s">
        <v>2637</v>
      </c>
    </row>
    <row r="891" spans="1:2" x14ac:dyDescent="0.3">
      <c r="A891" s="1" t="s">
        <v>1197</v>
      </c>
      <c r="B891" s="1" t="s">
        <v>2637</v>
      </c>
    </row>
    <row r="892" spans="1:2" x14ac:dyDescent="0.3">
      <c r="A892" s="1" t="s">
        <v>1198</v>
      </c>
      <c r="B892" s="1" t="s">
        <v>2637</v>
      </c>
    </row>
    <row r="893" spans="1:2" x14ac:dyDescent="0.3">
      <c r="A893" s="1" t="s">
        <v>1199</v>
      </c>
      <c r="B893" s="1" t="s">
        <v>2637</v>
      </c>
    </row>
    <row r="894" spans="1:2" x14ac:dyDescent="0.3">
      <c r="A894" s="1" t="s">
        <v>1200</v>
      </c>
      <c r="B894" s="1" t="s">
        <v>2637</v>
      </c>
    </row>
    <row r="895" spans="1:2" x14ac:dyDescent="0.3">
      <c r="A895" s="1" t="s">
        <v>1201</v>
      </c>
      <c r="B895" s="1" t="s">
        <v>2638</v>
      </c>
    </row>
    <row r="896" spans="1:2" x14ac:dyDescent="0.3">
      <c r="A896" s="1" t="s">
        <v>1202</v>
      </c>
      <c r="B896" s="1" t="s">
        <v>2637</v>
      </c>
    </row>
    <row r="897" spans="1:2" x14ac:dyDescent="0.3">
      <c r="A897" s="1" t="s">
        <v>1203</v>
      </c>
      <c r="B897" s="1" t="s">
        <v>2637</v>
      </c>
    </row>
    <row r="898" spans="1:2" x14ac:dyDescent="0.3">
      <c r="A898" s="1" t="s">
        <v>1204</v>
      </c>
      <c r="B898" s="1" t="s">
        <v>2637</v>
      </c>
    </row>
    <row r="899" spans="1:2" x14ac:dyDescent="0.3">
      <c r="A899" s="1" t="s">
        <v>1205</v>
      </c>
      <c r="B899" s="1" t="s">
        <v>2637</v>
      </c>
    </row>
    <row r="900" spans="1:2" x14ac:dyDescent="0.3">
      <c r="A900" s="1" t="s">
        <v>1206</v>
      </c>
      <c r="B900" s="1" t="s">
        <v>2637</v>
      </c>
    </row>
    <row r="901" spans="1:2" x14ac:dyDescent="0.3">
      <c r="A901" s="1" t="s">
        <v>1207</v>
      </c>
      <c r="B901" s="1" t="s">
        <v>2638</v>
      </c>
    </row>
    <row r="902" spans="1:2" x14ac:dyDescent="0.3">
      <c r="A902" s="1" t="s">
        <v>1208</v>
      </c>
      <c r="B902" s="1" t="s">
        <v>2637</v>
      </c>
    </row>
    <row r="903" spans="1:2" x14ac:dyDescent="0.3">
      <c r="A903" s="1" t="s">
        <v>1209</v>
      </c>
      <c r="B903" s="1" t="s">
        <v>2637</v>
      </c>
    </row>
    <row r="904" spans="1:2" x14ac:dyDescent="0.3">
      <c r="A904" s="1" t="s">
        <v>1210</v>
      </c>
      <c r="B904" s="1" t="s">
        <v>2637</v>
      </c>
    </row>
    <row r="905" spans="1:2" x14ac:dyDescent="0.3">
      <c r="A905" s="1" t="s">
        <v>1211</v>
      </c>
      <c r="B905" s="1" t="s">
        <v>2638</v>
      </c>
    </row>
    <row r="906" spans="1:2" x14ac:dyDescent="0.3">
      <c r="A906" s="1" t="s">
        <v>1212</v>
      </c>
      <c r="B906" s="1" t="s">
        <v>2637</v>
      </c>
    </row>
    <row r="907" spans="1:2" x14ac:dyDescent="0.3">
      <c r="A907" s="1" t="s">
        <v>1213</v>
      </c>
      <c r="B907" s="1" t="s">
        <v>2637</v>
      </c>
    </row>
    <row r="908" spans="1:2" x14ac:dyDescent="0.3">
      <c r="A908" s="1" t="s">
        <v>1214</v>
      </c>
      <c r="B908" s="1" t="s">
        <v>2637</v>
      </c>
    </row>
    <row r="909" spans="1:2" x14ac:dyDescent="0.3">
      <c r="A909" s="1" t="s">
        <v>1215</v>
      </c>
      <c r="B909" s="1" t="s">
        <v>2637</v>
      </c>
    </row>
    <row r="910" spans="1:2" x14ac:dyDescent="0.3">
      <c r="A910" s="1" t="s">
        <v>1216</v>
      </c>
      <c r="B910" s="1" t="s">
        <v>2637</v>
      </c>
    </row>
    <row r="911" spans="1:2" x14ac:dyDescent="0.3">
      <c r="A911" s="1" t="s">
        <v>1217</v>
      </c>
      <c r="B911" s="1" t="s">
        <v>2637</v>
      </c>
    </row>
    <row r="912" spans="1:2" x14ac:dyDescent="0.3">
      <c r="A912" s="1" t="s">
        <v>1218</v>
      </c>
      <c r="B912" s="1" t="s">
        <v>2637</v>
      </c>
    </row>
    <row r="913" spans="1:2" x14ac:dyDescent="0.3">
      <c r="A913" s="1" t="s">
        <v>1219</v>
      </c>
      <c r="B913" s="1" t="s">
        <v>2637</v>
      </c>
    </row>
    <row r="914" spans="1:2" x14ac:dyDescent="0.3">
      <c r="A914" s="1" t="s">
        <v>1220</v>
      </c>
      <c r="B914" s="1" t="s">
        <v>2638</v>
      </c>
    </row>
    <row r="915" spans="1:2" x14ac:dyDescent="0.3">
      <c r="A915" s="1" t="s">
        <v>1221</v>
      </c>
      <c r="B915" s="1" t="s">
        <v>2637</v>
      </c>
    </row>
    <row r="916" spans="1:2" x14ac:dyDescent="0.3">
      <c r="A916" s="1" t="s">
        <v>1222</v>
      </c>
      <c r="B916" s="1" t="s">
        <v>2637</v>
      </c>
    </row>
    <row r="917" spans="1:2" x14ac:dyDescent="0.3">
      <c r="A917" s="1" t="s">
        <v>1223</v>
      </c>
      <c r="B917" s="1" t="s">
        <v>2637</v>
      </c>
    </row>
    <row r="918" spans="1:2" x14ac:dyDescent="0.3">
      <c r="A918" s="1" t="s">
        <v>1224</v>
      </c>
      <c r="B918" s="1" t="s">
        <v>2637</v>
      </c>
    </row>
    <row r="919" spans="1:2" x14ac:dyDescent="0.3">
      <c r="A919" s="1" t="s">
        <v>1225</v>
      </c>
      <c r="B919" s="1" t="s">
        <v>2638</v>
      </c>
    </row>
    <row r="920" spans="1:2" x14ac:dyDescent="0.3">
      <c r="A920" s="1" t="s">
        <v>1226</v>
      </c>
      <c r="B920" s="1" t="s">
        <v>2638</v>
      </c>
    </row>
    <row r="921" spans="1:2" x14ac:dyDescent="0.3">
      <c r="A921" s="1" t="s">
        <v>1227</v>
      </c>
      <c r="B921" s="1" t="s">
        <v>2637</v>
      </c>
    </row>
    <row r="922" spans="1:2" x14ac:dyDescent="0.3">
      <c r="A922" s="1" t="s">
        <v>1228</v>
      </c>
      <c r="B922" s="1" t="s">
        <v>2637</v>
      </c>
    </row>
    <row r="923" spans="1:2" x14ac:dyDescent="0.3">
      <c r="A923" s="1" t="s">
        <v>1229</v>
      </c>
      <c r="B923" s="1" t="s">
        <v>2637</v>
      </c>
    </row>
    <row r="924" spans="1:2" x14ac:dyDescent="0.3">
      <c r="A924" s="1" t="s">
        <v>1230</v>
      </c>
      <c r="B924" s="1" t="s">
        <v>2637</v>
      </c>
    </row>
    <row r="925" spans="1:2" x14ac:dyDescent="0.3">
      <c r="A925" s="1" t="s">
        <v>1231</v>
      </c>
      <c r="B925" s="1" t="s">
        <v>2637</v>
      </c>
    </row>
    <row r="926" spans="1:2" x14ac:dyDescent="0.3">
      <c r="A926" s="1" t="s">
        <v>1232</v>
      </c>
      <c r="B926" s="1" t="s">
        <v>2638</v>
      </c>
    </row>
    <row r="927" spans="1:2" x14ac:dyDescent="0.3">
      <c r="A927" s="1" t="s">
        <v>1233</v>
      </c>
      <c r="B927" s="1" t="s">
        <v>2638</v>
      </c>
    </row>
    <row r="928" spans="1:2" x14ac:dyDescent="0.3">
      <c r="A928" s="1" t="s">
        <v>1234</v>
      </c>
      <c r="B928" s="1" t="s">
        <v>2637</v>
      </c>
    </row>
    <row r="929" spans="1:2" x14ac:dyDescent="0.3">
      <c r="A929" s="1" t="s">
        <v>1235</v>
      </c>
      <c r="B929" s="1" t="s">
        <v>2637</v>
      </c>
    </row>
    <row r="930" spans="1:2" x14ac:dyDescent="0.3">
      <c r="A930" s="1" t="s">
        <v>1236</v>
      </c>
      <c r="B930" s="1" t="s">
        <v>2637</v>
      </c>
    </row>
    <row r="931" spans="1:2" x14ac:dyDescent="0.3">
      <c r="A931" s="1" t="s">
        <v>1237</v>
      </c>
      <c r="B931" s="1" t="s">
        <v>2637</v>
      </c>
    </row>
    <row r="932" spans="1:2" x14ac:dyDescent="0.3">
      <c r="A932" s="1" t="s">
        <v>1238</v>
      </c>
      <c r="B932" s="1" t="s">
        <v>2637</v>
      </c>
    </row>
    <row r="933" spans="1:2" x14ac:dyDescent="0.3">
      <c r="A933" s="1" t="s">
        <v>1239</v>
      </c>
      <c r="B933" s="1" t="s">
        <v>2637</v>
      </c>
    </row>
    <row r="934" spans="1:2" x14ac:dyDescent="0.3">
      <c r="A934" s="1" t="s">
        <v>1240</v>
      </c>
      <c r="B934" s="1" t="s">
        <v>2637</v>
      </c>
    </row>
    <row r="935" spans="1:2" x14ac:dyDescent="0.3">
      <c r="A935" s="1" t="s">
        <v>1241</v>
      </c>
      <c r="B935" s="1" t="s">
        <v>2637</v>
      </c>
    </row>
    <row r="936" spans="1:2" x14ac:dyDescent="0.3">
      <c r="A936" s="1" t="s">
        <v>1242</v>
      </c>
      <c r="B936" s="1" t="s">
        <v>2638</v>
      </c>
    </row>
    <row r="937" spans="1:2" x14ac:dyDescent="0.3">
      <c r="A937" s="1" t="s">
        <v>1243</v>
      </c>
      <c r="B937" s="1" t="s">
        <v>2638</v>
      </c>
    </row>
    <row r="938" spans="1:2" x14ac:dyDescent="0.3">
      <c r="A938" s="1" t="s">
        <v>1244</v>
      </c>
      <c r="B938" s="1" t="s">
        <v>2637</v>
      </c>
    </row>
    <row r="939" spans="1:2" x14ac:dyDescent="0.3">
      <c r="A939" s="1" t="s">
        <v>1245</v>
      </c>
      <c r="B939" s="1" t="s">
        <v>2637</v>
      </c>
    </row>
    <row r="940" spans="1:2" x14ac:dyDescent="0.3">
      <c r="A940" s="1" t="s">
        <v>1246</v>
      </c>
      <c r="B940" s="1" t="s">
        <v>2637</v>
      </c>
    </row>
    <row r="941" spans="1:2" x14ac:dyDescent="0.3">
      <c r="A941" s="1" t="s">
        <v>1247</v>
      </c>
      <c r="B941" s="1" t="s">
        <v>2637</v>
      </c>
    </row>
    <row r="942" spans="1:2" x14ac:dyDescent="0.3">
      <c r="A942" s="1" t="s">
        <v>1248</v>
      </c>
      <c r="B942" s="1" t="s">
        <v>2637</v>
      </c>
    </row>
    <row r="943" spans="1:2" x14ac:dyDescent="0.3">
      <c r="A943" s="1" t="s">
        <v>1249</v>
      </c>
      <c r="B943" s="1" t="s">
        <v>2638</v>
      </c>
    </row>
    <row r="944" spans="1:2" x14ac:dyDescent="0.3">
      <c r="A944" s="1" t="s">
        <v>1250</v>
      </c>
      <c r="B944" s="1" t="s">
        <v>2637</v>
      </c>
    </row>
    <row r="945" spans="1:2" x14ac:dyDescent="0.3">
      <c r="A945" s="1" t="s">
        <v>1251</v>
      </c>
      <c r="B945" s="1" t="s">
        <v>2637</v>
      </c>
    </row>
    <row r="946" spans="1:2" x14ac:dyDescent="0.3">
      <c r="A946" s="1" t="s">
        <v>1252</v>
      </c>
      <c r="B946" s="1" t="s">
        <v>2637</v>
      </c>
    </row>
    <row r="947" spans="1:2" x14ac:dyDescent="0.3">
      <c r="A947" s="1" t="s">
        <v>1253</v>
      </c>
      <c r="B947" s="1" t="s">
        <v>2637</v>
      </c>
    </row>
    <row r="948" spans="1:2" x14ac:dyDescent="0.3">
      <c r="A948" s="1" t="s">
        <v>1254</v>
      </c>
      <c r="B948" s="1" t="s">
        <v>2637</v>
      </c>
    </row>
    <row r="949" spans="1:2" x14ac:dyDescent="0.3">
      <c r="A949" s="1" t="s">
        <v>1255</v>
      </c>
      <c r="B949" s="1" t="s">
        <v>2637</v>
      </c>
    </row>
    <row r="950" spans="1:2" x14ac:dyDescent="0.3">
      <c r="A950" s="1" t="s">
        <v>1256</v>
      </c>
      <c r="B950" s="1" t="s">
        <v>2637</v>
      </c>
    </row>
    <row r="951" spans="1:2" x14ac:dyDescent="0.3">
      <c r="A951" s="1" t="s">
        <v>1257</v>
      </c>
      <c r="B951" s="1" t="s">
        <v>2637</v>
      </c>
    </row>
    <row r="952" spans="1:2" x14ac:dyDescent="0.3">
      <c r="A952" s="1" t="s">
        <v>1258</v>
      </c>
      <c r="B952" s="1" t="s">
        <v>2637</v>
      </c>
    </row>
    <row r="953" spans="1:2" x14ac:dyDescent="0.3">
      <c r="A953" s="1" t="s">
        <v>1259</v>
      </c>
      <c r="B953" s="1" t="s">
        <v>2637</v>
      </c>
    </row>
    <row r="954" spans="1:2" x14ac:dyDescent="0.3">
      <c r="A954" s="1" t="s">
        <v>1260</v>
      </c>
      <c r="B954" s="1" t="s">
        <v>2638</v>
      </c>
    </row>
    <row r="955" spans="1:2" x14ac:dyDescent="0.3">
      <c r="A955" s="1" t="s">
        <v>1261</v>
      </c>
      <c r="B955" s="1" t="s">
        <v>2638</v>
      </c>
    </row>
    <row r="956" spans="1:2" x14ac:dyDescent="0.3">
      <c r="A956" s="1" t="s">
        <v>1262</v>
      </c>
      <c r="B956" s="1" t="s">
        <v>2637</v>
      </c>
    </row>
    <row r="957" spans="1:2" x14ac:dyDescent="0.3">
      <c r="A957" s="1" t="s">
        <v>1263</v>
      </c>
      <c r="B957" s="1" t="s">
        <v>2637</v>
      </c>
    </row>
    <row r="958" spans="1:2" x14ac:dyDescent="0.3">
      <c r="A958" s="1" t="s">
        <v>1264</v>
      </c>
      <c r="B958" s="1" t="s">
        <v>2637</v>
      </c>
    </row>
    <row r="959" spans="1:2" x14ac:dyDescent="0.3">
      <c r="A959" s="1" t="s">
        <v>1265</v>
      </c>
      <c r="B959" s="1" t="s">
        <v>2637</v>
      </c>
    </row>
    <row r="960" spans="1:2" x14ac:dyDescent="0.3">
      <c r="A960" s="1" t="s">
        <v>1266</v>
      </c>
      <c r="B960" s="1" t="s">
        <v>2637</v>
      </c>
    </row>
    <row r="961" spans="1:2" x14ac:dyDescent="0.3">
      <c r="A961" s="1" t="s">
        <v>1267</v>
      </c>
      <c r="B961" s="1" t="s">
        <v>2637</v>
      </c>
    </row>
    <row r="962" spans="1:2" x14ac:dyDescent="0.3">
      <c r="A962" s="1" t="s">
        <v>1268</v>
      </c>
      <c r="B962" s="1" t="s">
        <v>2637</v>
      </c>
    </row>
    <row r="963" spans="1:2" x14ac:dyDescent="0.3">
      <c r="A963" s="1" t="s">
        <v>1269</v>
      </c>
      <c r="B963" s="1" t="s">
        <v>2637</v>
      </c>
    </row>
    <row r="964" spans="1:2" x14ac:dyDescent="0.3">
      <c r="A964" s="1" t="s">
        <v>1270</v>
      </c>
      <c r="B964" s="1" t="s">
        <v>2638</v>
      </c>
    </row>
    <row r="965" spans="1:2" x14ac:dyDescent="0.3">
      <c r="A965" s="1" t="s">
        <v>1271</v>
      </c>
      <c r="B965" s="1" t="s">
        <v>2638</v>
      </c>
    </row>
    <row r="966" spans="1:2" x14ac:dyDescent="0.3">
      <c r="A966" s="1" t="s">
        <v>1272</v>
      </c>
      <c r="B966" s="1" t="s">
        <v>2637</v>
      </c>
    </row>
    <row r="967" spans="1:2" x14ac:dyDescent="0.3">
      <c r="A967" s="1" t="s">
        <v>1273</v>
      </c>
      <c r="B967" s="1" t="s">
        <v>2637</v>
      </c>
    </row>
    <row r="968" spans="1:2" x14ac:dyDescent="0.3">
      <c r="A968" s="1" t="s">
        <v>1274</v>
      </c>
      <c r="B968" s="1" t="s">
        <v>2638</v>
      </c>
    </row>
    <row r="969" spans="1:2" x14ac:dyDescent="0.3">
      <c r="A969" s="1" t="s">
        <v>1275</v>
      </c>
      <c r="B969" s="1" t="s">
        <v>2638</v>
      </c>
    </row>
    <row r="970" spans="1:2" x14ac:dyDescent="0.3">
      <c r="A970" s="1" t="s">
        <v>1276</v>
      </c>
      <c r="B970" s="1" t="s">
        <v>2637</v>
      </c>
    </row>
    <row r="971" spans="1:2" x14ac:dyDescent="0.3">
      <c r="A971" s="1" t="s">
        <v>1277</v>
      </c>
      <c r="B971" s="1" t="s">
        <v>2637</v>
      </c>
    </row>
    <row r="972" spans="1:2" x14ac:dyDescent="0.3">
      <c r="A972" s="1" t="s">
        <v>1278</v>
      </c>
      <c r="B972" s="1" t="s">
        <v>2637</v>
      </c>
    </row>
    <row r="973" spans="1:2" x14ac:dyDescent="0.3">
      <c r="A973" s="1" t="s">
        <v>1279</v>
      </c>
      <c r="B973" s="1" t="s">
        <v>2637</v>
      </c>
    </row>
    <row r="974" spans="1:2" x14ac:dyDescent="0.3">
      <c r="A974" s="1" t="s">
        <v>1280</v>
      </c>
      <c r="B974" s="1" t="s">
        <v>2637</v>
      </c>
    </row>
    <row r="975" spans="1:2" x14ac:dyDescent="0.3">
      <c r="A975" s="1" t="s">
        <v>1281</v>
      </c>
      <c r="B975" s="1" t="s">
        <v>2637</v>
      </c>
    </row>
    <row r="976" spans="1:2" x14ac:dyDescent="0.3">
      <c r="A976" s="1" t="s">
        <v>1282</v>
      </c>
      <c r="B976" s="1" t="s">
        <v>2637</v>
      </c>
    </row>
    <row r="977" spans="1:2" x14ac:dyDescent="0.3">
      <c r="A977" s="1" t="s">
        <v>1283</v>
      </c>
      <c r="B977" s="1" t="s">
        <v>2637</v>
      </c>
    </row>
    <row r="978" spans="1:2" x14ac:dyDescent="0.3">
      <c r="A978" s="1" t="s">
        <v>1284</v>
      </c>
      <c r="B978" s="1" t="s">
        <v>2637</v>
      </c>
    </row>
    <row r="979" spans="1:2" x14ac:dyDescent="0.3">
      <c r="A979" s="1" t="s">
        <v>1285</v>
      </c>
      <c r="B979" s="1" t="s">
        <v>2637</v>
      </c>
    </row>
    <row r="980" spans="1:2" x14ac:dyDescent="0.3">
      <c r="A980" s="1" t="s">
        <v>1286</v>
      </c>
      <c r="B980" s="1" t="s">
        <v>2638</v>
      </c>
    </row>
    <row r="981" spans="1:2" x14ac:dyDescent="0.3">
      <c r="A981" s="1" t="s">
        <v>1287</v>
      </c>
      <c r="B981" s="1" t="s">
        <v>2637</v>
      </c>
    </row>
    <row r="982" spans="1:2" x14ac:dyDescent="0.3">
      <c r="A982" s="1" t="s">
        <v>1288</v>
      </c>
      <c r="B982" s="1" t="s">
        <v>2637</v>
      </c>
    </row>
    <row r="983" spans="1:2" x14ac:dyDescent="0.3">
      <c r="A983" s="1" t="s">
        <v>1289</v>
      </c>
      <c r="B983" s="1" t="s">
        <v>2637</v>
      </c>
    </row>
    <row r="984" spans="1:2" x14ac:dyDescent="0.3">
      <c r="A984" s="1" t="s">
        <v>1290</v>
      </c>
      <c r="B984" s="1" t="s">
        <v>2637</v>
      </c>
    </row>
    <row r="985" spans="1:2" x14ac:dyDescent="0.3">
      <c r="A985" s="1" t="s">
        <v>1291</v>
      </c>
      <c r="B985" s="1" t="s">
        <v>2637</v>
      </c>
    </row>
    <row r="986" spans="1:2" x14ac:dyDescent="0.3">
      <c r="A986" s="1" t="s">
        <v>1292</v>
      </c>
      <c r="B986" s="1" t="s">
        <v>2638</v>
      </c>
    </row>
    <row r="987" spans="1:2" x14ac:dyDescent="0.3">
      <c r="A987" s="1" t="s">
        <v>1293</v>
      </c>
      <c r="B987" s="1" t="s">
        <v>2637</v>
      </c>
    </row>
    <row r="988" spans="1:2" x14ac:dyDescent="0.3">
      <c r="A988" s="1" t="s">
        <v>1294</v>
      </c>
      <c r="B988" s="1" t="s">
        <v>2637</v>
      </c>
    </row>
    <row r="989" spans="1:2" x14ac:dyDescent="0.3">
      <c r="A989" s="1" t="s">
        <v>1295</v>
      </c>
      <c r="B989" s="1" t="s">
        <v>2637</v>
      </c>
    </row>
    <row r="990" spans="1:2" x14ac:dyDescent="0.3">
      <c r="A990" s="1" t="s">
        <v>1296</v>
      </c>
      <c r="B990" s="1" t="s">
        <v>2637</v>
      </c>
    </row>
    <row r="991" spans="1:2" x14ac:dyDescent="0.3">
      <c r="A991" s="1" t="s">
        <v>1297</v>
      </c>
      <c r="B991" s="1" t="s">
        <v>2638</v>
      </c>
    </row>
    <row r="992" spans="1:2" x14ac:dyDescent="0.3">
      <c r="A992" s="1" t="s">
        <v>1298</v>
      </c>
      <c r="B992" s="1" t="s">
        <v>2637</v>
      </c>
    </row>
    <row r="993" spans="1:2" x14ac:dyDescent="0.3">
      <c r="A993" s="1" t="s">
        <v>1299</v>
      </c>
      <c r="B993" s="1" t="s">
        <v>2638</v>
      </c>
    </row>
    <row r="994" spans="1:2" x14ac:dyDescent="0.3">
      <c r="A994" s="1" t="s">
        <v>1300</v>
      </c>
      <c r="B994" s="1" t="s">
        <v>2637</v>
      </c>
    </row>
    <row r="995" spans="1:2" x14ac:dyDescent="0.3">
      <c r="A995" s="1" t="s">
        <v>1301</v>
      </c>
      <c r="B995" s="1" t="s">
        <v>2637</v>
      </c>
    </row>
    <row r="996" spans="1:2" x14ac:dyDescent="0.3">
      <c r="A996" s="1" t="s">
        <v>1302</v>
      </c>
      <c r="B996" s="1" t="s">
        <v>2638</v>
      </c>
    </row>
    <row r="997" spans="1:2" x14ac:dyDescent="0.3">
      <c r="A997" s="1" t="s">
        <v>1303</v>
      </c>
      <c r="B997" s="1" t="s">
        <v>2637</v>
      </c>
    </row>
    <row r="998" spans="1:2" x14ac:dyDescent="0.3">
      <c r="A998" s="1" t="s">
        <v>1304</v>
      </c>
      <c r="B998" s="1" t="s">
        <v>2638</v>
      </c>
    </row>
    <row r="999" spans="1:2" x14ac:dyDescent="0.3">
      <c r="A999" s="1" t="s">
        <v>1305</v>
      </c>
      <c r="B999" s="1" t="s">
        <v>2638</v>
      </c>
    </row>
    <row r="1000" spans="1:2" x14ac:dyDescent="0.3">
      <c r="A1000" s="1" t="s">
        <v>1306</v>
      </c>
      <c r="B1000" s="1" t="s">
        <v>2637</v>
      </c>
    </row>
    <row r="1001" spans="1:2" x14ac:dyDescent="0.3">
      <c r="A1001" s="1" t="s">
        <v>1307</v>
      </c>
      <c r="B1001" s="1" t="s">
        <v>2637</v>
      </c>
    </row>
    <row r="1002" spans="1:2" x14ac:dyDescent="0.3">
      <c r="A1002" s="1" t="s">
        <v>1308</v>
      </c>
      <c r="B1002" s="1" t="s">
        <v>2637</v>
      </c>
    </row>
    <row r="1003" spans="1:2" x14ac:dyDescent="0.3">
      <c r="A1003" s="1" t="s">
        <v>1309</v>
      </c>
      <c r="B1003" s="1" t="s">
        <v>2637</v>
      </c>
    </row>
    <row r="1004" spans="1:2" x14ac:dyDescent="0.3">
      <c r="A1004" s="1" t="s">
        <v>1310</v>
      </c>
      <c r="B1004" s="1" t="s">
        <v>2637</v>
      </c>
    </row>
    <row r="1005" spans="1:2" x14ac:dyDescent="0.3">
      <c r="A1005" s="1" t="s">
        <v>1311</v>
      </c>
      <c r="B1005" s="1" t="s">
        <v>2637</v>
      </c>
    </row>
    <row r="1006" spans="1:2" x14ac:dyDescent="0.3">
      <c r="A1006" s="1" t="s">
        <v>1312</v>
      </c>
      <c r="B1006" s="1" t="s">
        <v>2638</v>
      </c>
    </row>
    <row r="1007" spans="1:2" x14ac:dyDescent="0.3">
      <c r="A1007" s="1" t="s">
        <v>1313</v>
      </c>
      <c r="B1007" s="1" t="s">
        <v>2638</v>
      </c>
    </row>
    <row r="1008" spans="1:2" x14ac:dyDescent="0.3">
      <c r="A1008" s="1" t="s">
        <v>1314</v>
      </c>
      <c r="B1008" s="1" t="s">
        <v>2637</v>
      </c>
    </row>
    <row r="1009" spans="1:2" x14ac:dyDescent="0.3">
      <c r="A1009" s="1" t="s">
        <v>1315</v>
      </c>
      <c r="B1009" s="1" t="s">
        <v>2637</v>
      </c>
    </row>
    <row r="1010" spans="1:2" x14ac:dyDescent="0.3">
      <c r="A1010" s="1" t="s">
        <v>1316</v>
      </c>
      <c r="B1010" s="1" t="s">
        <v>2637</v>
      </c>
    </row>
    <row r="1011" spans="1:2" x14ac:dyDescent="0.3">
      <c r="A1011" s="1" t="s">
        <v>1317</v>
      </c>
      <c r="B1011" s="1" t="s">
        <v>2637</v>
      </c>
    </row>
    <row r="1012" spans="1:2" x14ac:dyDescent="0.3">
      <c r="A1012" s="1" t="s">
        <v>1318</v>
      </c>
      <c r="B1012" s="1" t="s">
        <v>2637</v>
      </c>
    </row>
    <row r="1013" spans="1:2" x14ac:dyDescent="0.3">
      <c r="A1013" s="1" t="s">
        <v>1319</v>
      </c>
      <c r="B1013" s="1" t="s">
        <v>2638</v>
      </c>
    </row>
    <row r="1014" spans="1:2" x14ac:dyDescent="0.3">
      <c r="A1014" s="1" t="s">
        <v>1320</v>
      </c>
      <c r="B1014" s="1" t="s">
        <v>2638</v>
      </c>
    </row>
    <row r="1015" spans="1:2" x14ac:dyDescent="0.3">
      <c r="A1015" s="1" t="s">
        <v>1321</v>
      </c>
      <c r="B1015" s="1" t="s">
        <v>2637</v>
      </c>
    </row>
    <row r="1016" spans="1:2" x14ac:dyDescent="0.3">
      <c r="A1016" s="1" t="s">
        <v>1322</v>
      </c>
      <c r="B1016" s="1" t="s">
        <v>2637</v>
      </c>
    </row>
    <row r="1017" spans="1:2" x14ac:dyDescent="0.3">
      <c r="A1017" s="1" t="s">
        <v>1323</v>
      </c>
      <c r="B1017" s="1" t="s">
        <v>2637</v>
      </c>
    </row>
    <row r="1018" spans="1:2" x14ac:dyDescent="0.3">
      <c r="A1018" s="1" t="s">
        <v>1324</v>
      </c>
      <c r="B1018" s="1" t="s">
        <v>2638</v>
      </c>
    </row>
    <row r="1019" spans="1:2" x14ac:dyDescent="0.3">
      <c r="A1019" s="1" t="s">
        <v>1325</v>
      </c>
      <c r="B1019" s="1" t="s">
        <v>2637</v>
      </c>
    </row>
    <row r="1020" spans="1:2" x14ac:dyDescent="0.3">
      <c r="A1020" s="1" t="s">
        <v>1326</v>
      </c>
      <c r="B1020" s="1" t="s">
        <v>2637</v>
      </c>
    </row>
    <row r="1021" spans="1:2" x14ac:dyDescent="0.3">
      <c r="A1021" s="1" t="s">
        <v>1327</v>
      </c>
      <c r="B1021" s="1" t="s">
        <v>2638</v>
      </c>
    </row>
    <row r="1022" spans="1:2" x14ac:dyDescent="0.3">
      <c r="A1022" s="1" t="s">
        <v>1328</v>
      </c>
      <c r="B1022" s="1" t="s">
        <v>2637</v>
      </c>
    </row>
    <row r="1023" spans="1:2" x14ac:dyDescent="0.3">
      <c r="A1023" s="1" t="s">
        <v>1329</v>
      </c>
      <c r="B1023" s="1" t="s">
        <v>2637</v>
      </c>
    </row>
    <row r="1024" spans="1:2" x14ac:dyDescent="0.3">
      <c r="A1024" s="1" t="s">
        <v>1330</v>
      </c>
      <c r="B1024" s="1" t="s">
        <v>2637</v>
      </c>
    </row>
    <row r="1025" spans="1:2" x14ac:dyDescent="0.3">
      <c r="A1025" s="1" t="s">
        <v>1331</v>
      </c>
      <c r="B1025" s="1" t="s">
        <v>2638</v>
      </c>
    </row>
    <row r="1026" spans="1:2" x14ac:dyDescent="0.3">
      <c r="A1026" s="1" t="s">
        <v>1332</v>
      </c>
      <c r="B1026" s="1" t="s">
        <v>2637</v>
      </c>
    </row>
    <row r="1027" spans="1:2" x14ac:dyDescent="0.3">
      <c r="A1027" s="1" t="s">
        <v>1333</v>
      </c>
      <c r="B1027" s="1" t="s">
        <v>2637</v>
      </c>
    </row>
    <row r="1028" spans="1:2" x14ac:dyDescent="0.3">
      <c r="A1028" s="1" t="s">
        <v>1334</v>
      </c>
      <c r="B1028" s="1" t="s">
        <v>2637</v>
      </c>
    </row>
    <row r="1029" spans="1:2" x14ac:dyDescent="0.3">
      <c r="A1029" s="1" t="s">
        <v>1335</v>
      </c>
      <c r="B1029" s="1" t="s">
        <v>2637</v>
      </c>
    </row>
    <row r="1030" spans="1:2" x14ac:dyDescent="0.3">
      <c r="A1030" s="1" t="s">
        <v>1336</v>
      </c>
      <c r="B1030" s="1" t="s">
        <v>2638</v>
      </c>
    </row>
    <row r="1031" spans="1:2" x14ac:dyDescent="0.3">
      <c r="A1031" s="1" t="s">
        <v>1337</v>
      </c>
      <c r="B1031" s="1" t="s">
        <v>2637</v>
      </c>
    </row>
    <row r="1032" spans="1:2" x14ac:dyDescent="0.3">
      <c r="A1032" s="1" t="s">
        <v>1338</v>
      </c>
      <c r="B1032" s="1" t="s">
        <v>2637</v>
      </c>
    </row>
    <row r="1033" spans="1:2" x14ac:dyDescent="0.3">
      <c r="A1033" s="1" t="s">
        <v>1339</v>
      </c>
      <c r="B1033" s="1" t="s">
        <v>2637</v>
      </c>
    </row>
    <row r="1034" spans="1:2" x14ac:dyDescent="0.3">
      <c r="A1034" s="1" t="s">
        <v>1340</v>
      </c>
      <c r="B1034" s="1" t="s">
        <v>2637</v>
      </c>
    </row>
    <row r="1035" spans="1:2" x14ac:dyDescent="0.3">
      <c r="A1035" s="1" t="s">
        <v>1341</v>
      </c>
      <c r="B1035" s="1" t="s">
        <v>2638</v>
      </c>
    </row>
    <row r="1036" spans="1:2" x14ac:dyDescent="0.3">
      <c r="A1036" s="1" t="s">
        <v>1342</v>
      </c>
      <c r="B1036" s="1" t="s">
        <v>2637</v>
      </c>
    </row>
    <row r="1037" spans="1:2" x14ac:dyDescent="0.3">
      <c r="A1037" s="1" t="s">
        <v>1343</v>
      </c>
      <c r="B1037" s="1" t="s">
        <v>2637</v>
      </c>
    </row>
    <row r="1038" spans="1:2" x14ac:dyDescent="0.3">
      <c r="A1038" s="1" t="s">
        <v>1344</v>
      </c>
      <c r="B1038" s="1" t="s">
        <v>2637</v>
      </c>
    </row>
    <row r="1039" spans="1:2" x14ac:dyDescent="0.3">
      <c r="A1039" s="1" t="s">
        <v>1345</v>
      </c>
      <c r="B1039" s="1" t="s">
        <v>2637</v>
      </c>
    </row>
    <row r="1040" spans="1:2" x14ac:dyDescent="0.3">
      <c r="A1040" s="1" t="s">
        <v>1346</v>
      </c>
      <c r="B1040" s="1" t="s">
        <v>2637</v>
      </c>
    </row>
    <row r="1041" spans="1:2" x14ac:dyDescent="0.3">
      <c r="A1041" s="1" t="s">
        <v>1347</v>
      </c>
      <c r="B1041" s="1" t="s">
        <v>2637</v>
      </c>
    </row>
    <row r="1042" spans="1:2" x14ac:dyDescent="0.3">
      <c r="A1042" s="1" t="s">
        <v>1348</v>
      </c>
      <c r="B1042" s="1" t="s">
        <v>2637</v>
      </c>
    </row>
    <row r="1043" spans="1:2" x14ac:dyDescent="0.3">
      <c r="A1043" s="1" t="s">
        <v>1349</v>
      </c>
      <c r="B1043" s="1" t="s">
        <v>2637</v>
      </c>
    </row>
    <row r="1044" spans="1:2" x14ac:dyDescent="0.3">
      <c r="A1044" s="1" t="s">
        <v>1350</v>
      </c>
      <c r="B1044" s="1" t="s">
        <v>2637</v>
      </c>
    </row>
    <row r="1045" spans="1:2" x14ac:dyDescent="0.3">
      <c r="A1045" s="1" t="s">
        <v>1351</v>
      </c>
      <c r="B1045" s="1" t="s">
        <v>2637</v>
      </c>
    </row>
    <row r="1046" spans="1:2" x14ac:dyDescent="0.3">
      <c r="A1046" s="1" t="s">
        <v>1352</v>
      </c>
      <c r="B1046" s="1" t="s">
        <v>2638</v>
      </c>
    </row>
    <row r="1047" spans="1:2" x14ac:dyDescent="0.3">
      <c r="A1047" s="1" t="s">
        <v>1353</v>
      </c>
      <c r="B1047" s="1" t="s">
        <v>2637</v>
      </c>
    </row>
    <row r="1048" spans="1:2" x14ac:dyDescent="0.3">
      <c r="A1048" s="1" t="s">
        <v>1354</v>
      </c>
      <c r="B1048" s="1" t="s">
        <v>2637</v>
      </c>
    </row>
    <row r="1049" spans="1:2" x14ac:dyDescent="0.3">
      <c r="A1049" s="1" t="s">
        <v>1355</v>
      </c>
      <c r="B1049" s="1" t="s">
        <v>2637</v>
      </c>
    </row>
    <row r="1050" spans="1:2" x14ac:dyDescent="0.3">
      <c r="A1050" s="1" t="s">
        <v>1356</v>
      </c>
      <c r="B1050" s="1" t="s">
        <v>2637</v>
      </c>
    </row>
    <row r="1051" spans="1:2" x14ac:dyDescent="0.3">
      <c r="A1051" s="1" t="s">
        <v>1357</v>
      </c>
      <c r="B1051" s="1" t="s">
        <v>2637</v>
      </c>
    </row>
    <row r="1052" spans="1:2" x14ac:dyDescent="0.3">
      <c r="A1052" s="1" t="s">
        <v>1358</v>
      </c>
      <c r="B1052" s="1" t="s">
        <v>2637</v>
      </c>
    </row>
    <row r="1053" spans="1:2" x14ac:dyDescent="0.3">
      <c r="A1053" s="1" t="s">
        <v>1359</v>
      </c>
      <c r="B1053" s="1" t="s">
        <v>2637</v>
      </c>
    </row>
    <row r="1054" spans="1:2" x14ac:dyDescent="0.3">
      <c r="A1054" s="1" t="s">
        <v>1360</v>
      </c>
      <c r="B1054" s="1" t="s">
        <v>2637</v>
      </c>
    </row>
    <row r="1055" spans="1:2" x14ac:dyDescent="0.3">
      <c r="A1055" s="1" t="s">
        <v>1361</v>
      </c>
      <c r="B1055" s="1" t="s">
        <v>2637</v>
      </c>
    </row>
    <row r="1056" spans="1:2" x14ac:dyDescent="0.3">
      <c r="A1056" s="1" t="s">
        <v>1362</v>
      </c>
      <c r="B1056" s="1" t="s">
        <v>2637</v>
      </c>
    </row>
    <row r="1057" spans="1:2" x14ac:dyDescent="0.3">
      <c r="A1057" s="1" t="s">
        <v>1363</v>
      </c>
      <c r="B1057" s="1" t="s">
        <v>2637</v>
      </c>
    </row>
    <row r="1058" spans="1:2" x14ac:dyDescent="0.3">
      <c r="A1058" s="1" t="s">
        <v>1364</v>
      </c>
      <c r="B1058" s="1" t="s">
        <v>2637</v>
      </c>
    </row>
    <row r="1059" spans="1:2" x14ac:dyDescent="0.3">
      <c r="A1059" s="1" t="s">
        <v>1365</v>
      </c>
      <c r="B1059" s="1" t="s">
        <v>2638</v>
      </c>
    </row>
    <row r="1060" spans="1:2" x14ac:dyDescent="0.3">
      <c r="A1060" s="1" t="s">
        <v>1366</v>
      </c>
      <c r="B1060" s="1" t="s">
        <v>2637</v>
      </c>
    </row>
    <row r="1061" spans="1:2" x14ac:dyDescent="0.3">
      <c r="A1061" s="1" t="s">
        <v>1367</v>
      </c>
      <c r="B1061" s="1" t="s">
        <v>2637</v>
      </c>
    </row>
    <row r="1062" spans="1:2" x14ac:dyDescent="0.3">
      <c r="A1062" s="1" t="s">
        <v>1368</v>
      </c>
      <c r="B1062" s="1" t="s">
        <v>2638</v>
      </c>
    </row>
    <row r="1063" spans="1:2" x14ac:dyDescent="0.3">
      <c r="A1063" s="1" t="s">
        <v>1369</v>
      </c>
      <c r="B1063" s="1" t="s">
        <v>2638</v>
      </c>
    </row>
    <row r="1064" spans="1:2" x14ac:dyDescent="0.3">
      <c r="A1064" s="1" t="s">
        <v>1370</v>
      </c>
      <c r="B1064" s="1" t="s">
        <v>2637</v>
      </c>
    </row>
    <row r="1065" spans="1:2" x14ac:dyDescent="0.3">
      <c r="A1065" s="1" t="s">
        <v>1371</v>
      </c>
      <c r="B1065" s="1" t="s">
        <v>2637</v>
      </c>
    </row>
    <row r="1066" spans="1:2" x14ac:dyDescent="0.3">
      <c r="A1066" s="1" t="s">
        <v>1372</v>
      </c>
      <c r="B1066" s="1" t="s">
        <v>2637</v>
      </c>
    </row>
    <row r="1067" spans="1:2" x14ac:dyDescent="0.3">
      <c r="A1067" s="1" t="s">
        <v>1373</v>
      </c>
      <c r="B1067" s="1" t="s">
        <v>2637</v>
      </c>
    </row>
    <row r="1068" spans="1:2" x14ac:dyDescent="0.3">
      <c r="A1068" s="1" t="s">
        <v>1374</v>
      </c>
      <c r="B1068" s="1" t="s">
        <v>2638</v>
      </c>
    </row>
    <row r="1069" spans="1:2" x14ac:dyDescent="0.3">
      <c r="A1069" s="1" t="s">
        <v>1375</v>
      </c>
      <c r="B1069" s="1" t="s">
        <v>2637</v>
      </c>
    </row>
    <row r="1070" spans="1:2" x14ac:dyDescent="0.3">
      <c r="A1070" s="1" t="s">
        <v>1376</v>
      </c>
      <c r="B1070" s="1" t="s">
        <v>2637</v>
      </c>
    </row>
    <row r="1071" spans="1:2" x14ac:dyDescent="0.3">
      <c r="A1071" s="1" t="s">
        <v>1377</v>
      </c>
      <c r="B1071" s="1" t="s">
        <v>2637</v>
      </c>
    </row>
    <row r="1072" spans="1:2" x14ac:dyDescent="0.3">
      <c r="A1072" s="1" t="s">
        <v>1378</v>
      </c>
      <c r="B1072" s="1" t="s">
        <v>2637</v>
      </c>
    </row>
    <row r="1073" spans="1:2" x14ac:dyDescent="0.3">
      <c r="A1073" s="1" t="s">
        <v>1379</v>
      </c>
      <c r="B1073" s="1" t="s">
        <v>2637</v>
      </c>
    </row>
    <row r="1074" spans="1:2" x14ac:dyDescent="0.3">
      <c r="A1074" s="1" t="s">
        <v>1380</v>
      </c>
      <c r="B1074" s="1" t="s">
        <v>2638</v>
      </c>
    </row>
    <row r="1075" spans="1:2" x14ac:dyDescent="0.3">
      <c r="A1075" s="1" t="s">
        <v>1381</v>
      </c>
      <c r="B1075" s="1" t="s">
        <v>2638</v>
      </c>
    </row>
    <row r="1076" spans="1:2" x14ac:dyDescent="0.3">
      <c r="A1076" s="1" t="s">
        <v>1382</v>
      </c>
      <c r="B1076" s="1" t="s">
        <v>2638</v>
      </c>
    </row>
    <row r="1077" spans="1:2" x14ac:dyDescent="0.3">
      <c r="A1077" s="1" t="s">
        <v>1383</v>
      </c>
      <c r="B1077" s="1" t="s">
        <v>2637</v>
      </c>
    </row>
    <row r="1078" spans="1:2" x14ac:dyDescent="0.3">
      <c r="A1078" s="1" t="s">
        <v>1384</v>
      </c>
      <c r="B1078" s="1" t="s">
        <v>2637</v>
      </c>
    </row>
    <row r="1079" spans="1:2" x14ac:dyDescent="0.3">
      <c r="A1079" s="1" t="s">
        <v>1385</v>
      </c>
      <c r="B1079" s="1" t="s">
        <v>2637</v>
      </c>
    </row>
    <row r="1080" spans="1:2" x14ac:dyDescent="0.3">
      <c r="A1080" s="1" t="s">
        <v>1386</v>
      </c>
      <c r="B1080" s="1" t="s">
        <v>2637</v>
      </c>
    </row>
    <row r="1081" spans="1:2" x14ac:dyDescent="0.3">
      <c r="A1081" s="1" t="s">
        <v>1387</v>
      </c>
      <c r="B1081" s="1" t="s">
        <v>2637</v>
      </c>
    </row>
    <row r="1082" spans="1:2" x14ac:dyDescent="0.3">
      <c r="A1082" s="1" t="s">
        <v>1388</v>
      </c>
      <c r="B1082" s="1" t="s">
        <v>2637</v>
      </c>
    </row>
    <row r="1083" spans="1:2" x14ac:dyDescent="0.3">
      <c r="A1083" s="1" t="s">
        <v>1389</v>
      </c>
      <c r="B1083" s="1" t="s">
        <v>2637</v>
      </c>
    </row>
    <row r="1084" spans="1:2" x14ac:dyDescent="0.3">
      <c r="A1084" s="1" t="s">
        <v>1390</v>
      </c>
      <c r="B1084" s="1" t="s">
        <v>2638</v>
      </c>
    </row>
    <row r="1085" spans="1:2" x14ac:dyDescent="0.3">
      <c r="A1085" s="1" t="s">
        <v>1391</v>
      </c>
      <c r="B1085" s="1" t="s">
        <v>2637</v>
      </c>
    </row>
    <row r="1086" spans="1:2" x14ac:dyDescent="0.3">
      <c r="A1086" s="1" t="s">
        <v>1392</v>
      </c>
      <c r="B1086" s="1" t="s">
        <v>2637</v>
      </c>
    </row>
    <row r="1087" spans="1:2" x14ac:dyDescent="0.3">
      <c r="A1087" s="1" t="s">
        <v>1393</v>
      </c>
      <c r="B1087" s="1" t="s">
        <v>2637</v>
      </c>
    </row>
    <row r="1088" spans="1:2" x14ac:dyDescent="0.3">
      <c r="A1088" s="1" t="s">
        <v>1394</v>
      </c>
      <c r="B1088" s="1" t="s">
        <v>2637</v>
      </c>
    </row>
    <row r="1089" spans="1:2" x14ac:dyDescent="0.3">
      <c r="A1089" s="1" t="s">
        <v>1395</v>
      </c>
      <c r="B1089" s="1" t="s">
        <v>2637</v>
      </c>
    </row>
    <row r="1090" spans="1:2" x14ac:dyDescent="0.3">
      <c r="A1090" s="1" t="s">
        <v>1396</v>
      </c>
      <c r="B1090" s="1" t="s">
        <v>2637</v>
      </c>
    </row>
    <row r="1091" spans="1:2" x14ac:dyDescent="0.3">
      <c r="A1091" s="1" t="s">
        <v>1397</v>
      </c>
      <c r="B1091" s="1" t="s">
        <v>2637</v>
      </c>
    </row>
    <row r="1092" spans="1:2" x14ac:dyDescent="0.3">
      <c r="A1092" s="1" t="s">
        <v>1398</v>
      </c>
      <c r="B1092" s="1" t="s">
        <v>2637</v>
      </c>
    </row>
    <row r="1093" spans="1:2" x14ac:dyDescent="0.3">
      <c r="A1093" s="1" t="s">
        <v>1399</v>
      </c>
      <c r="B1093" s="1" t="s">
        <v>2637</v>
      </c>
    </row>
    <row r="1094" spans="1:2" x14ac:dyDescent="0.3">
      <c r="A1094" s="1" t="s">
        <v>1400</v>
      </c>
      <c r="B1094" s="1" t="s">
        <v>2637</v>
      </c>
    </row>
    <row r="1095" spans="1:2" x14ac:dyDescent="0.3">
      <c r="A1095" s="1" t="s">
        <v>1401</v>
      </c>
      <c r="B1095" s="1" t="s">
        <v>2637</v>
      </c>
    </row>
    <row r="1096" spans="1:2" x14ac:dyDescent="0.3">
      <c r="A1096" s="1" t="s">
        <v>1402</v>
      </c>
      <c r="B1096" s="1" t="s">
        <v>2637</v>
      </c>
    </row>
    <row r="1097" spans="1:2" x14ac:dyDescent="0.3">
      <c r="A1097" s="1" t="s">
        <v>1403</v>
      </c>
      <c r="B1097" s="1" t="s">
        <v>2637</v>
      </c>
    </row>
    <row r="1098" spans="1:2" x14ac:dyDescent="0.3">
      <c r="A1098" s="1" t="s">
        <v>1404</v>
      </c>
      <c r="B1098" s="1" t="s">
        <v>2637</v>
      </c>
    </row>
    <row r="1099" spans="1:2" x14ac:dyDescent="0.3">
      <c r="A1099" s="1" t="s">
        <v>1405</v>
      </c>
      <c r="B1099" s="1" t="s">
        <v>2637</v>
      </c>
    </row>
    <row r="1100" spans="1:2" x14ac:dyDescent="0.3">
      <c r="A1100" s="1" t="s">
        <v>1406</v>
      </c>
      <c r="B1100" s="1" t="s">
        <v>2637</v>
      </c>
    </row>
    <row r="1101" spans="1:2" x14ac:dyDescent="0.3">
      <c r="A1101" s="1" t="s">
        <v>1407</v>
      </c>
      <c r="B1101" s="1" t="s">
        <v>2637</v>
      </c>
    </row>
    <row r="1102" spans="1:2" x14ac:dyDescent="0.3">
      <c r="A1102" s="1" t="s">
        <v>1408</v>
      </c>
      <c r="B1102" s="1" t="s">
        <v>2638</v>
      </c>
    </row>
    <row r="1103" spans="1:2" x14ac:dyDescent="0.3">
      <c r="A1103" s="1" t="s">
        <v>1409</v>
      </c>
      <c r="B1103" s="1" t="s">
        <v>2638</v>
      </c>
    </row>
    <row r="1104" spans="1:2" x14ac:dyDescent="0.3">
      <c r="A1104" s="1" t="s">
        <v>1410</v>
      </c>
      <c r="B1104" s="1" t="s">
        <v>2637</v>
      </c>
    </row>
    <row r="1105" spans="1:2" x14ac:dyDescent="0.3">
      <c r="A1105" s="1" t="s">
        <v>1411</v>
      </c>
      <c r="B1105" s="1" t="s">
        <v>2637</v>
      </c>
    </row>
    <row r="1106" spans="1:2" x14ac:dyDescent="0.3">
      <c r="A1106" s="1" t="s">
        <v>1412</v>
      </c>
      <c r="B1106" s="1" t="s">
        <v>2637</v>
      </c>
    </row>
    <row r="1107" spans="1:2" x14ac:dyDescent="0.3">
      <c r="A1107" s="1" t="s">
        <v>1413</v>
      </c>
      <c r="B1107" s="1" t="s">
        <v>2637</v>
      </c>
    </row>
    <row r="1108" spans="1:2" x14ac:dyDescent="0.3">
      <c r="A1108" s="1" t="s">
        <v>1414</v>
      </c>
      <c r="B1108" s="1" t="s">
        <v>2638</v>
      </c>
    </row>
    <row r="1109" spans="1:2" x14ac:dyDescent="0.3">
      <c r="A1109" s="1" t="s">
        <v>1415</v>
      </c>
      <c r="B1109" s="1" t="s">
        <v>2637</v>
      </c>
    </row>
    <row r="1110" spans="1:2" x14ac:dyDescent="0.3">
      <c r="A1110" s="1" t="s">
        <v>1416</v>
      </c>
      <c r="B1110" s="1" t="s">
        <v>2637</v>
      </c>
    </row>
    <row r="1111" spans="1:2" x14ac:dyDescent="0.3">
      <c r="A1111" s="1" t="s">
        <v>1417</v>
      </c>
      <c r="B1111" s="1" t="s">
        <v>2637</v>
      </c>
    </row>
    <row r="1112" spans="1:2" x14ac:dyDescent="0.3">
      <c r="A1112" s="1" t="s">
        <v>1418</v>
      </c>
      <c r="B1112" s="1" t="s">
        <v>2637</v>
      </c>
    </row>
    <row r="1113" spans="1:2" x14ac:dyDescent="0.3">
      <c r="A1113" s="1" t="s">
        <v>1419</v>
      </c>
      <c r="B1113" s="1" t="s">
        <v>2637</v>
      </c>
    </row>
    <row r="1114" spans="1:2" x14ac:dyDescent="0.3">
      <c r="A1114" s="1" t="s">
        <v>1420</v>
      </c>
      <c r="B1114" s="1" t="s">
        <v>2638</v>
      </c>
    </row>
    <row r="1115" spans="1:2" x14ac:dyDescent="0.3">
      <c r="A1115" s="1" t="s">
        <v>1421</v>
      </c>
      <c r="B1115" s="1" t="s">
        <v>2637</v>
      </c>
    </row>
    <row r="1116" spans="1:2" x14ac:dyDescent="0.3">
      <c r="A1116" s="1" t="s">
        <v>1422</v>
      </c>
      <c r="B1116" s="1" t="s">
        <v>2637</v>
      </c>
    </row>
    <row r="1117" spans="1:2" x14ac:dyDescent="0.3">
      <c r="A1117" s="1" t="s">
        <v>1423</v>
      </c>
      <c r="B1117" s="1" t="s">
        <v>2637</v>
      </c>
    </row>
    <row r="1118" spans="1:2" x14ac:dyDescent="0.3">
      <c r="A1118" s="1" t="s">
        <v>1424</v>
      </c>
      <c r="B1118" s="1" t="s">
        <v>2637</v>
      </c>
    </row>
    <row r="1119" spans="1:2" x14ac:dyDescent="0.3">
      <c r="A1119" s="1" t="s">
        <v>1425</v>
      </c>
      <c r="B1119" s="1" t="s">
        <v>2637</v>
      </c>
    </row>
    <row r="1120" spans="1:2" x14ac:dyDescent="0.3">
      <c r="A1120" s="1" t="s">
        <v>1426</v>
      </c>
      <c r="B1120" s="1" t="s">
        <v>2637</v>
      </c>
    </row>
    <row r="1121" spans="1:2" x14ac:dyDescent="0.3">
      <c r="A1121" s="1" t="s">
        <v>1427</v>
      </c>
      <c r="B1121" s="1" t="s">
        <v>2637</v>
      </c>
    </row>
    <row r="1122" spans="1:2" x14ac:dyDescent="0.3">
      <c r="A1122" s="1" t="s">
        <v>1428</v>
      </c>
      <c r="B1122" s="1" t="s">
        <v>2637</v>
      </c>
    </row>
    <row r="1123" spans="1:2" x14ac:dyDescent="0.3">
      <c r="A1123" s="1" t="s">
        <v>1429</v>
      </c>
      <c r="B1123" s="1" t="s">
        <v>2637</v>
      </c>
    </row>
    <row r="1124" spans="1:2" x14ac:dyDescent="0.3">
      <c r="A1124" s="1" t="s">
        <v>1430</v>
      </c>
      <c r="B1124" s="1" t="s">
        <v>2637</v>
      </c>
    </row>
    <row r="1125" spans="1:2" x14ac:dyDescent="0.3">
      <c r="A1125" s="1" t="s">
        <v>1431</v>
      </c>
      <c r="B1125" s="1" t="s">
        <v>2637</v>
      </c>
    </row>
    <row r="1126" spans="1:2" x14ac:dyDescent="0.3">
      <c r="A1126" s="1" t="s">
        <v>1432</v>
      </c>
      <c r="B1126" s="1" t="s">
        <v>2637</v>
      </c>
    </row>
    <row r="1127" spans="1:2" x14ac:dyDescent="0.3">
      <c r="A1127" s="1" t="s">
        <v>1433</v>
      </c>
      <c r="B1127" s="1" t="s">
        <v>2637</v>
      </c>
    </row>
    <row r="1128" spans="1:2" x14ac:dyDescent="0.3">
      <c r="A1128" s="1" t="s">
        <v>1434</v>
      </c>
      <c r="B1128" s="1" t="s">
        <v>2638</v>
      </c>
    </row>
    <row r="1129" spans="1:2" x14ac:dyDescent="0.3">
      <c r="A1129" s="1" t="s">
        <v>1435</v>
      </c>
      <c r="B1129" s="1" t="s">
        <v>2638</v>
      </c>
    </row>
    <row r="1130" spans="1:2" x14ac:dyDescent="0.3">
      <c r="A1130" s="1" t="s">
        <v>1436</v>
      </c>
      <c r="B1130" s="1" t="s">
        <v>2637</v>
      </c>
    </row>
    <row r="1131" spans="1:2" x14ac:dyDescent="0.3">
      <c r="A1131" s="1" t="s">
        <v>1437</v>
      </c>
      <c r="B1131" s="1" t="s">
        <v>2637</v>
      </c>
    </row>
    <row r="1132" spans="1:2" x14ac:dyDescent="0.3">
      <c r="A1132" s="1" t="s">
        <v>1438</v>
      </c>
      <c r="B1132" s="1" t="s">
        <v>2637</v>
      </c>
    </row>
    <row r="1133" spans="1:2" x14ac:dyDescent="0.3">
      <c r="A1133" s="1" t="s">
        <v>1439</v>
      </c>
      <c r="B1133" s="1" t="s">
        <v>2637</v>
      </c>
    </row>
    <row r="1134" spans="1:2" x14ac:dyDescent="0.3">
      <c r="A1134" s="1" t="s">
        <v>1440</v>
      </c>
      <c r="B1134" s="1" t="s">
        <v>2638</v>
      </c>
    </row>
    <row r="1135" spans="1:2" x14ac:dyDescent="0.3">
      <c r="A1135" s="1" t="s">
        <v>1441</v>
      </c>
      <c r="B1135" s="1" t="s">
        <v>2637</v>
      </c>
    </row>
    <row r="1136" spans="1:2" x14ac:dyDescent="0.3">
      <c r="A1136" s="1" t="s">
        <v>1442</v>
      </c>
      <c r="B1136" s="1" t="s">
        <v>2637</v>
      </c>
    </row>
    <row r="1137" spans="1:2" x14ac:dyDescent="0.3">
      <c r="A1137" s="1" t="s">
        <v>1443</v>
      </c>
      <c r="B1137" s="1" t="s">
        <v>2637</v>
      </c>
    </row>
    <row r="1138" spans="1:2" x14ac:dyDescent="0.3">
      <c r="A1138" s="1" t="s">
        <v>1444</v>
      </c>
      <c r="B1138" s="1" t="s">
        <v>2638</v>
      </c>
    </row>
    <row r="1139" spans="1:2" x14ac:dyDescent="0.3">
      <c r="A1139" s="1" t="s">
        <v>1445</v>
      </c>
      <c r="B1139" s="1" t="s">
        <v>2637</v>
      </c>
    </row>
    <row r="1140" spans="1:2" x14ac:dyDescent="0.3">
      <c r="A1140" s="1" t="s">
        <v>1446</v>
      </c>
      <c r="B1140" s="1" t="s">
        <v>2637</v>
      </c>
    </row>
    <row r="1141" spans="1:2" x14ac:dyDescent="0.3">
      <c r="A1141" s="1" t="s">
        <v>1447</v>
      </c>
      <c r="B1141" s="1" t="s">
        <v>2637</v>
      </c>
    </row>
    <row r="1142" spans="1:2" x14ac:dyDescent="0.3">
      <c r="A1142" s="1" t="s">
        <v>1448</v>
      </c>
      <c r="B1142" s="1" t="s">
        <v>2637</v>
      </c>
    </row>
    <row r="1143" spans="1:2" x14ac:dyDescent="0.3">
      <c r="A1143" s="1" t="s">
        <v>1449</v>
      </c>
      <c r="B1143" s="1" t="s">
        <v>2637</v>
      </c>
    </row>
    <row r="1144" spans="1:2" x14ac:dyDescent="0.3">
      <c r="A1144" s="1" t="s">
        <v>1450</v>
      </c>
      <c r="B1144" s="1" t="s">
        <v>2637</v>
      </c>
    </row>
    <row r="1145" spans="1:2" x14ac:dyDescent="0.3">
      <c r="A1145" s="1" t="s">
        <v>1451</v>
      </c>
      <c r="B1145" s="1" t="s">
        <v>2637</v>
      </c>
    </row>
    <row r="1146" spans="1:2" x14ac:dyDescent="0.3">
      <c r="A1146" s="1" t="s">
        <v>1452</v>
      </c>
      <c r="B1146" s="1" t="s">
        <v>2638</v>
      </c>
    </row>
    <row r="1147" spans="1:2" x14ac:dyDescent="0.3">
      <c r="A1147" s="1" t="s">
        <v>1453</v>
      </c>
      <c r="B1147" s="1" t="s">
        <v>2637</v>
      </c>
    </row>
    <row r="1148" spans="1:2" x14ac:dyDescent="0.3">
      <c r="A1148" s="1" t="s">
        <v>1454</v>
      </c>
      <c r="B1148" s="1" t="s">
        <v>2637</v>
      </c>
    </row>
    <row r="1149" spans="1:2" x14ac:dyDescent="0.3">
      <c r="A1149" s="1" t="s">
        <v>1455</v>
      </c>
      <c r="B1149" s="1" t="s">
        <v>2638</v>
      </c>
    </row>
    <row r="1150" spans="1:2" x14ac:dyDescent="0.3">
      <c r="A1150" s="1" t="s">
        <v>1456</v>
      </c>
      <c r="B1150" s="1" t="s">
        <v>2638</v>
      </c>
    </row>
    <row r="1151" spans="1:2" x14ac:dyDescent="0.3">
      <c r="A1151" s="1" t="s">
        <v>1457</v>
      </c>
      <c r="B1151" s="1" t="s">
        <v>2637</v>
      </c>
    </row>
    <row r="1152" spans="1:2" x14ac:dyDescent="0.3">
      <c r="A1152" s="1" t="s">
        <v>1458</v>
      </c>
      <c r="B1152" s="1" t="s">
        <v>2637</v>
      </c>
    </row>
    <row r="1153" spans="1:2" x14ac:dyDescent="0.3">
      <c r="A1153" s="1" t="s">
        <v>1459</v>
      </c>
      <c r="B1153" s="1" t="s">
        <v>2637</v>
      </c>
    </row>
    <row r="1154" spans="1:2" x14ac:dyDescent="0.3">
      <c r="A1154" s="1" t="s">
        <v>1460</v>
      </c>
      <c r="B1154" s="1" t="s">
        <v>2637</v>
      </c>
    </row>
    <row r="1155" spans="1:2" x14ac:dyDescent="0.3">
      <c r="A1155" s="1" t="s">
        <v>1461</v>
      </c>
      <c r="B1155" s="1" t="s">
        <v>2638</v>
      </c>
    </row>
    <row r="1156" spans="1:2" x14ac:dyDescent="0.3">
      <c r="A1156" s="1" t="s">
        <v>1462</v>
      </c>
      <c r="B1156" s="1" t="s">
        <v>2638</v>
      </c>
    </row>
    <row r="1157" spans="1:2" x14ac:dyDescent="0.3">
      <c r="A1157" s="1" t="s">
        <v>1463</v>
      </c>
      <c r="B1157" s="1" t="s">
        <v>2637</v>
      </c>
    </row>
    <row r="1158" spans="1:2" x14ac:dyDescent="0.3">
      <c r="A1158" s="1" t="s">
        <v>1464</v>
      </c>
      <c r="B1158" s="1" t="s">
        <v>2638</v>
      </c>
    </row>
    <row r="1159" spans="1:2" x14ac:dyDescent="0.3">
      <c r="A1159" s="1" t="s">
        <v>1465</v>
      </c>
      <c r="B1159" s="1" t="s">
        <v>2637</v>
      </c>
    </row>
    <row r="1160" spans="1:2" x14ac:dyDescent="0.3">
      <c r="A1160" s="1" t="s">
        <v>1466</v>
      </c>
      <c r="B1160" s="1" t="s">
        <v>2637</v>
      </c>
    </row>
    <row r="1161" spans="1:2" x14ac:dyDescent="0.3">
      <c r="A1161" s="1" t="s">
        <v>1467</v>
      </c>
      <c r="B1161" s="1" t="s">
        <v>2637</v>
      </c>
    </row>
    <row r="1162" spans="1:2" x14ac:dyDescent="0.3">
      <c r="A1162" s="1" t="s">
        <v>1468</v>
      </c>
      <c r="B1162" s="1" t="s">
        <v>2637</v>
      </c>
    </row>
    <row r="1163" spans="1:2" x14ac:dyDescent="0.3">
      <c r="A1163" s="1" t="s">
        <v>1469</v>
      </c>
      <c r="B1163" s="1" t="s">
        <v>2638</v>
      </c>
    </row>
    <row r="1164" spans="1:2" x14ac:dyDescent="0.3">
      <c r="A1164" s="1" t="s">
        <v>1470</v>
      </c>
      <c r="B1164" s="1" t="s">
        <v>2637</v>
      </c>
    </row>
    <row r="1165" spans="1:2" x14ac:dyDescent="0.3">
      <c r="A1165" s="1" t="s">
        <v>1471</v>
      </c>
      <c r="B1165" s="1" t="s">
        <v>2638</v>
      </c>
    </row>
    <row r="1166" spans="1:2" x14ac:dyDescent="0.3">
      <c r="A1166" s="1" t="s">
        <v>1472</v>
      </c>
      <c r="B1166" s="1" t="s">
        <v>2637</v>
      </c>
    </row>
    <row r="1167" spans="1:2" x14ac:dyDescent="0.3">
      <c r="A1167" s="1" t="s">
        <v>1473</v>
      </c>
      <c r="B1167" s="1" t="s">
        <v>2637</v>
      </c>
    </row>
    <row r="1168" spans="1:2" x14ac:dyDescent="0.3">
      <c r="A1168" s="1" t="s">
        <v>1474</v>
      </c>
      <c r="B1168" s="1" t="s">
        <v>2637</v>
      </c>
    </row>
    <row r="1169" spans="1:2" x14ac:dyDescent="0.3">
      <c r="A1169" s="1" t="s">
        <v>1475</v>
      </c>
      <c r="B1169" s="1" t="s">
        <v>2637</v>
      </c>
    </row>
    <row r="1170" spans="1:2" x14ac:dyDescent="0.3">
      <c r="A1170" s="1" t="s">
        <v>1476</v>
      </c>
      <c r="B1170" s="1" t="s">
        <v>2638</v>
      </c>
    </row>
    <row r="1171" spans="1:2" x14ac:dyDescent="0.3">
      <c r="A1171" s="1" t="s">
        <v>1477</v>
      </c>
      <c r="B1171" s="1" t="s">
        <v>2637</v>
      </c>
    </row>
    <row r="1172" spans="1:2" x14ac:dyDescent="0.3">
      <c r="A1172" s="1" t="s">
        <v>1478</v>
      </c>
      <c r="B1172" s="1" t="s">
        <v>2637</v>
      </c>
    </row>
    <row r="1173" spans="1:2" x14ac:dyDescent="0.3">
      <c r="A1173" s="1" t="s">
        <v>1479</v>
      </c>
      <c r="B1173" s="1" t="s">
        <v>2637</v>
      </c>
    </row>
    <row r="1174" spans="1:2" x14ac:dyDescent="0.3">
      <c r="A1174" s="1" t="s">
        <v>1480</v>
      </c>
      <c r="B1174" s="1" t="s">
        <v>2638</v>
      </c>
    </row>
    <row r="1175" spans="1:2" x14ac:dyDescent="0.3">
      <c r="A1175" s="1" t="s">
        <v>1481</v>
      </c>
      <c r="B1175" s="1" t="s">
        <v>2637</v>
      </c>
    </row>
    <row r="1176" spans="1:2" x14ac:dyDescent="0.3">
      <c r="A1176" s="1" t="s">
        <v>1482</v>
      </c>
      <c r="B1176" s="1" t="s">
        <v>2638</v>
      </c>
    </row>
    <row r="1177" spans="1:2" x14ac:dyDescent="0.3">
      <c r="A1177" s="1" t="s">
        <v>1483</v>
      </c>
      <c r="B1177" s="1" t="s">
        <v>2637</v>
      </c>
    </row>
    <row r="1178" spans="1:2" x14ac:dyDescent="0.3">
      <c r="A1178" s="1" t="s">
        <v>1484</v>
      </c>
      <c r="B1178" s="1" t="s">
        <v>2637</v>
      </c>
    </row>
    <row r="1179" spans="1:2" x14ac:dyDescent="0.3">
      <c r="A1179" s="1" t="s">
        <v>1485</v>
      </c>
      <c r="B1179" s="1" t="s">
        <v>2637</v>
      </c>
    </row>
    <row r="1180" spans="1:2" x14ac:dyDescent="0.3">
      <c r="A1180" s="1" t="s">
        <v>1486</v>
      </c>
      <c r="B1180" s="1" t="s">
        <v>2637</v>
      </c>
    </row>
    <row r="1181" spans="1:2" x14ac:dyDescent="0.3">
      <c r="A1181" s="1" t="s">
        <v>1487</v>
      </c>
      <c r="B1181" s="1" t="s">
        <v>2637</v>
      </c>
    </row>
    <row r="1182" spans="1:2" x14ac:dyDescent="0.3">
      <c r="A1182" s="1" t="s">
        <v>1488</v>
      </c>
      <c r="B1182" s="1" t="s">
        <v>2637</v>
      </c>
    </row>
    <row r="1183" spans="1:2" x14ac:dyDescent="0.3">
      <c r="A1183" s="1" t="s">
        <v>1489</v>
      </c>
      <c r="B1183" s="1" t="s">
        <v>2638</v>
      </c>
    </row>
    <row r="1184" spans="1:2" x14ac:dyDescent="0.3">
      <c r="A1184" s="1" t="s">
        <v>1490</v>
      </c>
      <c r="B1184" s="1" t="s">
        <v>2637</v>
      </c>
    </row>
    <row r="1185" spans="1:2" x14ac:dyDescent="0.3">
      <c r="A1185" s="1" t="s">
        <v>1491</v>
      </c>
      <c r="B1185" s="1" t="s">
        <v>2638</v>
      </c>
    </row>
    <row r="1186" spans="1:2" x14ac:dyDescent="0.3">
      <c r="A1186" s="1" t="s">
        <v>1492</v>
      </c>
      <c r="B1186" s="1" t="s">
        <v>2637</v>
      </c>
    </row>
    <row r="1187" spans="1:2" x14ac:dyDescent="0.3">
      <c r="A1187" s="1" t="s">
        <v>1493</v>
      </c>
      <c r="B1187" s="1" t="s">
        <v>2637</v>
      </c>
    </row>
    <row r="1188" spans="1:2" x14ac:dyDescent="0.3">
      <c r="A1188" s="1" t="s">
        <v>1494</v>
      </c>
      <c r="B1188" s="1" t="s">
        <v>2637</v>
      </c>
    </row>
    <row r="1189" spans="1:2" x14ac:dyDescent="0.3">
      <c r="A1189" s="1" t="s">
        <v>1495</v>
      </c>
      <c r="B1189" s="1" t="s">
        <v>2637</v>
      </c>
    </row>
    <row r="1190" spans="1:2" x14ac:dyDescent="0.3">
      <c r="A1190" s="1" t="s">
        <v>1496</v>
      </c>
      <c r="B1190" s="1" t="s">
        <v>2637</v>
      </c>
    </row>
    <row r="1191" spans="1:2" x14ac:dyDescent="0.3">
      <c r="A1191" s="1" t="s">
        <v>1497</v>
      </c>
      <c r="B1191" s="1" t="s">
        <v>2637</v>
      </c>
    </row>
    <row r="1192" spans="1:2" x14ac:dyDescent="0.3">
      <c r="A1192" s="1" t="s">
        <v>1498</v>
      </c>
      <c r="B1192" s="1" t="s">
        <v>2638</v>
      </c>
    </row>
    <row r="1193" spans="1:2" x14ac:dyDescent="0.3">
      <c r="A1193" s="1" t="s">
        <v>1499</v>
      </c>
      <c r="B1193" s="1" t="s">
        <v>2637</v>
      </c>
    </row>
    <row r="1194" spans="1:2" x14ac:dyDescent="0.3">
      <c r="A1194" s="1" t="s">
        <v>1500</v>
      </c>
      <c r="B1194" s="1" t="s">
        <v>2637</v>
      </c>
    </row>
    <row r="1195" spans="1:2" x14ac:dyDescent="0.3">
      <c r="A1195" s="1" t="s">
        <v>1501</v>
      </c>
      <c r="B1195" s="1" t="s">
        <v>2637</v>
      </c>
    </row>
    <row r="1196" spans="1:2" x14ac:dyDescent="0.3">
      <c r="A1196" s="1" t="s">
        <v>1502</v>
      </c>
      <c r="B1196" s="1" t="s">
        <v>2637</v>
      </c>
    </row>
    <row r="1197" spans="1:2" x14ac:dyDescent="0.3">
      <c r="A1197" s="1" t="s">
        <v>1503</v>
      </c>
      <c r="B1197" s="1" t="s">
        <v>2637</v>
      </c>
    </row>
    <row r="1198" spans="1:2" x14ac:dyDescent="0.3">
      <c r="A1198" s="1" t="s">
        <v>1504</v>
      </c>
      <c r="B1198" s="1" t="s">
        <v>2637</v>
      </c>
    </row>
    <row r="1199" spans="1:2" x14ac:dyDescent="0.3">
      <c r="A1199" s="1" t="s">
        <v>1505</v>
      </c>
      <c r="B1199" s="1" t="s">
        <v>2638</v>
      </c>
    </row>
    <row r="1200" spans="1:2" x14ac:dyDescent="0.3">
      <c r="A1200" s="1" t="s">
        <v>1506</v>
      </c>
      <c r="B1200" s="1" t="s">
        <v>2637</v>
      </c>
    </row>
    <row r="1201" spans="1:2" x14ac:dyDescent="0.3">
      <c r="A1201" s="1" t="s">
        <v>1507</v>
      </c>
      <c r="B1201" s="1" t="s">
        <v>2637</v>
      </c>
    </row>
    <row r="1202" spans="1:2" x14ac:dyDescent="0.3">
      <c r="A1202" s="1" t="s">
        <v>1508</v>
      </c>
      <c r="B1202" s="1" t="s">
        <v>2637</v>
      </c>
    </row>
    <row r="1203" spans="1:2" x14ac:dyDescent="0.3">
      <c r="A1203" s="1" t="s">
        <v>1509</v>
      </c>
      <c r="B1203" s="1" t="s">
        <v>2637</v>
      </c>
    </row>
    <row r="1204" spans="1:2" x14ac:dyDescent="0.3">
      <c r="A1204" s="1" t="s">
        <v>1510</v>
      </c>
      <c r="B1204" s="1" t="s">
        <v>2637</v>
      </c>
    </row>
    <row r="1205" spans="1:2" x14ac:dyDescent="0.3">
      <c r="A1205" s="1" t="s">
        <v>1511</v>
      </c>
      <c r="B1205" s="1" t="s">
        <v>2638</v>
      </c>
    </row>
    <row r="1206" spans="1:2" x14ac:dyDescent="0.3">
      <c r="A1206" s="1" t="s">
        <v>1512</v>
      </c>
      <c r="B1206" s="1" t="s">
        <v>2637</v>
      </c>
    </row>
    <row r="1207" spans="1:2" x14ac:dyDescent="0.3">
      <c r="A1207" s="1" t="s">
        <v>1513</v>
      </c>
      <c r="B1207" s="1" t="s">
        <v>2638</v>
      </c>
    </row>
    <row r="1208" spans="1:2" x14ac:dyDescent="0.3">
      <c r="A1208" s="1" t="s">
        <v>1514</v>
      </c>
      <c r="B1208" s="1" t="s">
        <v>2637</v>
      </c>
    </row>
    <row r="1209" spans="1:2" x14ac:dyDescent="0.3">
      <c r="A1209" s="1" t="s">
        <v>1515</v>
      </c>
      <c r="B1209" s="1" t="s">
        <v>2637</v>
      </c>
    </row>
    <row r="1210" spans="1:2" x14ac:dyDescent="0.3">
      <c r="A1210" s="1" t="s">
        <v>1516</v>
      </c>
      <c r="B1210" s="1" t="s">
        <v>2637</v>
      </c>
    </row>
    <row r="1211" spans="1:2" x14ac:dyDescent="0.3">
      <c r="A1211" s="1" t="s">
        <v>1517</v>
      </c>
      <c r="B1211" s="1" t="s">
        <v>2637</v>
      </c>
    </row>
    <row r="1212" spans="1:2" x14ac:dyDescent="0.3">
      <c r="A1212" s="1" t="s">
        <v>1518</v>
      </c>
      <c r="B1212" s="1" t="s">
        <v>2638</v>
      </c>
    </row>
    <row r="1213" spans="1:2" x14ac:dyDescent="0.3">
      <c r="A1213" s="1" t="s">
        <v>1519</v>
      </c>
      <c r="B1213" s="1" t="s">
        <v>2637</v>
      </c>
    </row>
    <row r="1214" spans="1:2" x14ac:dyDescent="0.3">
      <c r="A1214" s="1" t="s">
        <v>1520</v>
      </c>
      <c r="B1214" s="1" t="s">
        <v>2637</v>
      </c>
    </row>
    <row r="1215" spans="1:2" x14ac:dyDescent="0.3">
      <c r="A1215" s="1" t="s">
        <v>1521</v>
      </c>
      <c r="B1215" s="1" t="s">
        <v>2637</v>
      </c>
    </row>
    <row r="1216" spans="1:2" x14ac:dyDescent="0.3">
      <c r="A1216" s="1" t="s">
        <v>1522</v>
      </c>
      <c r="B1216" s="1" t="s">
        <v>2637</v>
      </c>
    </row>
    <row r="1217" spans="1:2" x14ac:dyDescent="0.3">
      <c r="A1217" s="1" t="s">
        <v>1523</v>
      </c>
      <c r="B1217" s="1" t="s">
        <v>2637</v>
      </c>
    </row>
    <row r="1218" spans="1:2" x14ac:dyDescent="0.3">
      <c r="A1218" s="1" t="s">
        <v>1524</v>
      </c>
      <c r="B1218" s="1" t="s">
        <v>2637</v>
      </c>
    </row>
    <row r="1219" spans="1:2" x14ac:dyDescent="0.3">
      <c r="A1219" s="1" t="s">
        <v>1525</v>
      </c>
      <c r="B1219" s="1" t="s">
        <v>2638</v>
      </c>
    </row>
    <row r="1220" spans="1:2" x14ac:dyDescent="0.3">
      <c r="A1220" s="1" t="s">
        <v>1526</v>
      </c>
      <c r="B1220" s="1" t="s">
        <v>2637</v>
      </c>
    </row>
    <row r="1221" spans="1:2" x14ac:dyDescent="0.3">
      <c r="A1221" s="1" t="s">
        <v>1527</v>
      </c>
      <c r="B1221" s="1" t="s">
        <v>2638</v>
      </c>
    </row>
    <row r="1222" spans="1:2" x14ac:dyDescent="0.3">
      <c r="A1222" s="1" t="s">
        <v>1528</v>
      </c>
      <c r="B1222" s="1" t="s">
        <v>2637</v>
      </c>
    </row>
    <row r="1223" spans="1:2" x14ac:dyDescent="0.3">
      <c r="A1223" s="1" t="s">
        <v>1529</v>
      </c>
      <c r="B1223" s="1" t="s">
        <v>2637</v>
      </c>
    </row>
    <row r="1224" spans="1:2" x14ac:dyDescent="0.3">
      <c r="A1224" s="1" t="s">
        <v>1530</v>
      </c>
      <c r="B1224" s="1" t="s">
        <v>2638</v>
      </c>
    </row>
    <row r="1225" spans="1:2" x14ac:dyDescent="0.3">
      <c r="A1225" s="1" t="s">
        <v>1531</v>
      </c>
      <c r="B1225" s="1" t="s">
        <v>2638</v>
      </c>
    </row>
    <row r="1226" spans="1:2" x14ac:dyDescent="0.3">
      <c r="A1226" s="1" t="s">
        <v>1532</v>
      </c>
      <c r="B1226" s="1" t="s">
        <v>2637</v>
      </c>
    </row>
    <row r="1227" spans="1:2" x14ac:dyDescent="0.3">
      <c r="A1227" s="1" t="s">
        <v>1533</v>
      </c>
      <c r="B1227" s="1" t="s">
        <v>2637</v>
      </c>
    </row>
    <row r="1228" spans="1:2" x14ac:dyDescent="0.3">
      <c r="A1228" s="1" t="s">
        <v>1534</v>
      </c>
      <c r="B1228" s="1" t="s">
        <v>2638</v>
      </c>
    </row>
    <row r="1229" spans="1:2" x14ac:dyDescent="0.3">
      <c r="A1229" s="1" t="s">
        <v>1535</v>
      </c>
      <c r="B1229" s="1" t="s">
        <v>2638</v>
      </c>
    </row>
    <row r="1230" spans="1:2" x14ac:dyDescent="0.3">
      <c r="A1230" s="1" t="s">
        <v>1536</v>
      </c>
      <c r="B1230" s="1" t="s">
        <v>2637</v>
      </c>
    </row>
    <row r="1231" spans="1:2" x14ac:dyDescent="0.3">
      <c r="A1231" s="1" t="s">
        <v>1537</v>
      </c>
      <c r="B1231" s="1" t="s">
        <v>2637</v>
      </c>
    </row>
    <row r="1232" spans="1:2" x14ac:dyDescent="0.3">
      <c r="A1232" s="1" t="s">
        <v>1538</v>
      </c>
      <c r="B1232" s="1" t="s">
        <v>2637</v>
      </c>
    </row>
    <row r="1233" spans="1:2" x14ac:dyDescent="0.3">
      <c r="A1233" s="1" t="s">
        <v>1539</v>
      </c>
      <c r="B1233" s="1" t="s">
        <v>2638</v>
      </c>
    </row>
    <row r="1234" spans="1:2" x14ac:dyDescent="0.3">
      <c r="A1234" s="1" t="s">
        <v>1540</v>
      </c>
      <c r="B1234" s="1" t="s">
        <v>2637</v>
      </c>
    </row>
    <row r="1235" spans="1:2" x14ac:dyDescent="0.3">
      <c r="A1235" s="1" t="s">
        <v>1541</v>
      </c>
      <c r="B1235" s="1" t="s">
        <v>2638</v>
      </c>
    </row>
    <row r="1236" spans="1:2" x14ac:dyDescent="0.3">
      <c r="A1236" s="1" t="s">
        <v>1542</v>
      </c>
      <c r="B1236" s="1" t="s">
        <v>2638</v>
      </c>
    </row>
    <row r="1237" spans="1:2" x14ac:dyDescent="0.3">
      <c r="A1237" s="1" t="s">
        <v>1543</v>
      </c>
      <c r="B1237" s="1" t="s">
        <v>2637</v>
      </c>
    </row>
    <row r="1238" spans="1:2" x14ac:dyDescent="0.3">
      <c r="A1238" s="1" t="s">
        <v>1544</v>
      </c>
      <c r="B1238" s="1" t="s">
        <v>2637</v>
      </c>
    </row>
    <row r="1239" spans="1:2" x14ac:dyDescent="0.3">
      <c r="A1239" s="1" t="s">
        <v>1545</v>
      </c>
      <c r="B1239" s="1" t="s">
        <v>2637</v>
      </c>
    </row>
    <row r="1240" spans="1:2" x14ac:dyDescent="0.3">
      <c r="A1240" s="1" t="s">
        <v>1546</v>
      </c>
      <c r="B1240" s="1" t="s">
        <v>2637</v>
      </c>
    </row>
    <row r="1241" spans="1:2" x14ac:dyDescent="0.3">
      <c r="A1241" s="1" t="s">
        <v>1547</v>
      </c>
      <c r="B1241" s="1" t="s">
        <v>2637</v>
      </c>
    </row>
    <row r="1242" spans="1:2" x14ac:dyDescent="0.3">
      <c r="A1242" s="1" t="s">
        <v>1548</v>
      </c>
      <c r="B1242" s="1" t="s">
        <v>2637</v>
      </c>
    </row>
    <row r="1243" spans="1:2" x14ac:dyDescent="0.3">
      <c r="A1243" s="1" t="s">
        <v>1549</v>
      </c>
      <c r="B1243" s="1" t="s">
        <v>2637</v>
      </c>
    </row>
    <row r="1244" spans="1:2" x14ac:dyDescent="0.3">
      <c r="A1244" s="1" t="s">
        <v>1550</v>
      </c>
      <c r="B1244" s="1" t="s">
        <v>2637</v>
      </c>
    </row>
    <row r="1245" spans="1:2" x14ac:dyDescent="0.3">
      <c r="A1245" s="1" t="s">
        <v>1551</v>
      </c>
      <c r="B1245" s="1" t="s">
        <v>2637</v>
      </c>
    </row>
    <row r="1246" spans="1:2" x14ac:dyDescent="0.3">
      <c r="A1246" s="1" t="s">
        <v>1552</v>
      </c>
      <c r="B1246" s="1" t="s">
        <v>2637</v>
      </c>
    </row>
    <row r="1247" spans="1:2" x14ac:dyDescent="0.3">
      <c r="A1247" s="1" t="s">
        <v>1553</v>
      </c>
      <c r="B1247" s="1" t="s">
        <v>2637</v>
      </c>
    </row>
    <row r="1248" spans="1:2" x14ac:dyDescent="0.3">
      <c r="A1248" s="1" t="s">
        <v>1554</v>
      </c>
      <c r="B1248" s="1" t="s">
        <v>2637</v>
      </c>
    </row>
    <row r="1249" spans="1:2" x14ac:dyDescent="0.3">
      <c r="A1249" s="1" t="s">
        <v>1555</v>
      </c>
      <c r="B1249" s="1" t="s">
        <v>2637</v>
      </c>
    </row>
    <row r="1250" spans="1:2" x14ac:dyDescent="0.3">
      <c r="A1250" s="1" t="s">
        <v>1556</v>
      </c>
      <c r="B1250" s="1" t="s">
        <v>2637</v>
      </c>
    </row>
    <row r="1251" spans="1:2" x14ac:dyDescent="0.3">
      <c r="A1251" s="1" t="s">
        <v>1557</v>
      </c>
      <c r="B1251" s="1" t="s">
        <v>2637</v>
      </c>
    </row>
    <row r="1252" spans="1:2" x14ac:dyDescent="0.3">
      <c r="A1252" s="1" t="s">
        <v>1558</v>
      </c>
      <c r="B1252" s="1" t="s">
        <v>2637</v>
      </c>
    </row>
    <row r="1253" spans="1:2" x14ac:dyDescent="0.3">
      <c r="A1253" s="1" t="s">
        <v>1559</v>
      </c>
      <c r="B1253" s="1" t="s">
        <v>2638</v>
      </c>
    </row>
    <row r="1254" spans="1:2" x14ac:dyDescent="0.3">
      <c r="A1254" s="1" t="s">
        <v>1560</v>
      </c>
      <c r="B1254" s="1" t="s">
        <v>2637</v>
      </c>
    </row>
    <row r="1255" spans="1:2" x14ac:dyDescent="0.3">
      <c r="A1255" s="1" t="s">
        <v>1561</v>
      </c>
      <c r="B1255" s="1" t="s">
        <v>2637</v>
      </c>
    </row>
    <row r="1256" spans="1:2" x14ac:dyDescent="0.3">
      <c r="A1256" s="1" t="s">
        <v>1562</v>
      </c>
      <c r="B1256" s="1" t="s">
        <v>2637</v>
      </c>
    </row>
    <row r="1257" spans="1:2" x14ac:dyDescent="0.3">
      <c r="A1257" s="1" t="s">
        <v>1563</v>
      </c>
      <c r="B1257" s="1" t="s">
        <v>2637</v>
      </c>
    </row>
    <row r="1258" spans="1:2" x14ac:dyDescent="0.3">
      <c r="A1258" s="1" t="s">
        <v>1564</v>
      </c>
      <c r="B1258" s="1" t="s">
        <v>2638</v>
      </c>
    </row>
    <row r="1259" spans="1:2" x14ac:dyDescent="0.3">
      <c r="A1259" s="1" t="s">
        <v>1565</v>
      </c>
      <c r="B1259" s="1" t="s">
        <v>2637</v>
      </c>
    </row>
    <row r="1260" spans="1:2" x14ac:dyDescent="0.3">
      <c r="A1260" s="1" t="s">
        <v>1566</v>
      </c>
      <c r="B1260" s="1" t="s">
        <v>2637</v>
      </c>
    </row>
    <row r="1261" spans="1:2" x14ac:dyDescent="0.3">
      <c r="A1261" s="1" t="s">
        <v>1567</v>
      </c>
      <c r="B1261" s="1" t="s">
        <v>2637</v>
      </c>
    </row>
    <row r="1262" spans="1:2" x14ac:dyDescent="0.3">
      <c r="A1262" s="1" t="s">
        <v>1568</v>
      </c>
      <c r="B1262" s="1" t="s">
        <v>2637</v>
      </c>
    </row>
    <row r="1263" spans="1:2" x14ac:dyDescent="0.3">
      <c r="A1263" s="1" t="s">
        <v>1569</v>
      </c>
      <c r="B1263" s="1" t="s">
        <v>2637</v>
      </c>
    </row>
    <row r="1264" spans="1:2" x14ac:dyDescent="0.3">
      <c r="A1264" s="1" t="s">
        <v>1570</v>
      </c>
      <c r="B1264" s="1" t="s">
        <v>2637</v>
      </c>
    </row>
    <row r="1265" spans="1:2" x14ac:dyDescent="0.3">
      <c r="A1265" s="1" t="s">
        <v>1571</v>
      </c>
      <c r="B1265" s="1" t="s">
        <v>2637</v>
      </c>
    </row>
    <row r="1266" spans="1:2" x14ac:dyDescent="0.3">
      <c r="A1266" s="1" t="s">
        <v>1572</v>
      </c>
      <c r="B1266" s="1" t="s">
        <v>2638</v>
      </c>
    </row>
    <row r="1267" spans="1:2" x14ac:dyDescent="0.3">
      <c r="A1267" s="1" t="s">
        <v>1573</v>
      </c>
      <c r="B1267" s="1" t="s">
        <v>2637</v>
      </c>
    </row>
    <row r="1268" spans="1:2" x14ac:dyDescent="0.3">
      <c r="A1268" s="1" t="s">
        <v>1574</v>
      </c>
      <c r="B1268" s="1" t="s">
        <v>2637</v>
      </c>
    </row>
    <row r="1269" spans="1:2" x14ac:dyDescent="0.3">
      <c r="A1269" s="1" t="s">
        <v>1575</v>
      </c>
      <c r="B1269" s="1" t="s">
        <v>2637</v>
      </c>
    </row>
    <row r="1270" spans="1:2" x14ac:dyDescent="0.3">
      <c r="A1270" s="1" t="s">
        <v>1576</v>
      </c>
      <c r="B1270" s="1" t="s">
        <v>2637</v>
      </c>
    </row>
    <row r="1271" spans="1:2" x14ac:dyDescent="0.3">
      <c r="A1271" s="1" t="s">
        <v>1577</v>
      </c>
      <c r="B1271" s="1" t="s">
        <v>2637</v>
      </c>
    </row>
    <row r="1272" spans="1:2" x14ac:dyDescent="0.3">
      <c r="A1272" s="1" t="s">
        <v>1578</v>
      </c>
      <c r="B1272" s="1" t="s">
        <v>2638</v>
      </c>
    </row>
    <row r="1273" spans="1:2" x14ac:dyDescent="0.3">
      <c r="A1273" s="1" t="s">
        <v>1579</v>
      </c>
      <c r="B1273" s="1" t="s">
        <v>2638</v>
      </c>
    </row>
    <row r="1274" spans="1:2" x14ac:dyDescent="0.3">
      <c r="A1274" s="1" t="s">
        <v>1580</v>
      </c>
      <c r="B1274" s="1" t="s">
        <v>2637</v>
      </c>
    </row>
    <row r="1275" spans="1:2" x14ac:dyDescent="0.3">
      <c r="A1275" s="1" t="s">
        <v>1581</v>
      </c>
      <c r="B1275" s="1" t="s">
        <v>2637</v>
      </c>
    </row>
    <row r="1276" spans="1:2" x14ac:dyDescent="0.3">
      <c r="A1276" s="1" t="s">
        <v>1582</v>
      </c>
      <c r="B1276" s="1" t="s">
        <v>2637</v>
      </c>
    </row>
    <row r="1277" spans="1:2" x14ac:dyDescent="0.3">
      <c r="A1277" s="1" t="s">
        <v>1583</v>
      </c>
      <c r="B1277" s="1" t="s">
        <v>2637</v>
      </c>
    </row>
    <row r="1278" spans="1:2" x14ac:dyDescent="0.3">
      <c r="A1278" s="1" t="s">
        <v>1584</v>
      </c>
      <c r="B1278" s="1" t="s">
        <v>2637</v>
      </c>
    </row>
    <row r="1279" spans="1:2" x14ac:dyDescent="0.3">
      <c r="A1279" s="1" t="s">
        <v>1585</v>
      </c>
      <c r="B1279" s="1" t="s">
        <v>2637</v>
      </c>
    </row>
    <row r="1280" spans="1:2" x14ac:dyDescent="0.3">
      <c r="A1280" s="1" t="s">
        <v>1586</v>
      </c>
      <c r="B1280" s="1" t="s">
        <v>2637</v>
      </c>
    </row>
    <row r="1281" spans="1:2" x14ac:dyDescent="0.3">
      <c r="A1281" s="1" t="s">
        <v>1587</v>
      </c>
      <c r="B1281" s="1" t="s">
        <v>2637</v>
      </c>
    </row>
    <row r="1282" spans="1:2" x14ac:dyDescent="0.3">
      <c r="A1282" s="1" t="s">
        <v>1588</v>
      </c>
      <c r="B1282" s="1" t="s">
        <v>2638</v>
      </c>
    </row>
    <row r="1283" spans="1:2" x14ac:dyDescent="0.3">
      <c r="A1283" s="1" t="s">
        <v>1589</v>
      </c>
      <c r="B1283" s="1" t="s">
        <v>2638</v>
      </c>
    </row>
    <row r="1284" spans="1:2" x14ac:dyDescent="0.3">
      <c r="A1284" s="1" t="s">
        <v>1590</v>
      </c>
      <c r="B1284" s="1" t="s">
        <v>2638</v>
      </c>
    </row>
    <row r="1285" spans="1:2" x14ac:dyDescent="0.3">
      <c r="A1285" s="1" t="s">
        <v>1591</v>
      </c>
      <c r="B1285" s="1" t="s">
        <v>2638</v>
      </c>
    </row>
    <row r="1286" spans="1:2" x14ac:dyDescent="0.3">
      <c r="A1286" s="1" t="s">
        <v>1592</v>
      </c>
      <c r="B1286" s="1" t="s">
        <v>2638</v>
      </c>
    </row>
    <row r="1287" spans="1:2" x14ac:dyDescent="0.3">
      <c r="A1287" s="1" t="s">
        <v>1593</v>
      </c>
      <c r="B1287" s="1" t="s">
        <v>2637</v>
      </c>
    </row>
    <row r="1288" spans="1:2" x14ac:dyDescent="0.3">
      <c r="A1288" s="1" t="s">
        <v>1594</v>
      </c>
      <c r="B1288" s="1" t="s">
        <v>2637</v>
      </c>
    </row>
    <row r="1289" spans="1:2" x14ac:dyDescent="0.3">
      <c r="A1289" s="1" t="s">
        <v>1595</v>
      </c>
      <c r="B1289" s="1" t="s">
        <v>2637</v>
      </c>
    </row>
    <row r="1290" spans="1:2" x14ac:dyDescent="0.3">
      <c r="A1290" s="1" t="s">
        <v>1596</v>
      </c>
      <c r="B1290" s="1" t="s">
        <v>2638</v>
      </c>
    </row>
    <row r="1291" spans="1:2" x14ac:dyDescent="0.3">
      <c r="A1291" s="1" t="s">
        <v>1597</v>
      </c>
      <c r="B1291" s="1" t="s">
        <v>2637</v>
      </c>
    </row>
    <row r="1292" spans="1:2" x14ac:dyDescent="0.3">
      <c r="A1292" s="1" t="s">
        <v>1598</v>
      </c>
      <c r="B1292" s="1" t="s">
        <v>2637</v>
      </c>
    </row>
    <row r="1293" spans="1:2" x14ac:dyDescent="0.3">
      <c r="A1293" s="1" t="s">
        <v>1599</v>
      </c>
      <c r="B1293" s="1" t="s">
        <v>2638</v>
      </c>
    </row>
    <row r="1294" spans="1:2" x14ac:dyDescent="0.3">
      <c r="A1294" s="1" t="s">
        <v>1600</v>
      </c>
      <c r="B1294" s="1" t="s">
        <v>2637</v>
      </c>
    </row>
    <row r="1295" spans="1:2" x14ac:dyDescent="0.3">
      <c r="A1295" s="1" t="s">
        <v>1601</v>
      </c>
      <c r="B1295" s="1" t="s">
        <v>2638</v>
      </c>
    </row>
    <row r="1296" spans="1:2" x14ac:dyDescent="0.3">
      <c r="A1296" s="1" t="s">
        <v>1602</v>
      </c>
      <c r="B1296" s="1" t="s">
        <v>2637</v>
      </c>
    </row>
    <row r="1297" spans="1:2" x14ac:dyDescent="0.3">
      <c r="A1297" s="1" t="s">
        <v>1603</v>
      </c>
      <c r="B1297" s="1" t="s">
        <v>2637</v>
      </c>
    </row>
    <row r="1298" spans="1:2" x14ac:dyDescent="0.3">
      <c r="A1298" s="1" t="s">
        <v>1604</v>
      </c>
      <c r="B1298" s="1" t="s">
        <v>2637</v>
      </c>
    </row>
    <row r="1299" spans="1:2" x14ac:dyDescent="0.3">
      <c r="A1299" s="1" t="s">
        <v>1605</v>
      </c>
      <c r="B1299" s="1" t="s">
        <v>2637</v>
      </c>
    </row>
    <row r="1300" spans="1:2" x14ac:dyDescent="0.3">
      <c r="A1300" s="1" t="s">
        <v>1606</v>
      </c>
      <c r="B1300" s="1" t="s">
        <v>2637</v>
      </c>
    </row>
    <row r="1301" spans="1:2" x14ac:dyDescent="0.3">
      <c r="A1301" s="1" t="s">
        <v>1607</v>
      </c>
      <c r="B1301" s="1" t="s">
        <v>2637</v>
      </c>
    </row>
    <row r="1302" spans="1:2" x14ac:dyDescent="0.3">
      <c r="A1302" s="1" t="s">
        <v>1608</v>
      </c>
      <c r="B1302" s="1" t="s">
        <v>2637</v>
      </c>
    </row>
    <row r="1303" spans="1:2" x14ac:dyDescent="0.3">
      <c r="A1303" s="1" t="s">
        <v>1609</v>
      </c>
      <c r="B1303" s="1" t="s">
        <v>2638</v>
      </c>
    </row>
    <row r="1304" spans="1:2" x14ac:dyDescent="0.3">
      <c r="A1304" s="1" t="s">
        <v>1610</v>
      </c>
      <c r="B1304" s="1" t="s">
        <v>2638</v>
      </c>
    </row>
    <row r="1305" spans="1:2" x14ac:dyDescent="0.3">
      <c r="A1305" s="1" t="s">
        <v>1611</v>
      </c>
      <c r="B1305" s="1" t="s">
        <v>2637</v>
      </c>
    </row>
    <row r="1306" spans="1:2" x14ac:dyDescent="0.3">
      <c r="A1306" s="1" t="s">
        <v>1612</v>
      </c>
      <c r="B1306" s="1" t="s">
        <v>2637</v>
      </c>
    </row>
    <row r="1307" spans="1:2" x14ac:dyDescent="0.3">
      <c r="A1307" s="1" t="s">
        <v>1613</v>
      </c>
      <c r="B1307" s="1" t="s">
        <v>2637</v>
      </c>
    </row>
    <row r="1308" spans="1:2" x14ac:dyDescent="0.3">
      <c r="A1308" s="1" t="s">
        <v>1614</v>
      </c>
      <c r="B1308" s="1" t="s">
        <v>2638</v>
      </c>
    </row>
    <row r="1309" spans="1:2" x14ac:dyDescent="0.3">
      <c r="A1309" s="1" t="s">
        <v>1615</v>
      </c>
      <c r="B1309" s="1" t="s">
        <v>2637</v>
      </c>
    </row>
    <row r="1310" spans="1:2" x14ac:dyDescent="0.3">
      <c r="A1310" s="1" t="s">
        <v>1616</v>
      </c>
      <c r="B1310" s="1" t="s">
        <v>2637</v>
      </c>
    </row>
    <row r="1311" spans="1:2" x14ac:dyDescent="0.3">
      <c r="A1311" s="1" t="s">
        <v>1617</v>
      </c>
      <c r="B1311" s="1" t="s">
        <v>2637</v>
      </c>
    </row>
    <row r="1312" spans="1:2" x14ac:dyDescent="0.3">
      <c r="A1312" s="1" t="s">
        <v>1618</v>
      </c>
      <c r="B1312" s="1" t="s">
        <v>2637</v>
      </c>
    </row>
    <row r="1313" spans="1:2" x14ac:dyDescent="0.3">
      <c r="A1313" s="1" t="s">
        <v>1619</v>
      </c>
      <c r="B1313" s="1" t="s">
        <v>2637</v>
      </c>
    </row>
    <row r="1314" spans="1:2" x14ac:dyDescent="0.3">
      <c r="A1314" s="1" t="s">
        <v>1620</v>
      </c>
      <c r="B1314" s="1" t="s">
        <v>2638</v>
      </c>
    </row>
    <row r="1315" spans="1:2" x14ac:dyDescent="0.3">
      <c r="A1315" s="1" t="s">
        <v>1621</v>
      </c>
      <c r="B1315" s="1" t="s">
        <v>2637</v>
      </c>
    </row>
    <row r="1316" spans="1:2" x14ac:dyDescent="0.3">
      <c r="A1316" s="1" t="s">
        <v>1622</v>
      </c>
      <c r="B1316" s="1" t="s">
        <v>2637</v>
      </c>
    </row>
    <row r="1317" spans="1:2" x14ac:dyDescent="0.3">
      <c r="A1317" s="1" t="s">
        <v>1623</v>
      </c>
      <c r="B1317" s="1" t="s">
        <v>2637</v>
      </c>
    </row>
    <row r="1318" spans="1:2" x14ac:dyDescent="0.3">
      <c r="A1318" s="1" t="s">
        <v>1624</v>
      </c>
      <c r="B1318" s="1" t="s">
        <v>2637</v>
      </c>
    </row>
    <row r="1319" spans="1:2" x14ac:dyDescent="0.3">
      <c r="A1319" s="1" t="s">
        <v>1625</v>
      </c>
      <c r="B1319" s="1" t="s">
        <v>2637</v>
      </c>
    </row>
    <row r="1320" spans="1:2" x14ac:dyDescent="0.3">
      <c r="A1320" s="1" t="s">
        <v>1626</v>
      </c>
      <c r="B1320" s="1" t="s">
        <v>2637</v>
      </c>
    </row>
    <row r="1321" spans="1:2" x14ac:dyDescent="0.3">
      <c r="A1321" s="1" t="s">
        <v>1627</v>
      </c>
      <c r="B1321" s="1" t="s">
        <v>2637</v>
      </c>
    </row>
    <row r="1322" spans="1:2" x14ac:dyDescent="0.3">
      <c r="A1322" s="1" t="s">
        <v>1628</v>
      </c>
      <c r="B1322" s="1" t="s">
        <v>2637</v>
      </c>
    </row>
    <row r="1323" spans="1:2" x14ac:dyDescent="0.3">
      <c r="A1323" s="1" t="s">
        <v>1629</v>
      </c>
      <c r="B1323" s="1" t="s">
        <v>2637</v>
      </c>
    </row>
    <row r="1324" spans="1:2" x14ac:dyDescent="0.3">
      <c r="A1324" s="1" t="s">
        <v>1630</v>
      </c>
      <c r="B1324" s="1" t="s">
        <v>2637</v>
      </c>
    </row>
    <row r="1325" spans="1:2" x14ac:dyDescent="0.3">
      <c r="A1325" s="1" t="s">
        <v>1631</v>
      </c>
      <c r="B1325" s="1" t="s">
        <v>2637</v>
      </c>
    </row>
    <row r="1326" spans="1:2" x14ac:dyDescent="0.3">
      <c r="A1326" s="1" t="s">
        <v>1632</v>
      </c>
      <c r="B1326" s="1" t="s">
        <v>2637</v>
      </c>
    </row>
    <row r="1327" spans="1:2" x14ac:dyDescent="0.3">
      <c r="A1327" s="1" t="s">
        <v>1633</v>
      </c>
      <c r="B1327" s="1" t="s">
        <v>2637</v>
      </c>
    </row>
    <row r="1328" spans="1:2" x14ac:dyDescent="0.3">
      <c r="A1328" s="1" t="s">
        <v>1634</v>
      </c>
      <c r="B1328" s="1" t="s">
        <v>2638</v>
      </c>
    </row>
    <row r="1329" spans="1:2" x14ac:dyDescent="0.3">
      <c r="A1329" s="1" t="s">
        <v>1635</v>
      </c>
      <c r="B1329" s="1" t="s">
        <v>2637</v>
      </c>
    </row>
    <row r="1330" spans="1:2" x14ac:dyDescent="0.3">
      <c r="A1330" s="1" t="s">
        <v>1636</v>
      </c>
      <c r="B1330" s="1" t="s">
        <v>2638</v>
      </c>
    </row>
    <row r="1331" spans="1:2" x14ac:dyDescent="0.3">
      <c r="A1331" s="1" t="s">
        <v>1637</v>
      </c>
      <c r="B1331" s="1" t="s">
        <v>2637</v>
      </c>
    </row>
    <row r="1332" spans="1:2" x14ac:dyDescent="0.3">
      <c r="A1332" s="1" t="s">
        <v>1638</v>
      </c>
      <c r="B1332" s="1" t="s">
        <v>2637</v>
      </c>
    </row>
    <row r="1333" spans="1:2" x14ac:dyDescent="0.3">
      <c r="A1333" s="1" t="s">
        <v>1639</v>
      </c>
      <c r="B1333" s="1" t="s">
        <v>2637</v>
      </c>
    </row>
    <row r="1334" spans="1:2" x14ac:dyDescent="0.3">
      <c r="A1334" s="1" t="s">
        <v>1640</v>
      </c>
      <c r="B1334" s="1" t="s">
        <v>2637</v>
      </c>
    </row>
    <row r="1335" spans="1:2" x14ac:dyDescent="0.3">
      <c r="A1335" s="1" t="s">
        <v>1641</v>
      </c>
      <c r="B1335" s="1" t="s">
        <v>2637</v>
      </c>
    </row>
    <row r="1336" spans="1:2" x14ac:dyDescent="0.3">
      <c r="A1336" s="1" t="s">
        <v>1642</v>
      </c>
      <c r="B1336" s="1" t="s">
        <v>2637</v>
      </c>
    </row>
    <row r="1337" spans="1:2" x14ac:dyDescent="0.3">
      <c r="A1337" s="1" t="s">
        <v>1643</v>
      </c>
      <c r="B1337" s="1" t="s">
        <v>2638</v>
      </c>
    </row>
    <row r="1338" spans="1:2" x14ac:dyDescent="0.3">
      <c r="A1338" s="1" t="s">
        <v>1644</v>
      </c>
      <c r="B1338" s="1" t="s">
        <v>2638</v>
      </c>
    </row>
    <row r="1339" spans="1:2" x14ac:dyDescent="0.3">
      <c r="A1339" s="1" t="s">
        <v>1645</v>
      </c>
      <c r="B1339" s="1" t="s">
        <v>2637</v>
      </c>
    </row>
    <row r="1340" spans="1:2" x14ac:dyDescent="0.3">
      <c r="A1340" s="1" t="s">
        <v>1646</v>
      </c>
      <c r="B1340" s="1" t="s">
        <v>2637</v>
      </c>
    </row>
    <row r="1341" spans="1:2" x14ac:dyDescent="0.3">
      <c r="A1341" s="1" t="s">
        <v>1647</v>
      </c>
      <c r="B1341" s="1" t="s">
        <v>2638</v>
      </c>
    </row>
    <row r="1342" spans="1:2" x14ac:dyDescent="0.3">
      <c r="A1342" s="1" t="s">
        <v>1648</v>
      </c>
      <c r="B1342" s="1" t="s">
        <v>2638</v>
      </c>
    </row>
    <row r="1343" spans="1:2" x14ac:dyDescent="0.3">
      <c r="A1343" s="1" t="s">
        <v>1649</v>
      </c>
      <c r="B1343" s="1" t="s">
        <v>2637</v>
      </c>
    </row>
    <row r="1344" spans="1:2" x14ac:dyDescent="0.3">
      <c r="A1344" s="1" t="s">
        <v>1650</v>
      </c>
      <c r="B1344" s="1" t="s">
        <v>2637</v>
      </c>
    </row>
    <row r="1345" spans="1:2" x14ac:dyDescent="0.3">
      <c r="A1345" s="1" t="s">
        <v>1651</v>
      </c>
      <c r="B1345" s="1" t="s">
        <v>2637</v>
      </c>
    </row>
    <row r="1346" spans="1:2" x14ac:dyDescent="0.3">
      <c r="A1346" s="1" t="s">
        <v>1652</v>
      </c>
      <c r="B1346" s="1" t="s">
        <v>2638</v>
      </c>
    </row>
    <row r="1347" spans="1:2" x14ac:dyDescent="0.3">
      <c r="A1347" s="1" t="s">
        <v>1653</v>
      </c>
      <c r="B1347" s="1" t="s">
        <v>2638</v>
      </c>
    </row>
    <row r="1348" spans="1:2" x14ac:dyDescent="0.3">
      <c r="A1348" s="1" t="s">
        <v>1654</v>
      </c>
      <c r="B1348" s="1" t="s">
        <v>2637</v>
      </c>
    </row>
    <row r="1349" spans="1:2" x14ac:dyDescent="0.3">
      <c r="A1349" s="1" t="s">
        <v>1655</v>
      </c>
      <c r="B1349" s="1" t="s">
        <v>2637</v>
      </c>
    </row>
    <row r="1350" spans="1:2" x14ac:dyDescent="0.3">
      <c r="A1350" s="1" t="s">
        <v>1656</v>
      </c>
      <c r="B1350" s="1" t="s">
        <v>2637</v>
      </c>
    </row>
    <row r="1351" spans="1:2" x14ac:dyDescent="0.3">
      <c r="A1351" s="1" t="s">
        <v>1657</v>
      </c>
      <c r="B1351" s="1" t="s">
        <v>2637</v>
      </c>
    </row>
    <row r="1352" spans="1:2" x14ac:dyDescent="0.3">
      <c r="A1352" s="1" t="s">
        <v>1658</v>
      </c>
      <c r="B1352" s="1" t="s">
        <v>2637</v>
      </c>
    </row>
    <row r="1353" spans="1:2" x14ac:dyDescent="0.3">
      <c r="A1353" s="1" t="s">
        <v>1659</v>
      </c>
      <c r="B1353" s="1" t="s">
        <v>2638</v>
      </c>
    </row>
    <row r="1354" spans="1:2" x14ac:dyDescent="0.3">
      <c r="A1354" s="1" t="s">
        <v>1660</v>
      </c>
      <c r="B1354" s="1" t="s">
        <v>2637</v>
      </c>
    </row>
    <row r="1355" spans="1:2" x14ac:dyDescent="0.3">
      <c r="A1355" s="1" t="s">
        <v>1661</v>
      </c>
      <c r="B1355" s="1" t="s">
        <v>2637</v>
      </c>
    </row>
    <row r="1356" spans="1:2" x14ac:dyDescent="0.3">
      <c r="A1356" s="1" t="s">
        <v>1662</v>
      </c>
      <c r="B1356" s="1" t="s">
        <v>2637</v>
      </c>
    </row>
    <row r="1357" spans="1:2" x14ac:dyDescent="0.3">
      <c r="A1357" s="1" t="s">
        <v>1663</v>
      </c>
      <c r="B1357" s="1" t="s">
        <v>2637</v>
      </c>
    </row>
    <row r="1358" spans="1:2" x14ac:dyDescent="0.3">
      <c r="A1358" s="1" t="s">
        <v>1664</v>
      </c>
      <c r="B1358" s="1" t="s">
        <v>2637</v>
      </c>
    </row>
    <row r="1359" spans="1:2" x14ac:dyDescent="0.3">
      <c r="A1359" s="1" t="s">
        <v>1665</v>
      </c>
      <c r="B1359" s="1" t="s">
        <v>2638</v>
      </c>
    </row>
    <row r="1360" spans="1:2" x14ac:dyDescent="0.3">
      <c r="A1360" s="1" t="s">
        <v>1666</v>
      </c>
      <c r="B1360" s="1" t="s">
        <v>2637</v>
      </c>
    </row>
    <row r="1361" spans="1:2" x14ac:dyDescent="0.3">
      <c r="A1361" s="1" t="s">
        <v>1667</v>
      </c>
      <c r="B1361" s="1" t="s">
        <v>2637</v>
      </c>
    </row>
    <row r="1362" spans="1:2" x14ac:dyDescent="0.3">
      <c r="A1362" s="1" t="s">
        <v>1668</v>
      </c>
      <c r="B1362" s="1" t="s">
        <v>2637</v>
      </c>
    </row>
    <row r="1363" spans="1:2" x14ac:dyDescent="0.3">
      <c r="A1363" s="1" t="s">
        <v>1669</v>
      </c>
      <c r="B1363" s="1" t="s">
        <v>2637</v>
      </c>
    </row>
    <row r="1364" spans="1:2" x14ac:dyDescent="0.3">
      <c r="A1364" s="1" t="s">
        <v>1670</v>
      </c>
      <c r="B1364" s="1" t="s">
        <v>2637</v>
      </c>
    </row>
    <row r="1365" spans="1:2" x14ac:dyDescent="0.3">
      <c r="A1365" s="1" t="s">
        <v>1671</v>
      </c>
      <c r="B1365" s="1" t="s">
        <v>2637</v>
      </c>
    </row>
    <row r="1366" spans="1:2" x14ac:dyDescent="0.3">
      <c r="A1366" s="1" t="s">
        <v>1672</v>
      </c>
      <c r="B1366" s="1" t="s">
        <v>2637</v>
      </c>
    </row>
    <row r="1367" spans="1:2" x14ac:dyDescent="0.3">
      <c r="A1367" s="1" t="s">
        <v>1673</v>
      </c>
      <c r="B1367" s="1" t="s">
        <v>2638</v>
      </c>
    </row>
    <row r="1368" spans="1:2" x14ac:dyDescent="0.3">
      <c r="A1368" s="1" t="s">
        <v>1674</v>
      </c>
      <c r="B1368" s="1" t="s">
        <v>2637</v>
      </c>
    </row>
    <row r="1369" spans="1:2" x14ac:dyDescent="0.3">
      <c r="A1369" s="1" t="s">
        <v>1675</v>
      </c>
      <c r="B1369" s="1" t="s">
        <v>2638</v>
      </c>
    </row>
    <row r="1370" spans="1:2" x14ac:dyDescent="0.3">
      <c r="A1370" s="1" t="s">
        <v>1676</v>
      </c>
      <c r="B1370" s="1" t="s">
        <v>2637</v>
      </c>
    </row>
    <row r="1371" spans="1:2" x14ac:dyDescent="0.3">
      <c r="A1371" s="1" t="s">
        <v>1677</v>
      </c>
      <c r="B1371" s="1" t="s">
        <v>2637</v>
      </c>
    </row>
    <row r="1372" spans="1:2" x14ac:dyDescent="0.3">
      <c r="A1372" s="1" t="s">
        <v>1678</v>
      </c>
      <c r="B1372" s="1" t="s">
        <v>2637</v>
      </c>
    </row>
    <row r="1373" spans="1:2" x14ac:dyDescent="0.3">
      <c r="A1373" s="1" t="s">
        <v>1679</v>
      </c>
      <c r="B1373" s="1" t="s">
        <v>2637</v>
      </c>
    </row>
    <row r="1374" spans="1:2" x14ac:dyDescent="0.3">
      <c r="A1374" s="1" t="s">
        <v>1680</v>
      </c>
      <c r="B1374" s="1" t="s">
        <v>2637</v>
      </c>
    </row>
    <row r="1375" spans="1:2" x14ac:dyDescent="0.3">
      <c r="A1375" s="1" t="s">
        <v>1681</v>
      </c>
      <c r="B1375" s="1" t="s">
        <v>2638</v>
      </c>
    </row>
    <row r="1376" spans="1:2" x14ac:dyDescent="0.3">
      <c r="A1376" s="1" t="s">
        <v>1682</v>
      </c>
      <c r="B1376" s="1" t="s">
        <v>2637</v>
      </c>
    </row>
    <row r="1377" spans="1:2" x14ac:dyDescent="0.3">
      <c r="A1377" s="1" t="s">
        <v>1683</v>
      </c>
      <c r="B1377" s="1" t="s">
        <v>2638</v>
      </c>
    </row>
    <row r="1378" spans="1:2" x14ac:dyDescent="0.3">
      <c r="A1378" s="1" t="s">
        <v>1684</v>
      </c>
      <c r="B1378" s="1" t="s">
        <v>2637</v>
      </c>
    </row>
    <row r="1379" spans="1:2" x14ac:dyDescent="0.3">
      <c r="A1379" s="1" t="s">
        <v>1685</v>
      </c>
      <c r="B1379" s="1" t="s">
        <v>2637</v>
      </c>
    </row>
    <row r="1380" spans="1:2" x14ac:dyDescent="0.3">
      <c r="A1380" s="1" t="s">
        <v>1686</v>
      </c>
      <c r="B1380" s="1" t="s">
        <v>2637</v>
      </c>
    </row>
    <row r="1381" spans="1:2" x14ac:dyDescent="0.3">
      <c r="A1381" s="1" t="s">
        <v>1687</v>
      </c>
      <c r="B1381" s="1" t="s">
        <v>2637</v>
      </c>
    </row>
    <row r="1382" spans="1:2" x14ac:dyDescent="0.3">
      <c r="A1382" s="1" t="s">
        <v>1688</v>
      </c>
      <c r="B1382" s="1" t="s">
        <v>2638</v>
      </c>
    </row>
    <row r="1383" spans="1:2" x14ac:dyDescent="0.3">
      <c r="A1383" s="1" t="s">
        <v>1689</v>
      </c>
      <c r="B1383" s="1" t="s">
        <v>2638</v>
      </c>
    </row>
    <row r="1384" spans="1:2" x14ac:dyDescent="0.3">
      <c r="A1384" s="1" t="s">
        <v>1690</v>
      </c>
      <c r="B1384" s="1" t="s">
        <v>2637</v>
      </c>
    </row>
    <row r="1385" spans="1:2" x14ac:dyDescent="0.3">
      <c r="A1385" s="1" t="s">
        <v>1691</v>
      </c>
      <c r="B1385" s="1" t="s">
        <v>2637</v>
      </c>
    </row>
    <row r="1386" spans="1:2" x14ac:dyDescent="0.3">
      <c r="A1386" s="1" t="s">
        <v>1692</v>
      </c>
      <c r="B1386" s="1" t="s">
        <v>2638</v>
      </c>
    </row>
    <row r="1387" spans="1:2" x14ac:dyDescent="0.3">
      <c r="A1387" s="1" t="s">
        <v>1693</v>
      </c>
      <c r="B1387" s="1" t="s">
        <v>2637</v>
      </c>
    </row>
    <row r="1388" spans="1:2" x14ac:dyDescent="0.3">
      <c r="A1388" s="1" t="s">
        <v>1694</v>
      </c>
      <c r="B1388" s="1" t="s">
        <v>2637</v>
      </c>
    </row>
    <row r="1389" spans="1:2" x14ac:dyDescent="0.3">
      <c r="A1389" s="1" t="s">
        <v>1695</v>
      </c>
      <c r="B1389" s="1" t="s">
        <v>2638</v>
      </c>
    </row>
    <row r="1390" spans="1:2" x14ac:dyDescent="0.3">
      <c r="A1390" s="1" t="s">
        <v>1696</v>
      </c>
      <c r="B1390" s="1" t="s">
        <v>2637</v>
      </c>
    </row>
    <row r="1391" spans="1:2" x14ac:dyDescent="0.3">
      <c r="A1391" s="1" t="s">
        <v>1697</v>
      </c>
      <c r="B1391" s="1" t="s">
        <v>2638</v>
      </c>
    </row>
    <row r="1392" spans="1:2" x14ac:dyDescent="0.3">
      <c r="A1392" s="1" t="s">
        <v>1698</v>
      </c>
      <c r="B1392" s="1" t="s">
        <v>2637</v>
      </c>
    </row>
    <row r="1393" spans="1:2" x14ac:dyDescent="0.3">
      <c r="A1393" s="1" t="s">
        <v>1699</v>
      </c>
      <c r="B1393" s="1" t="s">
        <v>2637</v>
      </c>
    </row>
    <row r="1394" spans="1:2" x14ac:dyDescent="0.3">
      <c r="A1394" s="1" t="s">
        <v>1700</v>
      </c>
      <c r="B1394" s="1" t="s">
        <v>2637</v>
      </c>
    </row>
    <row r="1395" spans="1:2" x14ac:dyDescent="0.3">
      <c r="A1395" s="1" t="s">
        <v>1701</v>
      </c>
      <c r="B1395" s="1" t="s">
        <v>2637</v>
      </c>
    </row>
    <row r="1396" spans="1:2" x14ac:dyDescent="0.3">
      <c r="A1396" s="1" t="s">
        <v>1702</v>
      </c>
      <c r="B1396" s="1" t="s">
        <v>2638</v>
      </c>
    </row>
    <row r="1397" spans="1:2" x14ac:dyDescent="0.3">
      <c r="A1397" s="1" t="s">
        <v>1703</v>
      </c>
      <c r="B1397" s="1" t="s">
        <v>2637</v>
      </c>
    </row>
    <row r="1398" spans="1:2" x14ac:dyDescent="0.3">
      <c r="A1398" s="1" t="s">
        <v>1704</v>
      </c>
      <c r="B1398" s="1" t="s">
        <v>2637</v>
      </c>
    </row>
    <row r="1399" spans="1:2" x14ac:dyDescent="0.3">
      <c r="A1399" s="1" t="s">
        <v>1705</v>
      </c>
      <c r="B1399" s="1" t="s">
        <v>2638</v>
      </c>
    </row>
    <row r="1400" spans="1:2" x14ac:dyDescent="0.3">
      <c r="A1400" s="1" t="s">
        <v>1706</v>
      </c>
      <c r="B1400" s="1" t="s">
        <v>2637</v>
      </c>
    </row>
    <row r="1401" spans="1:2" x14ac:dyDescent="0.3">
      <c r="A1401" s="1" t="s">
        <v>1707</v>
      </c>
      <c r="B1401" s="1" t="s">
        <v>2637</v>
      </c>
    </row>
    <row r="1402" spans="1:2" x14ac:dyDescent="0.3">
      <c r="A1402" s="1" t="s">
        <v>1708</v>
      </c>
      <c r="B1402" s="1" t="s">
        <v>2637</v>
      </c>
    </row>
    <row r="1403" spans="1:2" x14ac:dyDescent="0.3">
      <c r="A1403" s="1" t="s">
        <v>1709</v>
      </c>
      <c r="B1403" s="1" t="s">
        <v>2637</v>
      </c>
    </row>
    <row r="1404" spans="1:2" x14ac:dyDescent="0.3">
      <c r="A1404" s="1" t="s">
        <v>1710</v>
      </c>
      <c r="B1404" s="1" t="s">
        <v>2637</v>
      </c>
    </row>
    <row r="1405" spans="1:2" x14ac:dyDescent="0.3">
      <c r="A1405" s="1" t="s">
        <v>1711</v>
      </c>
      <c r="B1405" s="1" t="s">
        <v>2637</v>
      </c>
    </row>
    <row r="1406" spans="1:2" x14ac:dyDescent="0.3">
      <c r="A1406" s="1" t="s">
        <v>1712</v>
      </c>
      <c r="B1406" s="1" t="s">
        <v>2637</v>
      </c>
    </row>
    <row r="1407" spans="1:2" x14ac:dyDescent="0.3">
      <c r="A1407" s="1" t="s">
        <v>1713</v>
      </c>
      <c r="B1407" s="1" t="s">
        <v>2637</v>
      </c>
    </row>
    <row r="1408" spans="1:2" x14ac:dyDescent="0.3">
      <c r="A1408" s="1" t="s">
        <v>1714</v>
      </c>
      <c r="B1408" s="1" t="s">
        <v>2637</v>
      </c>
    </row>
    <row r="1409" spans="1:2" x14ac:dyDescent="0.3">
      <c r="A1409" s="1" t="s">
        <v>1715</v>
      </c>
      <c r="B1409" s="1" t="s">
        <v>2637</v>
      </c>
    </row>
    <row r="1410" spans="1:2" x14ac:dyDescent="0.3">
      <c r="A1410" s="1" t="s">
        <v>1716</v>
      </c>
      <c r="B1410" s="1" t="s">
        <v>2637</v>
      </c>
    </row>
    <row r="1411" spans="1:2" x14ac:dyDescent="0.3">
      <c r="A1411" s="1" t="s">
        <v>1717</v>
      </c>
      <c r="B1411" s="1" t="s">
        <v>2637</v>
      </c>
    </row>
    <row r="1412" spans="1:2" x14ac:dyDescent="0.3">
      <c r="A1412" s="1" t="s">
        <v>1718</v>
      </c>
      <c r="B1412" s="1" t="s">
        <v>2637</v>
      </c>
    </row>
    <row r="1413" spans="1:2" x14ac:dyDescent="0.3">
      <c r="A1413" s="1" t="s">
        <v>1719</v>
      </c>
      <c r="B1413" s="1" t="s">
        <v>2637</v>
      </c>
    </row>
    <row r="1414" spans="1:2" x14ac:dyDescent="0.3">
      <c r="A1414" s="1" t="s">
        <v>1720</v>
      </c>
      <c r="B1414" s="1" t="s">
        <v>2637</v>
      </c>
    </row>
    <row r="1415" spans="1:2" x14ac:dyDescent="0.3">
      <c r="A1415" s="1" t="s">
        <v>1721</v>
      </c>
      <c r="B1415" s="1" t="s">
        <v>2637</v>
      </c>
    </row>
    <row r="1416" spans="1:2" x14ac:dyDescent="0.3">
      <c r="A1416" s="1" t="s">
        <v>1722</v>
      </c>
      <c r="B1416" s="1" t="s">
        <v>2637</v>
      </c>
    </row>
    <row r="1417" spans="1:2" x14ac:dyDescent="0.3">
      <c r="A1417" s="1" t="s">
        <v>1723</v>
      </c>
      <c r="B1417" s="1" t="s">
        <v>2637</v>
      </c>
    </row>
    <row r="1418" spans="1:2" x14ac:dyDescent="0.3">
      <c r="A1418" s="1" t="s">
        <v>1724</v>
      </c>
      <c r="B1418" s="1" t="s">
        <v>2638</v>
      </c>
    </row>
    <row r="1419" spans="1:2" x14ac:dyDescent="0.3">
      <c r="A1419" s="1" t="s">
        <v>1725</v>
      </c>
      <c r="B1419" s="1" t="s">
        <v>2637</v>
      </c>
    </row>
    <row r="1420" spans="1:2" x14ac:dyDescent="0.3">
      <c r="A1420" s="1" t="s">
        <v>1726</v>
      </c>
      <c r="B1420" s="1" t="s">
        <v>2637</v>
      </c>
    </row>
    <row r="1421" spans="1:2" x14ac:dyDescent="0.3">
      <c r="A1421" s="1" t="s">
        <v>1727</v>
      </c>
      <c r="B1421" s="1" t="s">
        <v>2637</v>
      </c>
    </row>
    <row r="1422" spans="1:2" x14ac:dyDescent="0.3">
      <c r="A1422" s="1" t="s">
        <v>1728</v>
      </c>
      <c r="B1422" s="1" t="s">
        <v>2637</v>
      </c>
    </row>
    <row r="1423" spans="1:2" x14ac:dyDescent="0.3">
      <c r="A1423" s="1" t="s">
        <v>1729</v>
      </c>
      <c r="B1423" s="1" t="s">
        <v>2638</v>
      </c>
    </row>
    <row r="1424" spans="1:2" x14ac:dyDescent="0.3">
      <c r="A1424" s="1" t="s">
        <v>1730</v>
      </c>
      <c r="B1424" s="1" t="s">
        <v>2637</v>
      </c>
    </row>
    <row r="1425" spans="1:2" x14ac:dyDescent="0.3">
      <c r="A1425" s="1" t="s">
        <v>1731</v>
      </c>
      <c r="B1425" s="1" t="s">
        <v>2637</v>
      </c>
    </row>
    <row r="1426" spans="1:2" x14ac:dyDescent="0.3">
      <c r="A1426" s="1" t="s">
        <v>1732</v>
      </c>
      <c r="B1426" s="1" t="s">
        <v>2638</v>
      </c>
    </row>
    <row r="1427" spans="1:2" x14ac:dyDescent="0.3">
      <c r="A1427" s="1" t="s">
        <v>1733</v>
      </c>
      <c r="B1427" s="1" t="s">
        <v>2637</v>
      </c>
    </row>
    <row r="1428" spans="1:2" x14ac:dyDescent="0.3">
      <c r="A1428" s="1" t="s">
        <v>1734</v>
      </c>
      <c r="B1428" s="1" t="s">
        <v>2637</v>
      </c>
    </row>
    <row r="1429" spans="1:2" x14ac:dyDescent="0.3">
      <c r="A1429" s="1" t="s">
        <v>1735</v>
      </c>
      <c r="B1429" s="1" t="s">
        <v>2637</v>
      </c>
    </row>
    <row r="1430" spans="1:2" x14ac:dyDescent="0.3">
      <c r="A1430" s="1" t="s">
        <v>1736</v>
      </c>
      <c r="B1430" s="1" t="s">
        <v>2637</v>
      </c>
    </row>
    <row r="1431" spans="1:2" x14ac:dyDescent="0.3">
      <c r="A1431" s="1" t="s">
        <v>1737</v>
      </c>
      <c r="B1431" s="1" t="s">
        <v>2637</v>
      </c>
    </row>
    <row r="1432" spans="1:2" x14ac:dyDescent="0.3">
      <c r="A1432" s="1" t="s">
        <v>1738</v>
      </c>
      <c r="B1432" s="1" t="s">
        <v>2637</v>
      </c>
    </row>
    <row r="1433" spans="1:2" x14ac:dyDescent="0.3">
      <c r="A1433" s="1" t="s">
        <v>1739</v>
      </c>
      <c r="B1433" s="1" t="s">
        <v>2638</v>
      </c>
    </row>
    <row r="1434" spans="1:2" x14ac:dyDescent="0.3">
      <c r="A1434" s="1" t="s">
        <v>1740</v>
      </c>
      <c r="B1434" s="1" t="s">
        <v>2637</v>
      </c>
    </row>
    <row r="1435" spans="1:2" x14ac:dyDescent="0.3">
      <c r="A1435" s="1" t="s">
        <v>1741</v>
      </c>
      <c r="B1435" s="1" t="s">
        <v>2637</v>
      </c>
    </row>
    <row r="1436" spans="1:2" x14ac:dyDescent="0.3">
      <c r="A1436" s="1" t="s">
        <v>1742</v>
      </c>
      <c r="B1436" s="1" t="s">
        <v>2637</v>
      </c>
    </row>
    <row r="1437" spans="1:2" x14ac:dyDescent="0.3">
      <c r="A1437" s="1" t="s">
        <v>1743</v>
      </c>
      <c r="B1437" s="1" t="s">
        <v>2637</v>
      </c>
    </row>
    <row r="1438" spans="1:2" x14ac:dyDescent="0.3">
      <c r="A1438" s="1" t="s">
        <v>1744</v>
      </c>
      <c r="B1438" s="1" t="s">
        <v>2637</v>
      </c>
    </row>
    <row r="1439" spans="1:2" x14ac:dyDescent="0.3">
      <c r="A1439" s="1" t="s">
        <v>1745</v>
      </c>
      <c r="B1439" s="1" t="s">
        <v>2637</v>
      </c>
    </row>
    <row r="1440" spans="1:2" x14ac:dyDescent="0.3">
      <c r="A1440" s="1" t="s">
        <v>1746</v>
      </c>
      <c r="B1440" s="1" t="s">
        <v>2637</v>
      </c>
    </row>
    <row r="1441" spans="1:2" x14ac:dyDescent="0.3">
      <c r="A1441" s="1" t="s">
        <v>1747</v>
      </c>
      <c r="B1441" s="1" t="s">
        <v>2637</v>
      </c>
    </row>
    <row r="1442" spans="1:2" x14ac:dyDescent="0.3">
      <c r="A1442" s="1" t="s">
        <v>1748</v>
      </c>
      <c r="B1442" s="1" t="s">
        <v>2637</v>
      </c>
    </row>
    <row r="1443" spans="1:2" x14ac:dyDescent="0.3">
      <c r="A1443" s="1" t="s">
        <v>1749</v>
      </c>
      <c r="B1443" s="1" t="s">
        <v>2637</v>
      </c>
    </row>
    <row r="1444" spans="1:2" x14ac:dyDescent="0.3">
      <c r="A1444" s="1" t="s">
        <v>1750</v>
      </c>
      <c r="B1444" s="1" t="s">
        <v>2637</v>
      </c>
    </row>
    <row r="1445" spans="1:2" x14ac:dyDescent="0.3">
      <c r="A1445" s="1" t="s">
        <v>1751</v>
      </c>
      <c r="B1445" s="1" t="s">
        <v>2637</v>
      </c>
    </row>
    <row r="1446" spans="1:2" x14ac:dyDescent="0.3">
      <c r="A1446" s="1" t="s">
        <v>1752</v>
      </c>
      <c r="B1446" s="1" t="s">
        <v>2637</v>
      </c>
    </row>
    <row r="1447" spans="1:2" x14ac:dyDescent="0.3">
      <c r="A1447" s="1" t="s">
        <v>1753</v>
      </c>
      <c r="B1447" s="1" t="s">
        <v>2637</v>
      </c>
    </row>
    <row r="1448" spans="1:2" x14ac:dyDescent="0.3">
      <c r="A1448" s="1" t="s">
        <v>1754</v>
      </c>
      <c r="B1448" s="1" t="s">
        <v>2637</v>
      </c>
    </row>
    <row r="1449" spans="1:2" x14ac:dyDescent="0.3">
      <c r="A1449" s="1" t="s">
        <v>1755</v>
      </c>
      <c r="B1449" s="1" t="s">
        <v>2637</v>
      </c>
    </row>
    <row r="1450" spans="1:2" x14ac:dyDescent="0.3">
      <c r="A1450" s="1" t="s">
        <v>1756</v>
      </c>
      <c r="B1450" s="1" t="s">
        <v>2637</v>
      </c>
    </row>
    <row r="1451" spans="1:2" x14ac:dyDescent="0.3">
      <c r="A1451" s="1" t="s">
        <v>1757</v>
      </c>
      <c r="B1451" s="1" t="s">
        <v>2637</v>
      </c>
    </row>
    <row r="1452" spans="1:2" x14ac:dyDescent="0.3">
      <c r="A1452" s="1" t="s">
        <v>1758</v>
      </c>
      <c r="B1452" s="1" t="s">
        <v>2637</v>
      </c>
    </row>
    <row r="1453" spans="1:2" x14ac:dyDescent="0.3">
      <c r="A1453" s="1" t="s">
        <v>1759</v>
      </c>
      <c r="B1453" s="1" t="s">
        <v>2637</v>
      </c>
    </row>
    <row r="1454" spans="1:2" x14ac:dyDescent="0.3">
      <c r="A1454" s="1" t="s">
        <v>1760</v>
      </c>
      <c r="B1454" s="1" t="s">
        <v>2637</v>
      </c>
    </row>
    <row r="1455" spans="1:2" x14ac:dyDescent="0.3">
      <c r="A1455" s="1" t="s">
        <v>1761</v>
      </c>
      <c r="B1455" s="1" t="s">
        <v>2637</v>
      </c>
    </row>
    <row r="1456" spans="1:2" x14ac:dyDescent="0.3">
      <c r="A1456" s="1" t="s">
        <v>1762</v>
      </c>
      <c r="B1456" s="1" t="s">
        <v>2637</v>
      </c>
    </row>
    <row r="1457" spans="1:2" x14ac:dyDescent="0.3">
      <c r="A1457" s="1" t="s">
        <v>1763</v>
      </c>
      <c r="B1457" s="1" t="s">
        <v>2638</v>
      </c>
    </row>
    <row r="1458" spans="1:2" x14ac:dyDescent="0.3">
      <c r="A1458" s="1" t="s">
        <v>1764</v>
      </c>
      <c r="B1458" s="1" t="s">
        <v>2637</v>
      </c>
    </row>
    <row r="1459" spans="1:2" x14ac:dyDescent="0.3">
      <c r="A1459" s="1" t="s">
        <v>1765</v>
      </c>
      <c r="B1459" s="1" t="s">
        <v>2638</v>
      </c>
    </row>
    <row r="1460" spans="1:2" x14ac:dyDescent="0.3">
      <c r="A1460" s="1" t="s">
        <v>1766</v>
      </c>
      <c r="B1460" s="1" t="s">
        <v>2637</v>
      </c>
    </row>
    <row r="1461" spans="1:2" x14ac:dyDescent="0.3">
      <c r="A1461" s="1" t="s">
        <v>1767</v>
      </c>
      <c r="B1461" s="1" t="s">
        <v>2637</v>
      </c>
    </row>
    <row r="1462" spans="1:2" x14ac:dyDescent="0.3">
      <c r="A1462" s="1" t="s">
        <v>1768</v>
      </c>
      <c r="B1462" s="1" t="s">
        <v>2637</v>
      </c>
    </row>
    <row r="1463" spans="1:2" x14ac:dyDescent="0.3">
      <c r="A1463" s="1" t="s">
        <v>1769</v>
      </c>
      <c r="B1463" s="1" t="s">
        <v>2637</v>
      </c>
    </row>
    <row r="1464" spans="1:2" x14ac:dyDescent="0.3">
      <c r="A1464" s="1" t="s">
        <v>1770</v>
      </c>
      <c r="B1464" s="1" t="s">
        <v>2637</v>
      </c>
    </row>
    <row r="1465" spans="1:2" x14ac:dyDescent="0.3">
      <c r="A1465" s="1" t="s">
        <v>1771</v>
      </c>
      <c r="B1465" s="1" t="s">
        <v>2637</v>
      </c>
    </row>
    <row r="1466" spans="1:2" x14ac:dyDescent="0.3">
      <c r="A1466" s="1" t="s">
        <v>1772</v>
      </c>
      <c r="B1466" s="1" t="s">
        <v>2638</v>
      </c>
    </row>
    <row r="1467" spans="1:2" x14ac:dyDescent="0.3">
      <c r="A1467" s="1" t="s">
        <v>1773</v>
      </c>
      <c r="B1467" s="1" t="s">
        <v>2637</v>
      </c>
    </row>
    <row r="1468" spans="1:2" x14ac:dyDescent="0.3">
      <c r="A1468" s="1" t="s">
        <v>1774</v>
      </c>
      <c r="B1468" s="1" t="s">
        <v>2637</v>
      </c>
    </row>
    <row r="1469" spans="1:2" x14ac:dyDescent="0.3">
      <c r="A1469" s="1" t="s">
        <v>1775</v>
      </c>
      <c r="B1469" s="1" t="s">
        <v>2638</v>
      </c>
    </row>
    <row r="1470" spans="1:2" x14ac:dyDescent="0.3">
      <c r="A1470" s="1" t="s">
        <v>1776</v>
      </c>
      <c r="B1470" s="1" t="s">
        <v>2637</v>
      </c>
    </row>
    <row r="1471" spans="1:2" x14ac:dyDescent="0.3">
      <c r="A1471" s="1" t="s">
        <v>1777</v>
      </c>
      <c r="B1471" s="1" t="s">
        <v>2638</v>
      </c>
    </row>
    <row r="1472" spans="1:2" x14ac:dyDescent="0.3">
      <c r="A1472" s="1" t="s">
        <v>1778</v>
      </c>
      <c r="B1472" s="1" t="s">
        <v>2637</v>
      </c>
    </row>
    <row r="1473" spans="1:2" x14ac:dyDescent="0.3">
      <c r="A1473" s="1" t="s">
        <v>1779</v>
      </c>
      <c r="B1473" s="1" t="s">
        <v>2638</v>
      </c>
    </row>
    <row r="1474" spans="1:2" x14ac:dyDescent="0.3">
      <c r="A1474" s="1" t="s">
        <v>1780</v>
      </c>
      <c r="B1474" s="1" t="s">
        <v>2638</v>
      </c>
    </row>
    <row r="1475" spans="1:2" x14ac:dyDescent="0.3">
      <c r="A1475" s="1" t="s">
        <v>1781</v>
      </c>
      <c r="B1475" s="1" t="s">
        <v>2638</v>
      </c>
    </row>
    <row r="1476" spans="1:2" x14ac:dyDescent="0.3">
      <c r="A1476" s="1" t="s">
        <v>1782</v>
      </c>
      <c r="B1476" s="1" t="s">
        <v>2637</v>
      </c>
    </row>
    <row r="1477" spans="1:2" x14ac:dyDescent="0.3">
      <c r="A1477" s="1" t="s">
        <v>1783</v>
      </c>
      <c r="B1477" s="1" t="s">
        <v>2637</v>
      </c>
    </row>
    <row r="1478" spans="1:2" x14ac:dyDescent="0.3">
      <c r="A1478" s="1" t="s">
        <v>1784</v>
      </c>
      <c r="B1478" s="1" t="s">
        <v>2637</v>
      </c>
    </row>
    <row r="1479" spans="1:2" x14ac:dyDescent="0.3">
      <c r="A1479" s="1" t="s">
        <v>1785</v>
      </c>
      <c r="B1479" s="1" t="s">
        <v>2637</v>
      </c>
    </row>
    <row r="1480" spans="1:2" x14ac:dyDescent="0.3">
      <c r="A1480" s="1" t="s">
        <v>1786</v>
      </c>
      <c r="B1480" s="1" t="s">
        <v>2637</v>
      </c>
    </row>
    <row r="1481" spans="1:2" x14ac:dyDescent="0.3">
      <c r="A1481" s="1" t="s">
        <v>1787</v>
      </c>
      <c r="B1481" s="1" t="s">
        <v>2637</v>
      </c>
    </row>
    <row r="1482" spans="1:2" x14ac:dyDescent="0.3">
      <c r="A1482" s="1" t="s">
        <v>1788</v>
      </c>
      <c r="B1482" s="1" t="s">
        <v>2637</v>
      </c>
    </row>
    <row r="1483" spans="1:2" x14ac:dyDescent="0.3">
      <c r="A1483" s="1" t="s">
        <v>1789</v>
      </c>
      <c r="B1483" s="1" t="s">
        <v>2637</v>
      </c>
    </row>
    <row r="1484" spans="1:2" x14ac:dyDescent="0.3">
      <c r="A1484" s="1" t="s">
        <v>1790</v>
      </c>
      <c r="B1484" s="1" t="s">
        <v>2637</v>
      </c>
    </row>
    <row r="1485" spans="1:2" x14ac:dyDescent="0.3">
      <c r="A1485" s="1" t="s">
        <v>1791</v>
      </c>
      <c r="B1485" s="1" t="s">
        <v>2637</v>
      </c>
    </row>
    <row r="1486" spans="1:2" x14ac:dyDescent="0.3">
      <c r="A1486" s="1" t="s">
        <v>1792</v>
      </c>
      <c r="B1486" s="1" t="s">
        <v>2637</v>
      </c>
    </row>
    <row r="1487" spans="1:2" x14ac:dyDescent="0.3">
      <c r="A1487" s="1" t="s">
        <v>1793</v>
      </c>
      <c r="B1487" s="1" t="s">
        <v>2638</v>
      </c>
    </row>
    <row r="1488" spans="1:2" x14ac:dyDescent="0.3">
      <c r="A1488" s="1" t="s">
        <v>1794</v>
      </c>
      <c r="B1488" s="1" t="s">
        <v>2637</v>
      </c>
    </row>
    <row r="1489" spans="1:2" x14ac:dyDescent="0.3">
      <c r="A1489" s="1" t="s">
        <v>1795</v>
      </c>
      <c r="B1489" s="1" t="s">
        <v>2638</v>
      </c>
    </row>
    <row r="1490" spans="1:2" x14ac:dyDescent="0.3">
      <c r="A1490" s="1" t="s">
        <v>1796</v>
      </c>
      <c r="B1490" s="1" t="s">
        <v>2637</v>
      </c>
    </row>
    <row r="1491" spans="1:2" x14ac:dyDescent="0.3">
      <c r="A1491" s="1" t="s">
        <v>1797</v>
      </c>
      <c r="B1491" s="1" t="s">
        <v>2637</v>
      </c>
    </row>
    <row r="1492" spans="1:2" x14ac:dyDescent="0.3">
      <c r="A1492" s="1" t="s">
        <v>1798</v>
      </c>
      <c r="B1492" s="1" t="s">
        <v>2637</v>
      </c>
    </row>
    <row r="1493" spans="1:2" x14ac:dyDescent="0.3">
      <c r="A1493" s="1" t="s">
        <v>1799</v>
      </c>
      <c r="B1493" s="1" t="s">
        <v>2637</v>
      </c>
    </row>
    <row r="1494" spans="1:2" x14ac:dyDescent="0.3">
      <c r="A1494" s="1" t="s">
        <v>1800</v>
      </c>
      <c r="B1494" s="1" t="s">
        <v>2637</v>
      </c>
    </row>
    <row r="1495" spans="1:2" x14ac:dyDescent="0.3">
      <c r="A1495" s="1" t="s">
        <v>1801</v>
      </c>
      <c r="B1495" s="1" t="s">
        <v>2637</v>
      </c>
    </row>
    <row r="1496" spans="1:2" x14ac:dyDescent="0.3">
      <c r="A1496" s="1" t="s">
        <v>1802</v>
      </c>
      <c r="B1496" s="1" t="s">
        <v>2637</v>
      </c>
    </row>
    <row r="1497" spans="1:2" x14ac:dyDescent="0.3">
      <c r="A1497" s="1" t="s">
        <v>1803</v>
      </c>
      <c r="B1497" s="1" t="s">
        <v>2637</v>
      </c>
    </row>
    <row r="1498" spans="1:2" x14ac:dyDescent="0.3">
      <c r="A1498" s="1" t="s">
        <v>1804</v>
      </c>
      <c r="B1498" s="1" t="s">
        <v>2637</v>
      </c>
    </row>
    <row r="1499" spans="1:2" x14ac:dyDescent="0.3">
      <c r="A1499" s="1" t="s">
        <v>1805</v>
      </c>
      <c r="B1499" s="1" t="s">
        <v>2637</v>
      </c>
    </row>
    <row r="1500" spans="1:2" x14ac:dyDescent="0.3">
      <c r="A1500" s="1" t="s">
        <v>1806</v>
      </c>
      <c r="B1500" s="1" t="s">
        <v>2637</v>
      </c>
    </row>
    <row r="1501" spans="1:2" x14ac:dyDescent="0.3">
      <c r="A1501" s="1" t="s">
        <v>1807</v>
      </c>
      <c r="B1501" s="1" t="s">
        <v>2637</v>
      </c>
    </row>
    <row r="1502" spans="1:2" x14ac:dyDescent="0.3">
      <c r="A1502" s="1" t="s">
        <v>1808</v>
      </c>
      <c r="B1502" s="1" t="s">
        <v>2637</v>
      </c>
    </row>
    <row r="1503" spans="1:2" x14ac:dyDescent="0.3">
      <c r="A1503" s="1" t="s">
        <v>1809</v>
      </c>
      <c r="B1503" s="1" t="s">
        <v>2637</v>
      </c>
    </row>
    <row r="1504" spans="1:2" x14ac:dyDescent="0.3">
      <c r="A1504" s="1" t="s">
        <v>1810</v>
      </c>
      <c r="B1504" s="1" t="s">
        <v>2637</v>
      </c>
    </row>
    <row r="1505" spans="1:2" x14ac:dyDescent="0.3">
      <c r="A1505" s="1" t="s">
        <v>1811</v>
      </c>
      <c r="B1505" s="1" t="s">
        <v>2638</v>
      </c>
    </row>
    <row r="1506" spans="1:2" x14ac:dyDescent="0.3">
      <c r="A1506" s="1" t="s">
        <v>1812</v>
      </c>
      <c r="B1506" s="1" t="s">
        <v>2637</v>
      </c>
    </row>
    <row r="1507" spans="1:2" x14ac:dyDescent="0.3">
      <c r="A1507" s="1" t="s">
        <v>1813</v>
      </c>
      <c r="B1507" s="1" t="s">
        <v>2638</v>
      </c>
    </row>
    <row r="1508" spans="1:2" x14ac:dyDescent="0.3">
      <c r="A1508" s="1" t="s">
        <v>1814</v>
      </c>
      <c r="B1508" s="1" t="s">
        <v>2637</v>
      </c>
    </row>
    <row r="1509" spans="1:2" x14ac:dyDescent="0.3">
      <c r="A1509" s="1" t="s">
        <v>1815</v>
      </c>
      <c r="B1509" s="1" t="s">
        <v>2637</v>
      </c>
    </row>
    <row r="1510" spans="1:2" x14ac:dyDescent="0.3">
      <c r="A1510" s="1" t="s">
        <v>1816</v>
      </c>
      <c r="B1510" s="1" t="s">
        <v>2637</v>
      </c>
    </row>
    <row r="1511" spans="1:2" x14ac:dyDescent="0.3">
      <c r="A1511" s="1" t="s">
        <v>1817</v>
      </c>
      <c r="B1511" s="1" t="s">
        <v>2637</v>
      </c>
    </row>
    <row r="1512" spans="1:2" x14ac:dyDescent="0.3">
      <c r="A1512" s="1" t="s">
        <v>1818</v>
      </c>
      <c r="B1512" s="1" t="s">
        <v>2638</v>
      </c>
    </row>
    <row r="1513" spans="1:2" x14ac:dyDescent="0.3">
      <c r="A1513" s="1" t="s">
        <v>1819</v>
      </c>
      <c r="B1513" s="1" t="s">
        <v>2637</v>
      </c>
    </row>
    <row r="1514" spans="1:2" x14ac:dyDescent="0.3">
      <c r="A1514" s="1" t="s">
        <v>1820</v>
      </c>
      <c r="B1514" s="1" t="s">
        <v>2637</v>
      </c>
    </row>
    <row r="1515" spans="1:2" x14ac:dyDescent="0.3">
      <c r="A1515" s="1" t="s">
        <v>1821</v>
      </c>
      <c r="B1515" s="1" t="s">
        <v>2637</v>
      </c>
    </row>
    <row r="1516" spans="1:2" x14ac:dyDescent="0.3">
      <c r="A1516" s="1" t="s">
        <v>1822</v>
      </c>
      <c r="B1516" s="1" t="s">
        <v>2637</v>
      </c>
    </row>
    <row r="1517" spans="1:2" x14ac:dyDescent="0.3">
      <c r="A1517" s="1" t="s">
        <v>1823</v>
      </c>
      <c r="B1517" s="1" t="s">
        <v>2637</v>
      </c>
    </row>
    <row r="1518" spans="1:2" x14ac:dyDescent="0.3">
      <c r="A1518" s="1" t="s">
        <v>1824</v>
      </c>
      <c r="B1518" s="1" t="s">
        <v>2637</v>
      </c>
    </row>
    <row r="1519" spans="1:2" x14ac:dyDescent="0.3">
      <c r="A1519" s="1" t="s">
        <v>1825</v>
      </c>
      <c r="B1519" s="1" t="s">
        <v>2637</v>
      </c>
    </row>
    <row r="1520" spans="1:2" x14ac:dyDescent="0.3">
      <c r="A1520" s="1" t="s">
        <v>1826</v>
      </c>
      <c r="B1520" s="1" t="s">
        <v>2638</v>
      </c>
    </row>
    <row r="1521" spans="1:2" x14ac:dyDescent="0.3">
      <c r="A1521" s="1" t="s">
        <v>1827</v>
      </c>
      <c r="B1521" s="1" t="s">
        <v>2638</v>
      </c>
    </row>
    <row r="1522" spans="1:2" x14ac:dyDescent="0.3">
      <c r="A1522" s="1" t="s">
        <v>1828</v>
      </c>
      <c r="B1522" s="1" t="s">
        <v>2637</v>
      </c>
    </row>
    <row r="1523" spans="1:2" x14ac:dyDescent="0.3">
      <c r="A1523" s="1" t="s">
        <v>1829</v>
      </c>
      <c r="B1523" s="1" t="s">
        <v>2637</v>
      </c>
    </row>
    <row r="1524" spans="1:2" x14ac:dyDescent="0.3">
      <c r="A1524" s="1" t="s">
        <v>1830</v>
      </c>
      <c r="B1524" s="1" t="s">
        <v>2637</v>
      </c>
    </row>
    <row r="1525" spans="1:2" x14ac:dyDescent="0.3">
      <c r="A1525" s="1" t="s">
        <v>1831</v>
      </c>
      <c r="B1525" s="1" t="s">
        <v>2637</v>
      </c>
    </row>
    <row r="1526" spans="1:2" x14ac:dyDescent="0.3">
      <c r="A1526" s="1" t="s">
        <v>1832</v>
      </c>
      <c r="B1526" s="1" t="s">
        <v>2637</v>
      </c>
    </row>
    <row r="1527" spans="1:2" x14ac:dyDescent="0.3">
      <c r="A1527" s="1" t="s">
        <v>1833</v>
      </c>
      <c r="B1527" s="1" t="s">
        <v>2638</v>
      </c>
    </row>
    <row r="1528" spans="1:2" x14ac:dyDescent="0.3">
      <c r="A1528" s="1" t="s">
        <v>1834</v>
      </c>
      <c r="B1528" s="1" t="s">
        <v>2637</v>
      </c>
    </row>
    <row r="1529" spans="1:2" x14ac:dyDescent="0.3">
      <c r="A1529" s="1" t="s">
        <v>1835</v>
      </c>
      <c r="B1529" s="1" t="s">
        <v>2637</v>
      </c>
    </row>
    <row r="1530" spans="1:2" x14ac:dyDescent="0.3">
      <c r="A1530" s="1" t="s">
        <v>1836</v>
      </c>
      <c r="B1530" s="1" t="s">
        <v>2638</v>
      </c>
    </row>
    <row r="1531" spans="1:2" x14ac:dyDescent="0.3">
      <c r="A1531" s="1" t="s">
        <v>1837</v>
      </c>
      <c r="B1531" s="1" t="s">
        <v>2637</v>
      </c>
    </row>
    <row r="1532" spans="1:2" x14ac:dyDescent="0.3">
      <c r="A1532" s="1" t="s">
        <v>1838</v>
      </c>
      <c r="B1532" s="1" t="s">
        <v>2637</v>
      </c>
    </row>
    <row r="1533" spans="1:2" x14ac:dyDescent="0.3">
      <c r="A1533" s="1" t="s">
        <v>1839</v>
      </c>
      <c r="B1533" s="1" t="s">
        <v>2637</v>
      </c>
    </row>
    <row r="1534" spans="1:2" x14ac:dyDescent="0.3">
      <c r="A1534" s="1" t="s">
        <v>1840</v>
      </c>
      <c r="B1534" s="1" t="s">
        <v>2637</v>
      </c>
    </row>
    <row r="1535" spans="1:2" x14ac:dyDescent="0.3">
      <c r="A1535" s="1" t="s">
        <v>1841</v>
      </c>
      <c r="B1535" s="1" t="s">
        <v>2637</v>
      </c>
    </row>
    <row r="1536" spans="1:2" x14ac:dyDescent="0.3">
      <c r="A1536" s="1" t="s">
        <v>1842</v>
      </c>
      <c r="B1536" s="1" t="s">
        <v>2637</v>
      </c>
    </row>
    <row r="1537" spans="1:2" x14ac:dyDescent="0.3">
      <c r="A1537" s="1" t="s">
        <v>1843</v>
      </c>
      <c r="B1537" s="1" t="s">
        <v>2637</v>
      </c>
    </row>
    <row r="1538" spans="1:2" x14ac:dyDescent="0.3">
      <c r="A1538" s="1" t="s">
        <v>1844</v>
      </c>
      <c r="B1538" s="1" t="s">
        <v>2637</v>
      </c>
    </row>
    <row r="1539" spans="1:2" x14ac:dyDescent="0.3">
      <c r="A1539" s="1" t="s">
        <v>1845</v>
      </c>
      <c r="B1539" s="1" t="s">
        <v>2637</v>
      </c>
    </row>
    <row r="1540" spans="1:2" x14ac:dyDescent="0.3">
      <c r="A1540" s="1" t="s">
        <v>1846</v>
      </c>
      <c r="B1540" s="1" t="s">
        <v>2637</v>
      </c>
    </row>
    <row r="1541" spans="1:2" x14ac:dyDescent="0.3">
      <c r="A1541" s="1" t="s">
        <v>1847</v>
      </c>
      <c r="B1541" s="1" t="s">
        <v>2637</v>
      </c>
    </row>
    <row r="1542" spans="1:2" x14ac:dyDescent="0.3">
      <c r="A1542" s="1" t="s">
        <v>1848</v>
      </c>
      <c r="B1542" s="1" t="s">
        <v>2638</v>
      </c>
    </row>
    <row r="1543" spans="1:2" x14ac:dyDescent="0.3">
      <c r="A1543" s="1" t="s">
        <v>1849</v>
      </c>
      <c r="B1543" s="1" t="s">
        <v>2637</v>
      </c>
    </row>
    <row r="1544" spans="1:2" x14ac:dyDescent="0.3">
      <c r="A1544" s="1" t="s">
        <v>1850</v>
      </c>
      <c r="B1544" s="1" t="s">
        <v>2637</v>
      </c>
    </row>
    <row r="1545" spans="1:2" x14ac:dyDescent="0.3">
      <c r="A1545" s="1" t="s">
        <v>1851</v>
      </c>
      <c r="B1545" s="1" t="s">
        <v>2637</v>
      </c>
    </row>
    <row r="1546" spans="1:2" x14ac:dyDescent="0.3">
      <c r="A1546" s="1" t="s">
        <v>1852</v>
      </c>
      <c r="B1546" s="1" t="s">
        <v>2638</v>
      </c>
    </row>
    <row r="1547" spans="1:2" x14ac:dyDescent="0.3">
      <c r="A1547" s="1" t="s">
        <v>1853</v>
      </c>
      <c r="B1547" s="1" t="s">
        <v>2637</v>
      </c>
    </row>
    <row r="1548" spans="1:2" x14ac:dyDescent="0.3">
      <c r="A1548" s="1" t="s">
        <v>1854</v>
      </c>
      <c r="B1548" s="1" t="s">
        <v>2637</v>
      </c>
    </row>
    <row r="1549" spans="1:2" x14ac:dyDescent="0.3">
      <c r="A1549" s="1" t="s">
        <v>1855</v>
      </c>
      <c r="B1549" s="1" t="s">
        <v>2638</v>
      </c>
    </row>
    <row r="1550" spans="1:2" x14ac:dyDescent="0.3">
      <c r="A1550" s="1" t="s">
        <v>1856</v>
      </c>
      <c r="B1550" s="1" t="s">
        <v>2638</v>
      </c>
    </row>
    <row r="1551" spans="1:2" x14ac:dyDescent="0.3">
      <c r="A1551" s="1" t="s">
        <v>1857</v>
      </c>
      <c r="B1551" s="1" t="s">
        <v>2637</v>
      </c>
    </row>
    <row r="1552" spans="1:2" x14ac:dyDescent="0.3">
      <c r="A1552" s="1" t="s">
        <v>1858</v>
      </c>
      <c r="B1552" s="1" t="s">
        <v>2637</v>
      </c>
    </row>
    <row r="1553" spans="1:2" x14ac:dyDescent="0.3">
      <c r="A1553" s="1" t="s">
        <v>1859</v>
      </c>
      <c r="B1553" s="1" t="s">
        <v>2637</v>
      </c>
    </row>
    <row r="1554" spans="1:2" x14ac:dyDescent="0.3">
      <c r="A1554" s="1" t="s">
        <v>1860</v>
      </c>
      <c r="B1554" s="1" t="s">
        <v>2637</v>
      </c>
    </row>
    <row r="1555" spans="1:2" x14ac:dyDescent="0.3">
      <c r="A1555" s="1" t="s">
        <v>1861</v>
      </c>
      <c r="B1555" s="1" t="s">
        <v>2637</v>
      </c>
    </row>
    <row r="1556" spans="1:2" x14ac:dyDescent="0.3">
      <c r="A1556" s="1" t="s">
        <v>1862</v>
      </c>
      <c r="B1556" s="1" t="s">
        <v>2637</v>
      </c>
    </row>
    <row r="1557" spans="1:2" x14ac:dyDescent="0.3">
      <c r="A1557" s="1" t="s">
        <v>1863</v>
      </c>
      <c r="B1557" s="1" t="s">
        <v>2637</v>
      </c>
    </row>
    <row r="1558" spans="1:2" x14ac:dyDescent="0.3">
      <c r="A1558" s="1" t="s">
        <v>1864</v>
      </c>
      <c r="B1558" s="1" t="s">
        <v>2637</v>
      </c>
    </row>
    <row r="1559" spans="1:2" x14ac:dyDescent="0.3">
      <c r="A1559" s="1" t="s">
        <v>1865</v>
      </c>
      <c r="B1559" s="1" t="s">
        <v>2638</v>
      </c>
    </row>
    <row r="1560" spans="1:2" x14ac:dyDescent="0.3">
      <c r="A1560" s="1" t="s">
        <v>1866</v>
      </c>
      <c r="B1560" s="1" t="s">
        <v>2637</v>
      </c>
    </row>
    <row r="1561" spans="1:2" x14ac:dyDescent="0.3">
      <c r="A1561" s="1" t="s">
        <v>1867</v>
      </c>
      <c r="B1561" s="1" t="s">
        <v>2637</v>
      </c>
    </row>
    <row r="1562" spans="1:2" x14ac:dyDescent="0.3">
      <c r="A1562" s="1" t="s">
        <v>1868</v>
      </c>
      <c r="B1562" s="1" t="s">
        <v>2637</v>
      </c>
    </row>
    <row r="1563" spans="1:2" x14ac:dyDescent="0.3">
      <c r="A1563" s="1" t="s">
        <v>1869</v>
      </c>
      <c r="B1563" s="1" t="s">
        <v>2637</v>
      </c>
    </row>
    <row r="1564" spans="1:2" x14ac:dyDescent="0.3">
      <c r="A1564" s="1" t="s">
        <v>1870</v>
      </c>
      <c r="B1564" s="1" t="s">
        <v>2638</v>
      </c>
    </row>
    <row r="1565" spans="1:2" x14ac:dyDescent="0.3">
      <c r="A1565" s="1" t="s">
        <v>1871</v>
      </c>
      <c r="B1565" s="1" t="s">
        <v>2637</v>
      </c>
    </row>
    <row r="1566" spans="1:2" x14ac:dyDescent="0.3">
      <c r="A1566" s="1" t="s">
        <v>1872</v>
      </c>
      <c r="B1566" s="1" t="s">
        <v>2637</v>
      </c>
    </row>
    <row r="1567" spans="1:2" x14ac:dyDescent="0.3">
      <c r="A1567" s="1" t="s">
        <v>1873</v>
      </c>
      <c r="B1567" s="1" t="s">
        <v>2637</v>
      </c>
    </row>
    <row r="1568" spans="1:2" x14ac:dyDescent="0.3">
      <c r="A1568" s="1" t="s">
        <v>1874</v>
      </c>
      <c r="B1568" s="1" t="s">
        <v>2637</v>
      </c>
    </row>
    <row r="1569" spans="1:2" x14ac:dyDescent="0.3">
      <c r="A1569" s="1" t="s">
        <v>1875</v>
      </c>
      <c r="B1569" s="1" t="s">
        <v>2638</v>
      </c>
    </row>
    <row r="1570" spans="1:2" x14ac:dyDescent="0.3">
      <c r="A1570" s="1" t="s">
        <v>1876</v>
      </c>
      <c r="B1570" s="1" t="s">
        <v>2637</v>
      </c>
    </row>
    <row r="1571" spans="1:2" x14ac:dyDescent="0.3">
      <c r="A1571" s="1" t="s">
        <v>1877</v>
      </c>
      <c r="B1571" s="1" t="s">
        <v>2637</v>
      </c>
    </row>
    <row r="1572" spans="1:2" x14ac:dyDescent="0.3">
      <c r="A1572" s="1" t="s">
        <v>1878</v>
      </c>
      <c r="B1572" s="1" t="s">
        <v>2637</v>
      </c>
    </row>
    <row r="1573" spans="1:2" x14ac:dyDescent="0.3">
      <c r="A1573" s="1" t="s">
        <v>1879</v>
      </c>
      <c r="B1573" s="1" t="s">
        <v>2637</v>
      </c>
    </row>
    <row r="1574" spans="1:2" x14ac:dyDescent="0.3">
      <c r="A1574" s="1" t="s">
        <v>1880</v>
      </c>
      <c r="B1574" s="1" t="s">
        <v>2637</v>
      </c>
    </row>
    <row r="1575" spans="1:2" x14ac:dyDescent="0.3">
      <c r="A1575" s="1" t="s">
        <v>1881</v>
      </c>
      <c r="B1575" s="1" t="s">
        <v>2637</v>
      </c>
    </row>
    <row r="1576" spans="1:2" x14ac:dyDescent="0.3">
      <c r="A1576" s="1" t="s">
        <v>1882</v>
      </c>
      <c r="B1576" s="1" t="s">
        <v>2638</v>
      </c>
    </row>
    <row r="1577" spans="1:2" x14ac:dyDescent="0.3">
      <c r="A1577" s="1" t="s">
        <v>1883</v>
      </c>
      <c r="B1577" s="1" t="s">
        <v>2637</v>
      </c>
    </row>
    <row r="1578" spans="1:2" x14ac:dyDescent="0.3">
      <c r="A1578" s="1" t="s">
        <v>1884</v>
      </c>
      <c r="B1578" s="1" t="s">
        <v>2637</v>
      </c>
    </row>
    <row r="1579" spans="1:2" x14ac:dyDescent="0.3">
      <c r="A1579" s="1" t="s">
        <v>1885</v>
      </c>
      <c r="B1579" s="1" t="s">
        <v>2638</v>
      </c>
    </row>
    <row r="1580" spans="1:2" x14ac:dyDescent="0.3">
      <c r="A1580" s="1" t="s">
        <v>1886</v>
      </c>
      <c r="B1580" s="1" t="s">
        <v>2637</v>
      </c>
    </row>
    <row r="1581" spans="1:2" x14ac:dyDescent="0.3">
      <c r="A1581" s="1" t="s">
        <v>1887</v>
      </c>
      <c r="B1581" s="1" t="s">
        <v>2637</v>
      </c>
    </row>
    <row r="1582" spans="1:2" x14ac:dyDescent="0.3">
      <c r="A1582" s="1" t="s">
        <v>1888</v>
      </c>
      <c r="B1582" s="1" t="s">
        <v>2637</v>
      </c>
    </row>
    <row r="1583" spans="1:2" x14ac:dyDescent="0.3">
      <c r="A1583" s="1" t="s">
        <v>1889</v>
      </c>
      <c r="B1583" s="1" t="s">
        <v>2637</v>
      </c>
    </row>
    <row r="1584" spans="1:2" x14ac:dyDescent="0.3">
      <c r="A1584" s="1" t="s">
        <v>1890</v>
      </c>
      <c r="B1584" s="1" t="s">
        <v>2637</v>
      </c>
    </row>
    <row r="1585" spans="1:2" x14ac:dyDescent="0.3">
      <c r="A1585" s="1" t="s">
        <v>1891</v>
      </c>
      <c r="B1585" s="1" t="s">
        <v>2638</v>
      </c>
    </row>
    <row r="1586" spans="1:2" x14ac:dyDescent="0.3">
      <c r="A1586" s="1" t="s">
        <v>1892</v>
      </c>
      <c r="B1586" s="1" t="s">
        <v>2637</v>
      </c>
    </row>
    <row r="1587" spans="1:2" x14ac:dyDescent="0.3">
      <c r="A1587" s="1" t="s">
        <v>1893</v>
      </c>
      <c r="B1587" s="1" t="s">
        <v>2637</v>
      </c>
    </row>
    <row r="1588" spans="1:2" x14ac:dyDescent="0.3">
      <c r="A1588" s="1" t="s">
        <v>1894</v>
      </c>
      <c r="B1588" s="1" t="s">
        <v>2637</v>
      </c>
    </row>
    <row r="1589" spans="1:2" x14ac:dyDescent="0.3">
      <c r="A1589" s="1" t="s">
        <v>1895</v>
      </c>
      <c r="B1589" s="1" t="s">
        <v>2637</v>
      </c>
    </row>
    <row r="1590" spans="1:2" x14ac:dyDescent="0.3">
      <c r="A1590" s="1" t="s">
        <v>1896</v>
      </c>
      <c r="B1590" s="1" t="s">
        <v>2638</v>
      </c>
    </row>
    <row r="1591" spans="1:2" x14ac:dyDescent="0.3">
      <c r="A1591" s="1" t="s">
        <v>1897</v>
      </c>
      <c r="B1591" s="1" t="s">
        <v>2637</v>
      </c>
    </row>
    <row r="1592" spans="1:2" x14ac:dyDescent="0.3">
      <c r="A1592" s="1" t="s">
        <v>1898</v>
      </c>
      <c r="B1592" s="1" t="s">
        <v>2637</v>
      </c>
    </row>
    <row r="1593" spans="1:2" x14ac:dyDescent="0.3">
      <c r="A1593" s="1" t="s">
        <v>1899</v>
      </c>
      <c r="B1593" s="1" t="s">
        <v>2638</v>
      </c>
    </row>
    <row r="1594" spans="1:2" x14ac:dyDescent="0.3">
      <c r="A1594" s="1" t="s">
        <v>1900</v>
      </c>
      <c r="B1594" s="1" t="s">
        <v>2637</v>
      </c>
    </row>
    <row r="1595" spans="1:2" x14ac:dyDescent="0.3">
      <c r="A1595" s="1" t="s">
        <v>1901</v>
      </c>
      <c r="B1595" s="1" t="s">
        <v>2637</v>
      </c>
    </row>
    <row r="1596" spans="1:2" x14ac:dyDescent="0.3">
      <c r="A1596" s="1" t="s">
        <v>1902</v>
      </c>
      <c r="B1596" s="1" t="s">
        <v>2637</v>
      </c>
    </row>
    <row r="1597" spans="1:2" x14ac:dyDescent="0.3">
      <c r="A1597" s="1" t="s">
        <v>1903</v>
      </c>
      <c r="B1597" s="1" t="s">
        <v>2637</v>
      </c>
    </row>
    <row r="1598" spans="1:2" x14ac:dyDescent="0.3">
      <c r="A1598" s="1" t="s">
        <v>1904</v>
      </c>
      <c r="B1598" s="1" t="s">
        <v>2637</v>
      </c>
    </row>
    <row r="1599" spans="1:2" x14ac:dyDescent="0.3">
      <c r="A1599" s="1" t="s">
        <v>1905</v>
      </c>
      <c r="B1599" s="1" t="s">
        <v>2637</v>
      </c>
    </row>
    <row r="1600" spans="1:2" x14ac:dyDescent="0.3">
      <c r="A1600" s="1" t="s">
        <v>1906</v>
      </c>
      <c r="B1600" s="1" t="s">
        <v>2637</v>
      </c>
    </row>
    <row r="1601" spans="1:2" x14ac:dyDescent="0.3">
      <c r="A1601" s="1" t="s">
        <v>1907</v>
      </c>
      <c r="B1601" s="1" t="s">
        <v>2637</v>
      </c>
    </row>
    <row r="1602" spans="1:2" x14ac:dyDescent="0.3">
      <c r="A1602" s="1" t="s">
        <v>1908</v>
      </c>
      <c r="B1602" s="1" t="s">
        <v>2638</v>
      </c>
    </row>
    <row r="1603" spans="1:2" x14ac:dyDescent="0.3">
      <c r="A1603" s="1" t="s">
        <v>1909</v>
      </c>
      <c r="B1603" s="1" t="s">
        <v>2638</v>
      </c>
    </row>
    <row r="1604" spans="1:2" x14ac:dyDescent="0.3">
      <c r="A1604" s="1" t="s">
        <v>1910</v>
      </c>
      <c r="B1604" s="1" t="s">
        <v>2638</v>
      </c>
    </row>
    <row r="1605" spans="1:2" x14ac:dyDescent="0.3">
      <c r="A1605" s="1" t="s">
        <v>1911</v>
      </c>
      <c r="B1605" s="1" t="s">
        <v>2638</v>
      </c>
    </row>
    <row r="1606" spans="1:2" x14ac:dyDescent="0.3">
      <c r="A1606" s="1" t="s">
        <v>1912</v>
      </c>
      <c r="B1606" s="1" t="s">
        <v>2638</v>
      </c>
    </row>
    <row r="1607" spans="1:2" x14ac:dyDescent="0.3">
      <c r="A1607" s="1" t="s">
        <v>1913</v>
      </c>
      <c r="B1607" s="1" t="s">
        <v>2637</v>
      </c>
    </row>
    <row r="1608" spans="1:2" x14ac:dyDescent="0.3">
      <c r="A1608" s="1" t="s">
        <v>1914</v>
      </c>
      <c r="B1608" s="1" t="s">
        <v>2637</v>
      </c>
    </row>
    <row r="1609" spans="1:2" x14ac:dyDescent="0.3">
      <c r="A1609" s="1" t="s">
        <v>1915</v>
      </c>
      <c r="B1609" s="1" t="s">
        <v>2638</v>
      </c>
    </row>
    <row r="1610" spans="1:2" x14ac:dyDescent="0.3">
      <c r="A1610" s="1" t="s">
        <v>1916</v>
      </c>
      <c r="B1610" s="1" t="s">
        <v>2637</v>
      </c>
    </row>
    <row r="1611" spans="1:2" x14ac:dyDescent="0.3">
      <c r="A1611" s="1" t="s">
        <v>1917</v>
      </c>
      <c r="B1611" s="1" t="s">
        <v>2637</v>
      </c>
    </row>
    <row r="1612" spans="1:2" x14ac:dyDescent="0.3">
      <c r="A1612" s="1" t="s">
        <v>1918</v>
      </c>
      <c r="B1612" s="1" t="s">
        <v>2637</v>
      </c>
    </row>
    <row r="1613" spans="1:2" x14ac:dyDescent="0.3">
      <c r="A1613" s="1" t="s">
        <v>1919</v>
      </c>
      <c r="B1613" s="1" t="s">
        <v>2637</v>
      </c>
    </row>
    <row r="1614" spans="1:2" x14ac:dyDescent="0.3">
      <c r="A1614" s="1" t="s">
        <v>1920</v>
      </c>
      <c r="B1614" s="1" t="s">
        <v>2637</v>
      </c>
    </row>
    <row r="1615" spans="1:2" x14ac:dyDescent="0.3">
      <c r="A1615" s="1" t="s">
        <v>1921</v>
      </c>
      <c r="B1615" s="1" t="s">
        <v>2637</v>
      </c>
    </row>
    <row r="1616" spans="1:2" x14ac:dyDescent="0.3">
      <c r="A1616" s="1" t="s">
        <v>1922</v>
      </c>
      <c r="B1616" s="1" t="s">
        <v>2637</v>
      </c>
    </row>
    <row r="1617" spans="1:2" x14ac:dyDescent="0.3">
      <c r="A1617" s="1" t="s">
        <v>1923</v>
      </c>
      <c r="B1617" s="1" t="s">
        <v>2637</v>
      </c>
    </row>
    <row r="1618" spans="1:2" x14ac:dyDescent="0.3">
      <c r="A1618" s="1" t="s">
        <v>1924</v>
      </c>
      <c r="B1618" s="1" t="s">
        <v>2637</v>
      </c>
    </row>
    <row r="1619" spans="1:2" x14ac:dyDescent="0.3">
      <c r="A1619" s="1" t="s">
        <v>1925</v>
      </c>
      <c r="B1619" s="1" t="s">
        <v>2637</v>
      </c>
    </row>
    <row r="1620" spans="1:2" x14ac:dyDescent="0.3">
      <c r="A1620" s="1" t="s">
        <v>1926</v>
      </c>
      <c r="B1620" s="1" t="s">
        <v>2637</v>
      </c>
    </row>
    <row r="1621" spans="1:2" x14ac:dyDescent="0.3">
      <c r="A1621" s="1" t="s">
        <v>1927</v>
      </c>
      <c r="B1621" s="1" t="s">
        <v>2637</v>
      </c>
    </row>
    <row r="1622" spans="1:2" x14ac:dyDescent="0.3">
      <c r="A1622" s="1" t="s">
        <v>1928</v>
      </c>
      <c r="B1622" s="1" t="s">
        <v>2637</v>
      </c>
    </row>
    <row r="1623" spans="1:2" x14ac:dyDescent="0.3">
      <c r="A1623" s="1" t="s">
        <v>1929</v>
      </c>
      <c r="B1623" s="1" t="s">
        <v>2638</v>
      </c>
    </row>
    <row r="1624" spans="1:2" x14ac:dyDescent="0.3">
      <c r="A1624" s="1" t="s">
        <v>1930</v>
      </c>
      <c r="B1624" s="1" t="s">
        <v>2638</v>
      </c>
    </row>
    <row r="1625" spans="1:2" x14ac:dyDescent="0.3">
      <c r="A1625" s="1" t="s">
        <v>1931</v>
      </c>
      <c r="B1625" s="1" t="s">
        <v>2637</v>
      </c>
    </row>
    <row r="1626" spans="1:2" x14ac:dyDescent="0.3">
      <c r="A1626" s="1" t="s">
        <v>1932</v>
      </c>
      <c r="B1626" s="1" t="s">
        <v>2637</v>
      </c>
    </row>
    <row r="1627" spans="1:2" x14ac:dyDescent="0.3">
      <c r="A1627" s="1" t="s">
        <v>1933</v>
      </c>
      <c r="B1627" s="1" t="s">
        <v>2637</v>
      </c>
    </row>
    <row r="1628" spans="1:2" x14ac:dyDescent="0.3">
      <c r="A1628" s="1" t="s">
        <v>1934</v>
      </c>
      <c r="B1628" s="1" t="s">
        <v>2637</v>
      </c>
    </row>
    <row r="1629" spans="1:2" x14ac:dyDescent="0.3">
      <c r="A1629" s="1" t="s">
        <v>1935</v>
      </c>
      <c r="B1629" s="1" t="s">
        <v>2637</v>
      </c>
    </row>
    <row r="1630" spans="1:2" x14ac:dyDescent="0.3">
      <c r="A1630" s="1" t="s">
        <v>1936</v>
      </c>
      <c r="B1630" s="1" t="s">
        <v>2638</v>
      </c>
    </row>
    <row r="1631" spans="1:2" x14ac:dyDescent="0.3">
      <c r="A1631" s="1" t="s">
        <v>1937</v>
      </c>
      <c r="B1631" s="1" t="s">
        <v>2638</v>
      </c>
    </row>
    <row r="1632" spans="1:2" x14ac:dyDescent="0.3">
      <c r="A1632" s="1" t="s">
        <v>1938</v>
      </c>
      <c r="B1632" s="1" t="s">
        <v>2637</v>
      </c>
    </row>
    <row r="1633" spans="1:2" x14ac:dyDescent="0.3">
      <c r="A1633" s="1" t="s">
        <v>1939</v>
      </c>
      <c r="B1633" s="1" t="s">
        <v>2638</v>
      </c>
    </row>
    <row r="1634" spans="1:2" x14ac:dyDescent="0.3">
      <c r="A1634" s="1" t="s">
        <v>1940</v>
      </c>
      <c r="B1634" s="1" t="s">
        <v>2638</v>
      </c>
    </row>
    <row r="1635" spans="1:2" x14ac:dyDescent="0.3">
      <c r="A1635" s="1" t="s">
        <v>1941</v>
      </c>
      <c r="B1635" s="1" t="s">
        <v>2637</v>
      </c>
    </row>
    <row r="1636" spans="1:2" x14ac:dyDescent="0.3">
      <c r="A1636" s="1" t="s">
        <v>1942</v>
      </c>
      <c r="B1636" s="1" t="s">
        <v>2638</v>
      </c>
    </row>
    <row r="1637" spans="1:2" x14ac:dyDescent="0.3">
      <c r="A1637" s="1" t="s">
        <v>1943</v>
      </c>
      <c r="B1637" s="1" t="s">
        <v>2637</v>
      </c>
    </row>
    <row r="1638" spans="1:2" x14ac:dyDescent="0.3">
      <c r="A1638" s="1" t="s">
        <v>1944</v>
      </c>
      <c r="B1638" s="1" t="s">
        <v>2637</v>
      </c>
    </row>
    <row r="1639" spans="1:2" x14ac:dyDescent="0.3">
      <c r="A1639" s="1" t="s">
        <v>1945</v>
      </c>
      <c r="B1639" s="1" t="s">
        <v>2637</v>
      </c>
    </row>
    <row r="1640" spans="1:2" x14ac:dyDescent="0.3">
      <c r="A1640" s="1" t="s">
        <v>1946</v>
      </c>
      <c r="B1640" s="1" t="s">
        <v>2637</v>
      </c>
    </row>
    <row r="1641" spans="1:2" x14ac:dyDescent="0.3">
      <c r="A1641" s="1" t="s">
        <v>1947</v>
      </c>
      <c r="B1641" s="1" t="s">
        <v>2637</v>
      </c>
    </row>
    <row r="1642" spans="1:2" x14ac:dyDescent="0.3">
      <c r="A1642" s="1" t="s">
        <v>1948</v>
      </c>
      <c r="B1642" s="1" t="s">
        <v>2637</v>
      </c>
    </row>
    <row r="1643" spans="1:2" x14ac:dyDescent="0.3">
      <c r="A1643" s="1" t="s">
        <v>1949</v>
      </c>
      <c r="B1643" s="1" t="s">
        <v>2637</v>
      </c>
    </row>
    <row r="1644" spans="1:2" x14ac:dyDescent="0.3">
      <c r="A1644" s="1" t="s">
        <v>1950</v>
      </c>
      <c r="B1644" s="1" t="s">
        <v>2637</v>
      </c>
    </row>
    <row r="1645" spans="1:2" x14ac:dyDescent="0.3">
      <c r="A1645" s="1" t="s">
        <v>1951</v>
      </c>
      <c r="B1645" s="1" t="s">
        <v>2638</v>
      </c>
    </row>
    <row r="1646" spans="1:2" x14ac:dyDescent="0.3">
      <c r="A1646" s="1" t="s">
        <v>1952</v>
      </c>
      <c r="B1646" s="1" t="s">
        <v>2638</v>
      </c>
    </row>
    <row r="1647" spans="1:2" x14ac:dyDescent="0.3">
      <c r="A1647" s="1" t="s">
        <v>1953</v>
      </c>
      <c r="B1647" s="1" t="s">
        <v>2637</v>
      </c>
    </row>
    <row r="1648" spans="1:2" x14ac:dyDescent="0.3">
      <c r="A1648" s="1" t="s">
        <v>1954</v>
      </c>
      <c r="B1648" s="1" t="s">
        <v>2637</v>
      </c>
    </row>
    <row r="1649" spans="1:2" x14ac:dyDescent="0.3">
      <c r="A1649" s="1" t="s">
        <v>1955</v>
      </c>
      <c r="B1649" s="1" t="s">
        <v>2637</v>
      </c>
    </row>
    <row r="1650" spans="1:2" x14ac:dyDescent="0.3">
      <c r="A1650" s="1" t="s">
        <v>1956</v>
      </c>
      <c r="B1650" s="1" t="s">
        <v>2637</v>
      </c>
    </row>
    <row r="1651" spans="1:2" x14ac:dyDescent="0.3">
      <c r="A1651" s="1" t="s">
        <v>1957</v>
      </c>
      <c r="B1651" s="1" t="s">
        <v>2638</v>
      </c>
    </row>
    <row r="1652" spans="1:2" x14ac:dyDescent="0.3">
      <c r="A1652" s="1" t="s">
        <v>1958</v>
      </c>
      <c r="B1652" s="1" t="s">
        <v>2637</v>
      </c>
    </row>
    <row r="1653" spans="1:2" x14ac:dyDescent="0.3">
      <c r="A1653" s="1" t="s">
        <v>1959</v>
      </c>
      <c r="B1653" s="1" t="s">
        <v>2637</v>
      </c>
    </row>
    <row r="1654" spans="1:2" x14ac:dyDescent="0.3">
      <c r="A1654" s="1" t="s">
        <v>1960</v>
      </c>
      <c r="B1654" s="1" t="s">
        <v>2637</v>
      </c>
    </row>
    <row r="1655" spans="1:2" x14ac:dyDescent="0.3">
      <c r="A1655" s="1" t="s">
        <v>1961</v>
      </c>
      <c r="B1655" s="1" t="s">
        <v>2637</v>
      </c>
    </row>
    <row r="1656" spans="1:2" x14ac:dyDescent="0.3">
      <c r="A1656" s="1" t="s">
        <v>1962</v>
      </c>
      <c r="B1656" s="1" t="s">
        <v>2637</v>
      </c>
    </row>
    <row r="1657" spans="1:2" x14ac:dyDescent="0.3">
      <c r="A1657" s="1" t="s">
        <v>1963</v>
      </c>
      <c r="B1657" s="1" t="s">
        <v>2637</v>
      </c>
    </row>
    <row r="1658" spans="1:2" x14ac:dyDescent="0.3">
      <c r="A1658" s="1" t="s">
        <v>1964</v>
      </c>
      <c r="B1658" s="1" t="s">
        <v>2638</v>
      </c>
    </row>
    <row r="1659" spans="1:2" x14ac:dyDescent="0.3">
      <c r="A1659" s="1" t="s">
        <v>1965</v>
      </c>
      <c r="B1659" s="1" t="s">
        <v>2637</v>
      </c>
    </row>
    <row r="1660" spans="1:2" x14ac:dyDescent="0.3">
      <c r="A1660" s="1" t="s">
        <v>1966</v>
      </c>
      <c r="B1660" s="1" t="s">
        <v>2637</v>
      </c>
    </row>
    <row r="1661" spans="1:2" x14ac:dyDescent="0.3">
      <c r="A1661" s="1" t="s">
        <v>1967</v>
      </c>
      <c r="B1661" s="1" t="s">
        <v>2637</v>
      </c>
    </row>
    <row r="1662" spans="1:2" x14ac:dyDescent="0.3">
      <c r="A1662" s="1" t="s">
        <v>1968</v>
      </c>
      <c r="B1662" s="1" t="s">
        <v>2637</v>
      </c>
    </row>
    <row r="1663" spans="1:2" x14ac:dyDescent="0.3">
      <c r="A1663" s="1" t="s">
        <v>1969</v>
      </c>
      <c r="B1663" s="1" t="s">
        <v>2638</v>
      </c>
    </row>
    <row r="1664" spans="1:2" x14ac:dyDescent="0.3">
      <c r="A1664" s="1" t="s">
        <v>1970</v>
      </c>
      <c r="B1664" s="1" t="s">
        <v>2637</v>
      </c>
    </row>
    <row r="1665" spans="1:2" x14ac:dyDescent="0.3">
      <c r="A1665" s="1" t="s">
        <v>1971</v>
      </c>
      <c r="B1665" s="1" t="s">
        <v>2637</v>
      </c>
    </row>
    <row r="1666" spans="1:2" x14ac:dyDescent="0.3">
      <c r="A1666" s="1" t="s">
        <v>1972</v>
      </c>
      <c r="B1666" s="1" t="s">
        <v>2638</v>
      </c>
    </row>
    <row r="1667" spans="1:2" x14ac:dyDescent="0.3">
      <c r="A1667" s="1" t="s">
        <v>1973</v>
      </c>
      <c r="B1667" s="1" t="s">
        <v>2637</v>
      </c>
    </row>
    <row r="1668" spans="1:2" x14ac:dyDescent="0.3">
      <c r="A1668" s="1" t="s">
        <v>1974</v>
      </c>
      <c r="B1668" s="1" t="s">
        <v>2637</v>
      </c>
    </row>
    <row r="1669" spans="1:2" x14ac:dyDescent="0.3">
      <c r="A1669" s="1" t="s">
        <v>1975</v>
      </c>
      <c r="B1669" s="1" t="s">
        <v>2637</v>
      </c>
    </row>
    <row r="1670" spans="1:2" x14ac:dyDescent="0.3">
      <c r="A1670" s="1" t="s">
        <v>1976</v>
      </c>
      <c r="B1670" s="1" t="s">
        <v>2637</v>
      </c>
    </row>
    <row r="1671" spans="1:2" x14ac:dyDescent="0.3">
      <c r="A1671" s="1" t="s">
        <v>1977</v>
      </c>
      <c r="B1671" s="1" t="s">
        <v>2637</v>
      </c>
    </row>
    <row r="1672" spans="1:2" x14ac:dyDescent="0.3">
      <c r="A1672" s="1" t="s">
        <v>1978</v>
      </c>
      <c r="B1672" s="1" t="s">
        <v>2637</v>
      </c>
    </row>
    <row r="1673" spans="1:2" x14ac:dyDescent="0.3">
      <c r="A1673" s="1" t="s">
        <v>1979</v>
      </c>
      <c r="B1673" s="1" t="s">
        <v>2637</v>
      </c>
    </row>
    <row r="1674" spans="1:2" x14ac:dyDescent="0.3">
      <c r="A1674" s="1" t="s">
        <v>1980</v>
      </c>
      <c r="B1674" s="1" t="s">
        <v>2637</v>
      </c>
    </row>
    <row r="1675" spans="1:2" x14ac:dyDescent="0.3">
      <c r="A1675" s="1" t="s">
        <v>1981</v>
      </c>
      <c r="B1675" s="1" t="s">
        <v>2637</v>
      </c>
    </row>
    <row r="1676" spans="1:2" x14ac:dyDescent="0.3">
      <c r="A1676" s="1" t="s">
        <v>1982</v>
      </c>
      <c r="B1676" s="1" t="s">
        <v>2638</v>
      </c>
    </row>
    <row r="1677" spans="1:2" x14ac:dyDescent="0.3">
      <c r="A1677" s="1" t="s">
        <v>1983</v>
      </c>
      <c r="B1677" s="1" t="s">
        <v>2637</v>
      </c>
    </row>
    <row r="1678" spans="1:2" x14ac:dyDescent="0.3">
      <c r="A1678" s="1" t="s">
        <v>1984</v>
      </c>
      <c r="B1678" s="1" t="s">
        <v>2637</v>
      </c>
    </row>
    <row r="1679" spans="1:2" x14ac:dyDescent="0.3">
      <c r="A1679" s="1" t="s">
        <v>1985</v>
      </c>
      <c r="B1679" s="1" t="s">
        <v>2637</v>
      </c>
    </row>
    <row r="1680" spans="1:2" x14ac:dyDescent="0.3">
      <c r="A1680" s="1" t="s">
        <v>1986</v>
      </c>
      <c r="B1680" s="1" t="s">
        <v>2637</v>
      </c>
    </row>
    <row r="1681" spans="1:2" x14ac:dyDescent="0.3">
      <c r="A1681" s="1" t="s">
        <v>1987</v>
      </c>
      <c r="B1681" s="1" t="s">
        <v>2637</v>
      </c>
    </row>
    <row r="1682" spans="1:2" x14ac:dyDescent="0.3">
      <c r="A1682" s="1" t="s">
        <v>1988</v>
      </c>
      <c r="B1682" s="1" t="s">
        <v>2637</v>
      </c>
    </row>
    <row r="1683" spans="1:2" x14ac:dyDescent="0.3">
      <c r="A1683" s="1" t="s">
        <v>1989</v>
      </c>
      <c r="B1683" s="1" t="s">
        <v>2637</v>
      </c>
    </row>
    <row r="1684" spans="1:2" x14ac:dyDescent="0.3">
      <c r="A1684" s="1" t="s">
        <v>1990</v>
      </c>
      <c r="B1684" s="1" t="s">
        <v>2638</v>
      </c>
    </row>
    <row r="1685" spans="1:2" x14ac:dyDescent="0.3">
      <c r="A1685" s="1" t="s">
        <v>1991</v>
      </c>
      <c r="B1685" s="1" t="s">
        <v>2638</v>
      </c>
    </row>
    <row r="1686" spans="1:2" x14ac:dyDescent="0.3">
      <c r="A1686" s="1" t="s">
        <v>1992</v>
      </c>
      <c r="B1686" s="1" t="s">
        <v>2637</v>
      </c>
    </row>
    <row r="1687" spans="1:2" x14ac:dyDescent="0.3">
      <c r="A1687" s="1" t="s">
        <v>1993</v>
      </c>
      <c r="B1687" s="1" t="s">
        <v>2638</v>
      </c>
    </row>
    <row r="1688" spans="1:2" x14ac:dyDescent="0.3">
      <c r="A1688" s="1" t="s">
        <v>1994</v>
      </c>
      <c r="B1688" s="1" t="s">
        <v>2637</v>
      </c>
    </row>
    <row r="1689" spans="1:2" x14ac:dyDescent="0.3">
      <c r="A1689" s="1" t="s">
        <v>1995</v>
      </c>
      <c r="B1689" s="1" t="s">
        <v>2638</v>
      </c>
    </row>
    <row r="1690" spans="1:2" x14ac:dyDescent="0.3">
      <c r="A1690" s="1" t="s">
        <v>1996</v>
      </c>
      <c r="B1690" s="1" t="s">
        <v>2637</v>
      </c>
    </row>
    <row r="1691" spans="1:2" x14ac:dyDescent="0.3">
      <c r="A1691" s="1" t="s">
        <v>1997</v>
      </c>
      <c r="B1691" s="1" t="s">
        <v>2637</v>
      </c>
    </row>
    <row r="1692" spans="1:2" x14ac:dyDescent="0.3">
      <c r="A1692" s="1" t="s">
        <v>1998</v>
      </c>
      <c r="B1692" s="1" t="s">
        <v>2637</v>
      </c>
    </row>
    <row r="1693" spans="1:2" x14ac:dyDescent="0.3">
      <c r="A1693" s="1" t="s">
        <v>1999</v>
      </c>
      <c r="B1693" s="1" t="s">
        <v>2637</v>
      </c>
    </row>
    <row r="1694" spans="1:2" x14ac:dyDescent="0.3">
      <c r="A1694" s="1" t="s">
        <v>2000</v>
      </c>
      <c r="B1694" s="1" t="s">
        <v>2637</v>
      </c>
    </row>
    <row r="1695" spans="1:2" x14ac:dyDescent="0.3">
      <c r="A1695" s="1" t="s">
        <v>2001</v>
      </c>
      <c r="B1695" s="1" t="s">
        <v>2638</v>
      </c>
    </row>
    <row r="1696" spans="1:2" x14ac:dyDescent="0.3">
      <c r="A1696" s="1" t="s">
        <v>2002</v>
      </c>
      <c r="B1696" s="1" t="s">
        <v>2638</v>
      </c>
    </row>
    <row r="1697" spans="1:2" x14ac:dyDescent="0.3">
      <c r="A1697" s="1" t="s">
        <v>2003</v>
      </c>
      <c r="B1697" s="1" t="s">
        <v>2637</v>
      </c>
    </row>
    <row r="1698" spans="1:2" x14ac:dyDescent="0.3">
      <c r="A1698" s="1" t="s">
        <v>2004</v>
      </c>
      <c r="B1698" s="1" t="s">
        <v>2637</v>
      </c>
    </row>
    <row r="1699" spans="1:2" x14ac:dyDescent="0.3">
      <c r="A1699" s="1" t="s">
        <v>2005</v>
      </c>
      <c r="B1699" s="1" t="s">
        <v>2637</v>
      </c>
    </row>
    <row r="1700" spans="1:2" x14ac:dyDescent="0.3">
      <c r="A1700" s="1" t="s">
        <v>2006</v>
      </c>
      <c r="B1700" s="1" t="s">
        <v>2637</v>
      </c>
    </row>
    <row r="1701" spans="1:2" x14ac:dyDescent="0.3">
      <c r="A1701" s="1" t="s">
        <v>2007</v>
      </c>
      <c r="B1701" s="1" t="s">
        <v>2637</v>
      </c>
    </row>
    <row r="1702" spans="1:2" x14ac:dyDescent="0.3">
      <c r="A1702" s="1" t="s">
        <v>2008</v>
      </c>
      <c r="B1702" s="1" t="s">
        <v>2637</v>
      </c>
    </row>
    <row r="1703" spans="1:2" x14ac:dyDescent="0.3">
      <c r="A1703" s="1" t="s">
        <v>2009</v>
      </c>
      <c r="B1703" s="1" t="s">
        <v>2638</v>
      </c>
    </row>
    <row r="1704" spans="1:2" x14ac:dyDescent="0.3">
      <c r="A1704" s="1" t="s">
        <v>2010</v>
      </c>
      <c r="B1704" s="1" t="s">
        <v>2637</v>
      </c>
    </row>
    <row r="1705" spans="1:2" x14ac:dyDescent="0.3">
      <c r="A1705" s="1" t="s">
        <v>2011</v>
      </c>
      <c r="B1705" s="1" t="s">
        <v>2637</v>
      </c>
    </row>
    <row r="1706" spans="1:2" x14ac:dyDescent="0.3">
      <c r="A1706" s="1" t="s">
        <v>2012</v>
      </c>
      <c r="B1706" s="1" t="s">
        <v>2637</v>
      </c>
    </row>
    <row r="1707" spans="1:2" x14ac:dyDescent="0.3">
      <c r="A1707" s="1" t="s">
        <v>2013</v>
      </c>
      <c r="B1707" s="1" t="s">
        <v>2637</v>
      </c>
    </row>
    <row r="1708" spans="1:2" x14ac:dyDescent="0.3">
      <c r="A1708" s="1" t="s">
        <v>2014</v>
      </c>
      <c r="B1708" s="1" t="s">
        <v>2637</v>
      </c>
    </row>
    <row r="1709" spans="1:2" x14ac:dyDescent="0.3">
      <c r="A1709" s="1" t="s">
        <v>2015</v>
      </c>
      <c r="B1709" s="1" t="s">
        <v>2637</v>
      </c>
    </row>
    <row r="1710" spans="1:2" x14ac:dyDescent="0.3">
      <c r="A1710" s="1" t="s">
        <v>2016</v>
      </c>
      <c r="B1710" s="1" t="s">
        <v>2637</v>
      </c>
    </row>
    <row r="1711" spans="1:2" x14ac:dyDescent="0.3">
      <c r="A1711" s="1" t="s">
        <v>2017</v>
      </c>
      <c r="B1711" s="1" t="s">
        <v>2638</v>
      </c>
    </row>
    <row r="1712" spans="1:2" x14ac:dyDescent="0.3">
      <c r="A1712" s="1" t="s">
        <v>2018</v>
      </c>
      <c r="B1712" s="1" t="s">
        <v>2638</v>
      </c>
    </row>
    <row r="1713" spans="1:2" x14ac:dyDescent="0.3">
      <c r="A1713" s="1" t="s">
        <v>2019</v>
      </c>
      <c r="B1713" s="1" t="s">
        <v>2637</v>
      </c>
    </row>
    <row r="1714" spans="1:2" x14ac:dyDescent="0.3">
      <c r="A1714" s="1" t="s">
        <v>2020</v>
      </c>
      <c r="B1714" s="1" t="s">
        <v>2637</v>
      </c>
    </row>
    <row r="1715" spans="1:2" x14ac:dyDescent="0.3">
      <c r="A1715" s="1" t="s">
        <v>2021</v>
      </c>
      <c r="B1715" s="1" t="s">
        <v>2637</v>
      </c>
    </row>
    <row r="1716" spans="1:2" x14ac:dyDescent="0.3">
      <c r="A1716" s="1" t="s">
        <v>2022</v>
      </c>
      <c r="B1716" s="1" t="s">
        <v>2638</v>
      </c>
    </row>
    <row r="1717" spans="1:2" x14ac:dyDescent="0.3">
      <c r="A1717" s="1" t="s">
        <v>2023</v>
      </c>
      <c r="B1717" s="1" t="s">
        <v>2638</v>
      </c>
    </row>
    <row r="1718" spans="1:2" x14ac:dyDescent="0.3">
      <c r="A1718" s="1" t="s">
        <v>2024</v>
      </c>
      <c r="B1718" s="1" t="s">
        <v>2637</v>
      </c>
    </row>
    <row r="1719" spans="1:2" x14ac:dyDescent="0.3">
      <c r="A1719" s="1" t="s">
        <v>2025</v>
      </c>
      <c r="B1719" s="1" t="s">
        <v>2637</v>
      </c>
    </row>
    <row r="1720" spans="1:2" x14ac:dyDescent="0.3">
      <c r="A1720" s="1" t="s">
        <v>2026</v>
      </c>
      <c r="B1720" s="1" t="s">
        <v>2637</v>
      </c>
    </row>
    <row r="1721" spans="1:2" x14ac:dyDescent="0.3">
      <c r="A1721" s="1" t="s">
        <v>2027</v>
      </c>
      <c r="B1721" s="1" t="s">
        <v>2637</v>
      </c>
    </row>
    <row r="1722" spans="1:2" x14ac:dyDescent="0.3">
      <c r="A1722" s="1" t="s">
        <v>2028</v>
      </c>
      <c r="B1722" s="1" t="s">
        <v>2638</v>
      </c>
    </row>
    <row r="1723" spans="1:2" x14ac:dyDescent="0.3">
      <c r="A1723" s="1" t="s">
        <v>2029</v>
      </c>
      <c r="B1723" s="1" t="s">
        <v>2637</v>
      </c>
    </row>
    <row r="1724" spans="1:2" x14ac:dyDescent="0.3">
      <c r="A1724" s="1" t="s">
        <v>2030</v>
      </c>
      <c r="B1724" s="1" t="s">
        <v>2637</v>
      </c>
    </row>
    <row r="1725" spans="1:2" x14ac:dyDescent="0.3">
      <c r="A1725" s="1" t="s">
        <v>2031</v>
      </c>
      <c r="B1725" s="1" t="s">
        <v>2637</v>
      </c>
    </row>
    <row r="1726" spans="1:2" x14ac:dyDescent="0.3">
      <c r="A1726" s="1" t="s">
        <v>2032</v>
      </c>
      <c r="B1726" s="1" t="s">
        <v>2637</v>
      </c>
    </row>
    <row r="1727" spans="1:2" x14ac:dyDescent="0.3">
      <c r="A1727" s="1" t="s">
        <v>2033</v>
      </c>
      <c r="B1727" s="1" t="s">
        <v>2637</v>
      </c>
    </row>
    <row r="1728" spans="1:2" x14ac:dyDescent="0.3">
      <c r="A1728" s="1" t="s">
        <v>2034</v>
      </c>
      <c r="B1728" s="1" t="s">
        <v>2638</v>
      </c>
    </row>
    <row r="1729" spans="1:2" x14ac:dyDescent="0.3">
      <c r="A1729" s="1" t="s">
        <v>2035</v>
      </c>
      <c r="B1729" s="1" t="s">
        <v>2637</v>
      </c>
    </row>
    <row r="1730" spans="1:2" x14ac:dyDescent="0.3">
      <c r="A1730" s="1" t="s">
        <v>2036</v>
      </c>
      <c r="B1730" s="1" t="s">
        <v>2638</v>
      </c>
    </row>
    <row r="1731" spans="1:2" x14ac:dyDescent="0.3">
      <c r="A1731" s="1" t="s">
        <v>2037</v>
      </c>
      <c r="B1731" s="1" t="s">
        <v>2637</v>
      </c>
    </row>
    <row r="1732" spans="1:2" x14ac:dyDescent="0.3">
      <c r="A1732" s="1" t="s">
        <v>2038</v>
      </c>
      <c r="B1732" s="1" t="s">
        <v>2637</v>
      </c>
    </row>
    <row r="1733" spans="1:2" x14ac:dyDescent="0.3">
      <c r="A1733" s="1" t="s">
        <v>2039</v>
      </c>
      <c r="B1733" s="1" t="s">
        <v>2637</v>
      </c>
    </row>
    <row r="1734" spans="1:2" x14ac:dyDescent="0.3">
      <c r="A1734" s="1" t="s">
        <v>2040</v>
      </c>
      <c r="B1734" s="1" t="s">
        <v>2637</v>
      </c>
    </row>
    <row r="1735" spans="1:2" x14ac:dyDescent="0.3">
      <c r="A1735" s="1" t="s">
        <v>2041</v>
      </c>
      <c r="B1735" s="1" t="s">
        <v>2637</v>
      </c>
    </row>
    <row r="1736" spans="1:2" x14ac:dyDescent="0.3">
      <c r="A1736" s="1" t="s">
        <v>2042</v>
      </c>
      <c r="B1736" s="1" t="s">
        <v>2638</v>
      </c>
    </row>
    <row r="1737" spans="1:2" x14ac:dyDescent="0.3">
      <c r="A1737" s="1" t="s">
        <v>2043</v>
      </c>
      <c r="B1737" s="1" t="s">
        <v>2637</v>
      </c>
    </row>
    <row r="1738" spans="1:2" x14ac:dyDescent="0.3">
      <c r="A1738" s="1" t="s">
        <v>2044</v>
      </c>
      <c r="B1738" s="1" t="s">
        <v>2637</v>
      </c>
    </row>
    <row r="1739" spans="1:2" x14ac:dyDescent="0.3">
      <c r="A1739" s="1" t="s">
        <v>2045</v>
      </c>
      <c r="B1739" s="1" t="s">
        <v>2637</v>
      </c>
    </row>
    <row r="1740" spans="1:2" x14ac:dyDescent="0.3">
      <c r="A1740" s="1" t="s">
        <v>2046</v>
      </c>
      <c r="B1740" s="1" t="s">
        <v>2637</v>
      </c>
    </row>
    <row r="1741" spans="1:2" x14ac:dyDescent="0.3">
      <c r="A1741" s="1" t="s">
        <v>2047</v>
      </c>
      <c r="B1741" s="1" t="s">
        <v>2637</v>
      </c>
    </row>
    <row r="1742" spans="1:2" x14ac:dyDescent="0.3">
      <c r="A1742" s="1" t="s">
        <v>2048</v>
      </c>
      <c r="B1742" s="1" t="s">
        <v>2637</v>
      </c>
    </row>
    <row r="1743" spans="1:2" x14ac:dyDescent="0.3">
      <c r="A1743" s="1" t="s">
        <v>2049</v>
      </c>
      <c r="B1743" s="1" t="s">
        <v>2637</v>
      </c>
    </row>
    <row r="1744" spans="1:2" x14ac:dyDescent="0.3">
      <c r="A1744" s="1" t="s">
        <v>2050</v>
      </c>
      <c r="B1744" s="1" t="s">
        <v>2638</v>
      </c>
    </row>
    <row r="1745" spans="1:2" x14ac:dyDescent="0.3">
      <c r="A1745" s="1" t="s">
        <v>2051</v>
      </c>
      <c r="B1745" s="1" t="s">
        <v>2637</v>
      </c>
    </row>
    <row r="1746" spans="1:2" x14ac:dyDescent="0.3">
      <c r="A1746" s="1" t="s">
        <v>2052</v>
      </c>
      <c r="B1746" s="1" t="s">
        <v>2637</v>
      </c>
    </row>
    <row r="1747" spans="1:2" x14ac:dyDescent="0.3">
      <c r="A1747" s="1" t="s">
        <v>2053</v>
      </c>
      <c r="B1747" s="1" t="s">
        <v>2637</v>
      </c>
    </row>
    <row r="1748" spans="1:2" x14ac:dyDescent="0.3">
      <c r="A1748" s="1" t="s">
        <v>2054</v>
      </c>
      <c r="B1748" s="1" t="s">
        <v>2638</v>
      </c>
    </row>
    <row r="1749" spans="1:2" x14ac:dyDescent="0.3">
      <c r="A1749" s="1" t="s">
        <v>2055</v>
      </c>
      <c r="B1749" s="1" t="s">
        <v>2637</v>
      </c>
    </row>
    <row r="1750" spans="1:2" x14ac:dyDescent="0.3">
      <c r="A1750" s="1" t="s">
        <v>2056</v>
      </c>
      <c r="B1750" s="1" t="s">
        <v>2638</v>
      </c>
    </row>
    <row r="1751" spans="1:2" x14ac:dyDescent="0.3">
      <c r="A1751" s="1" t="s">
        <v>2057</v>
      </c>
      <c r="B1751" s="1" t="s">
        <v>2637</v>
      </c>
    </row>
    <row r="1752" spans="1:2" x14ac:dyDescent="0.3">
      <c r="A1752" s="1" t="s">
        <v>2058</v>
      </c>
      <c r="B1752" s="1" t="s">
        <v>2637</v>
      </c>
    </row>
    <row r="1753" spans="1:2" x14ac:dyDescent="0.3">
      <c r="A1753" s="1" t="s">
        <v>2059</v>
      </c>
      <c r="B1753" s="1" t="s">
        <v>2637</v>
      </c>
    </row>
    <row r="1754" spans="1:2" x14ac:dyDescent="0.3">
      <c r="A1754" s="1" t="s">
        <v>2060</v>
      </c>
      <c r="B1754" s="1" t="s">
        <v>2637</v>
      </c>
    </row>
    <row r="1755" spans="1:2" x14ac:dyDescent="0.3">
      <c r="A1755" s="1" t="s">
        <v>2061</v>
      </c>
      <c r="B1755" s="1" t="s">
        <v>2637</v>
      </c>
    </row>
    <row r="1756" spans="1:2" x14ac:dyDescent="0.3">
      <c r="A1756" s="1" t="s">
        <v>2062</v>
      </c>
      <c r="B1756" s="1" t="s">
        <v>2637</v>
      </c>
    </row>
    <row r="1757" spans="1:2" x14ac:dyDescent="0.3">
      <c r="A1757" s="1" t="s">
        <v>2063</v>
      </c>
      <c r="B1757" s="1" t="s">
        <v>2637</v>
      </c>
    </row>
    <row r="1758" spans="1:2" x14ac:dyDescent="0.3">
      <c r="A1758" s="1" t="s">
        <v>2064</v>
      </c>
      <c r="B1758" s="1" t="s">
        <v>2637</v>
      </c>
    </row>
    <row r="1759" spans="1:2" x14ac:dyDescent="0.3">
      <c r="A1759" s="1" t="s">
        <v>2065</v>
      </c>
      <c r="B1759" s="1" t="s">
        <v>2637</v>
      </c>
    </row>
    <row r="1760" spans="1:2" x14ac:dyDescent="0.3">
      <c r="A1760" s="1" t="s">
        <v>2066</v>
      </c>
      <c r="B1760" s="1" t="s">
        <v>2637</v>
      </c>
    </row>
    <row r="1761" spans="1:2" x14ac:dyDescent="0.3">
      <c r="A1761" s="1" t="s">
        <v>2067</v>
      </c>
      <c r="B1761" s="1" t="s">
        <v>2637</v>
      </c>
    </row>
    <row r="1762" spans="1:2" x14ac:dyDescent="0.3">
      <c r="A1762" s="1" t="s">
        <v>2068</v>
      </c>
      <c r="B1762" s="1" t="s">
        <v>2637</v>
      </c>
    </row>
    <row r="1763" spans="1:2" x14ac:dyDescent="0.3">
      <c r="A1763" s="1" t="s">
        <v>2069</v>
      </c>
      <c r="B1763" s="1" t="s">
        <v>2637</v>
      </c>
    </row>
    <row r="1764" spans="1:2" x14ac:dyDescent="0.3">
      <c r="A1764" s="1" t="s">
        <v>2070</v>
      </c>
      <c r="B1764" s="1" t="s">
        <v>2637</v>
      </c>
    </row>
    <row r="1765" spans="1:2" x14ac:dyDescent="0.3">
      <c r="A1765" s="1" t="s">
        <v>2071</v>
      </c>
      <c r="B1765" s="1" t="s">
        <v>2637</v>
      </c>
    </row>
    <row r="1766" spans="1:2" x14ac:dyDescent="0.3">
      <c r="A1766" s="1" t="s">
        <v>2072</v>
      </c>
      <c r="B1766" s="1" t="s">
        <v>2638</v>
      </c>
    </row>
    <row r="1767" spans="1:2" x14ac:dyDescent="0.3">
      <c r="A1767" s="1" t="s">
        <v>2073</v>
      </c>
      <c r="B1767" s="1" t="s">
        <v>2637</v>
      </c>
    </row>
    <row r="1768" spans="1:2" x14ac:dyDescent="0.3">
      <c r="A1768" s="1" t="s">
        <v>2074</v>
      </c>
      <c r="B1768" s="1" t="s">
        <v>2637</v>
      </c>
    </row>
    <row r="1769" spans="1:2" x14ac:dyDescent="0.3">
      <c r="A1769" s="1" t="s">
        <v>2075</v>
      </c>
      <c r="B1769" s="1" t="s">
        <v>2637</v>
      </c>
    </row>
    <row r="1770" spans="1:2" x14ac:dyDescent="0.3">
      <c r="A1770" s="1" t="s">
        <v>2076</v>
      </c>
      <c r="B1770" s="1" t="s">
        <v>2637</v>
      </c>
    </row>
    <row r="1771" spans="1:2" x14ac:dyDescent="0.3">
      <c r="A1771" s="1" t="s">
        <v>2077</v>
      </c>
      <c r="B1771" s="1" t="s">
        <v>2638</v>
      </c>
    </row>
    <row r="1772" spans="1:2" x14ac:dyDescent="0.3">
      <c r="A1772" s="1" t="s">
        <v>2078</v>
      </c>
      <c r="B1772" s="1" t="s">
        <v>2637</v>
      </c>
    </row>
    <row r="1773" spans="1:2" x14ac:dyDescent="0.3">
      <c r="A1773" s="1" t="s">
        <v>2079</v>
      </c>
      <c r="B1773" s="1" t="s">
        <v>2637</v>
      </c>
    </row>
    <row r="1774" spans="1:2" x14ac:dyDescent="0.3">
      <c r="A1774" s="1" t="s">
        <v>2080</v>
      </c>
      <c r="B1774" s="1" t="s">
        <v>2637</v>
      </c>
    </row>
    <row r="1775" spans="1:2" x14ac:dyDescent="0.3">
      <c r="A1775" s="1" t="s">
        <v>2081</v>
      </c>
      <c r="B1775" s="1" t="s">
        <v>2638</v>
      </c>
    </row>
    <row r="1776" spans="1:2" x14ac:dyDescent="0.3">
      <c r="A1776" s="1" t="s">
        <v>2082</v>
      </c>
      <c r="B1776" s="1" t="s">
        <v>2637</v>
      </c>
    </row>
    <row r="1777" spans="1:2" x14ac:dyDescent="0.3">
      <c r="A1777" s="1" t="s">
        <v>2083</v>
      </c>
      <c r="B1777" s="1" t="s">
        <v>2637</v>
      </c>
    </row>
    <row r="1778" spans="1:2" x14ac:dyDescent="0.3">
      <c r="A1778" s="1" t="s">
        <v>2084</v>
      </c>
      <c r="B1778" s="1" t="s">
        <v>2638</v>
      </c>
    </row>
    <row r="1779" spans="1:2" x14ac:dyDescent="0.3">
      <c r="A1779" s="1" t="s">
        <v>2085</v>
      </c>
      <c r="B1779" s="1" t="s">
        <v>2637</v>
      </c>
    </row>
    <row r="1780" spans="1:2" x14ac:dyDescent="0.3">
      <c r="A1780" s="1" t="s">
        <v>2086</v>
      </c>
      <c r="B1780" s="1" t="s">
        <v>2637</v>
      </c>
    </row>
    <row r="1781" spans="1:2" x14ac:dyDescent="0.3">
      <c r="A1781" s="1" t="s">
        <v>2087</v>
      </c>
      <c r="B1781" s="1" t="s">
        <v>2637</v>
      </c>
    </row>
    <row r="1782" spans="1:2" x14ac:dyDescent="0.3">
      <c r="A1782" s="1" t="s">
        <v>2088</v>
      </c>
      <c r="B1782" s="1" t="s">
        <v>2638</v>
      </c>
    </row>
    <row r="1783" spans="1:2" x14ac:dyDescent="0.3">
      <c r="A1783" s="1" t="s">
        <v>2089</v>
      </c>
      <c r="B1783" s="1" t="s">
        <v>2638</v>
      </c>
    </row>
    <row r="1784" spans="1:2" x14ac:dyDescent="0.3">
      <c r="A1784" s="1" t="s">
        <v>2090</v>
      </c>
      <c r="B1784" s="1" t="s">
        <v>2637</v>
      </c>
    </row>
    <row r="1785" spans="1:2" x14ac:dyDescent="0.3">
      <c r="A1785" s="1" t="s">
        <v>2091</v>
      </c>
      <c r="B1785" s="1" t="s">
        <v>2638</v>
      </c>
    </row>
    <row r="1786" spans="1:2" x14ac:dyDescent="0.3">
      <c r="A1786" s="1" t="s">
        <v>2092</v>
      </c>
      <c r="B1786" s="1" t="s">
        <v>2637</v>
      </c>
    </row>
    <row r="1787" spans="1:2" x14ac:dyDescent="0.3">
      <c r="A1787" s="1" t="s">
        <v>2093</v>
      </c>
      <c r="B1787" s="1" t="s">
        <v>2637</v>
      </c>
    </row>
    <row r="1788" spans="1:2" x14ac:dyDescent="0.3">
      <c r="A1788" s="1" t="s">
        <v>2094</v>
      </c>
      <c r="B1788" s="1" t="s">
        <v>2637</v>
      </c>
    </row>
    <row r="1789" spans="1:2" x14ac:dyDescent="0.3">
      <c r="A1789" s="1" t="s">
        <v>2095</v>
      </c>
      <c r="B1789" s="1" t="s">
        <v>2637</v>
      </c>
    </row>
    <row r="1790" spans="1:2" x14ac:dyDescent="0.3">
      <c r="A1790" s="1" t="s">
        <v>2096</v>
      </c>
      <c r="B1790" s="1" t="s">
        <v>2637</v>
      </c>
    </row>
    <row r="1791" spans="1:2" x14ac:dyDescent="0.3">
      <c r="A1791" s="1" t="s">
        <v>2097</v>
      </c>
      <c r="B1791" s="1" t="s">
        <v>2637</v>
      </c>
    </row>
    <row r="1792" spans="1:2" x14ac:dyDescent="0.3">
      <c r="A1792" s="1" t="s">
        <v>2098</v>
      </c>
      <c r="B1792" s="1" t="s">
        <v>2637</v>
      </c>
    </row>
    <row r="1793" spans="1:2" x14ac:dyDescent="0.3">
      <c r="A1793" s="1" t="s">
        <v>2099</v>
      </c>
      <c r="B1793" s="1" t="s">
        <v>2638</v>
      </c>
    </row>
    <row r="1794" spans="1:2" x14ac:dyDescent="0.3">
      <c r="A1794" s="1" t="s">
        <v>2100</v>
      </c>
      <c r="B1794" s="1" t="s">
        <v>2638</v>
      </c>
    </row>
    <row r="1795" spans="1:2" x14ac:dyDescent="0.3">
      <c r="A1795" s="1" t="s">
        <v>2101</v>
      </c>
      <c r="B1795" s="1" t="s">
        <v>2637</v>
      </c>
    </row>
    <row r="1796" spans="1:2" x14ac:dyDescent="0.3">
      <c r="A1796" s="1" t="s">
        <v>2102</v>
      </c>
      <c r="B1796" s="1" t="s">
        <v>2637</v>
      </c>
    </row>
    <row r="1797" spans="1:2" x14ac:dyDescent="0.3">
      <c r="A1797" s="1" t="s">
        <v>2103</v>
      </c>
      <c r="B1797" s="1" t="s">
        <v>2637</v>
      </c>
    </row>
    <row r="1798" spans="1:2" x14ac:dyDescent="0.3">
      <c r="A1798" s="1" t="s">
        <v>2104</v>
      </c>
      <c r="B1798" s="1" t="s">
        <v>2637</v>
      </c>
    </row>
    <row r="1799" spans="1:2" x14ac:dyDescent="0.3">
      <c r="A1799" s="1" t="s">
        <v>2105</v>
      </c>
      <c r="B1799" s="1" t="s">
        <v>2637</v>
      </c>
    </row>
    <row r="1800" spans="1:2" x14ac:dyDescent="0.3">
      <c r="A1800" s="1" t="s">
        <v>2106</v>
      </c>
      <c r="B1800" s="1" t="s">
        <v>2638</v>
      </c>
    </row>
    <row r="1801" spans="1:2" x14ac:dyDescent="0.3">
      <c r="A1801" s="1" t="s">
        <v>2107</v>
      </c>
      <c r="B1801" s="1" t="s">
        <v>2637</v>
      </c>
    </row>
    <row r="1802" spans="1:2" x14ac:dyDescent="0.3">
      <c r="A1802" s="1" t="s">
        <v>2108</v>
      </c>
      <c r="B1802" s="1" t="s">
        <v>2637</v>
      </c>
    </row>
    <row r="1803" spans="1:2" x14ac:dyDescent="0.3">
      <c r="A1803" s="1" t="s">
        <v>2109</v>
      </c>
      <c r="B1803" s="1" t="s">
        <v>2637</v>
      </c>
    </row>
    <row r="1804" spans="1:2" x14ac:dyDescent="0.3">
      <c r="A1804" s="1" t="s">
        <v>2110</v>
      </c>
      <c r="B1804" s="1" t="s">
        <v>2637</v>
      </c>
    </row>
    <row r="1805" spans="1:2" x14ac:dyDescent="0.3">
      <c r="A1805" s="1" t="s">
        <v>2111</v>
      </c>
      <c r="B1805" s="1" t="s">
        <v>2638</v>
      </c>
    </row>
    <row r="1806" spans="1:2" x14ac:dyDescent="0.3">
      <c r="A1806" s="1" t="s">
        <v>2112</v>
      </c>
      <c r="B1806" s="1" t="s">
        <v>2637</v>
      </c>
    </row>
    <row r="1807" spans="1:2" x14ac:dyDescent="0.3">
      <c r="A1807" s="1" t="s">
        <v>2113</v>
      </c>
      <c r="B1807" s="1" t="s">
        <v>2637</v>
      </c>
    </row>
    <row r="1808" spans="1:2" x14ac:dyDescent="0.3">
      <c r="A1808" s="1" t="s">
        <v>2114</v>
      </c>
      <c r="B1808" s="1" t="s">
        <v>2637</v>
      </c>
    </row>
    <row r="1809" spans="1:2" x14ac:dyDescent="0.3">
      <c r="A1809" s="1" t="s">
        <v>2115</v>
      </c>
      <c r="B1809" s="1" t="s">
        <v>2637</v>
      </c>
    </row>
    <row r="1810" spans="1:2" x14ac:dyDescent="0.3">
      <c r="A1810" s="1" t="s">
        <v>2116</v>
      </c>
      <c r="B1810" s="1" t="s">
        <v>2637</v>
      </c>
    </row>
    <row r="1811" spans="1:2" x14ac:dyDescent="0.3">
      <c r="A1811" s="1" t="s">
        <v>2117</v>
      </c>
      <c r="B1811" s="1" t="s">
        <v>2637</v>
      </c>
    </row>
    <row r="1812" spans="1:2" x14ac:dyDescent="0.3">
      <c r="A1812" s="1" t="s">
        <v>2118</v>
      </c>
      <c r="B1812" s="1" t="s">
        <v>2637</v>
      </c>
    </row>
    <row r="1813" spans="1:2" x14ac:dyDescent="0.3">
      <c r="A1813" s="1" t="s">
        <v>2119</v>
      </c>
      <c r="B1813" s="1" t="s">
        <v>2638</v>
      </c>
    </row>
    <row r="1814" spans="1:2" x14ac:dyDescent="0.3">
      <c r="A1814" s="1" t="s">
        <v>2120</v>
      </c>
      <c r="B1814" s="1" t="s">
        <v>2637</v>
      </c>
    </row>
    <row r="1815" spans="1:2" x14ac:dyDescent="0.3">
      <c r="A1815" s="1" t="s">
        <v>2121</v>
      </c>
      <c r="B1815" s="1" t="s">
        <v>2638</v>
      </c>
    </row>
    <row r="1816" spans="1:2" x14ac:dyDescent="0.3">
      <c r="A1816" s="1" t="s">
        <v>2122</v>
      </c>
      <c r="B1816" s="1" t="s">
        <v>2637</v>
      </c>
    </row>
    <row r="1817" spans="1:2" x14ac:dyDescent="0.3">
      <c r="A1817" s="1" t="s">
        <v>2123</v>
      </c>
      <c r="B1817" s="1" t="s">
        <v>2637</v>
      </c>
    </row>
    <row r="1818" spans="1:2" x14ac:dyDescent="0.3">
      <c r="A1818" s="1" t="s">
        <v>2124</v>
      </c>
      <c r="B1818" s="1" t="s">
        <v>2637</v>
      </c>
    </row>
    <row r="1819" spans="1:2" x14ac:dyDescent="0.3">
      <c r="A1819" s="1" t="s">
        <v>2125</v>
      </c>
      <c r="B1819" s="1" t="s">
        <v>2637</v>
      </c>
    </row>
    <row r="1820" spans="1:2" x14ac:dyDescent="0.3">
      <c r="A1820" s="1" t="s">
        <v>2126</v>
      </c>
      <c r="B1820" s="1" t="s">
        <v>2637</v>
      </c>
    </row>
    <row r="1821" spans="1:2" x14ac:dyDescent="0.3">
      <c r="A1821" s="1" t="s">
        <v>2127</v>
      </c>
      <c r="B1821" s="1" t="s">
        <v>2637</v>
      </c>
    </row>
    <row r="1822" spans="1:2" x14ac:dyDescent="0.3">
      <c r="A1822" s="1" t="s">
        <v>2128</v>
      </c>
      <c r="B1822" s="1" t="s">
        <v>2637</v>
      </c>
    </row>
    <row r="1823" spans="1:2" x14ac:dyDescent="0.3">
      <c r="A1823" s="1" t="s">
        <v>2129</v>
      </c>
      <c r="B1823" s="1" t="s">
        <v>2637</v>
      </c>
    </row>
    <row r="1824" spans="1:2" x14ac:dyDescent="0.3">
      <c r="A1824" s="1" t="s">
        <v>2130</v>
      </c>
      <c r="B1824" s="1" t="s">
        <v>2637</v>
      </c>
    </row>
    <row r="1825" spans="1:2" x14ac:dyDescent="0.3">
      <c r="A1825" s="1" t="s">
        <v>2131</v>
      </c>
      <c r="B1825" s="1" t="s">
        <v>2637</v>
      </c>
    </row>
    <row r="1826" spans="1:2" x14ac:dyDescent="0.3">
      <c r="A1826" s="1" t="s">
        <v>2132</v>
      </c>
      <c r="B1826" s="1" t="s">
        <v>2637</v>
      </c>
    </row>
    <row r="1827" spans="1:2" x14ac:dyDescent="0.3">
      <c r="A1827" s="1" t="s">
        <v>2133</v>
      </c>
      <c r="B1827" s="1" t="s">
        <v>2637</v>
      </c>
    </row>
    <row r="1828" spans="1:2" x14ac:dyDescent="0.3">
      <c r="A1828" s="1" t="s">
        <v>2134</v>
      </c>
      <c r="B1828" s="1" t="s">
        <v>2637</v>
      </c>
    </row>
    <row r="1829" spans="1:2" x14ac:dyDescent="0.3">
      <c r="A1829" s="1" t="s">
        <v>2135</v>
      </c>
      <c r="B1829" s="1" t="s">
        <v>2637</v>
      </c>
    </row>
    <row r="1830" spans="1:2" x14ac:dyDescent="0.3">
      <c r="A1830" s="1" t="s">
        <v>2136</v>
      </c>
      <c r="B1830" s="1" t="s">
        <v>2638</v>
      </c>
    </row>
    <row r="1831" spans="1:2" x14ac:dyDescent="0.3">
      <c r="A1831" s="1" t="s">
        <v>2137</v>
      </c>
      <c r="B1831" s="1" t="s">
        <v>2637</v>
      </c>
    </row>
    <row r="1832" spans="1:2" x14ac:dyDescent="0.3">
      <c r="A1832" s="1" t="s">
        <v>2138</v>
      </c>
      <c r="B1832" s="1" t="s">
        <v>2637</v>
      </c>
    </row>
    <row r="1833" spans="1:2" x14ac:dyDescent="0.3">
      <c r="A1833" s="1" t="s">
        <v>2139</v>
      </c>
      <c r="B1833" s="1" t="s">
        <v>2637</v>
      </c>
    </row>
    <row r="1834" spans="1:2" x14ac:dyDescent="0.3">
      <c r="A1834" s="1" t="s">
        <v>2140</v>
      </c>
      <c r="B1834" s="1" t="s">
        <v>2637</v>
      </c>
    </row>
    <row r="1835" spans="1:2" x14ac:dyDescent="0.3">
      <c r="A1835" s="1" t="s">
        <v>2141</v>
      </c>
      <c r="B1835" s="1" t="s">
        <v>2637</v>
      </c>
    </row>
    <row r="1836" spans="1:2" x14ac:dyDescent="0.3">
      <c r="A1836" s="1" t="s">
        <v>2142</v>
      </c>
      <c r="B1836" s="1" t="s">
        <v>2637</v>
      </c>
    </row>
    <row r="1837" spans="1:2" x14ac:dyDescent="0.3">
      <c r="A1837" s="1" t="s">
        <v>2143</v>
      </c>
      <c r="B1837" s="1" t="s">
        <v>2637</v>
      </c>
    </row>
    <row r="1838" spans="1:2" x14ac:dyDescent="0.3">
      <c r="A1838" s="1" t="s">
        <v>2144</v>
      </c>
      <c r="B1838" s="1" t="s">
        <v>2638</v>
      </c>
    </row>
    <row r="1839" spans="1:2" x14ac:dyDescent="0.3">
      <c r="A1839" s="1" t="s">
        <v>2145</v>
      </c>
      <c r="B1839" s="1" t="s">
        <v>2638</v>
      </c>
    </row>
    <row r="1840" spans="1:2" x14ac:dyDescent="0.3">
      <c r="A1840" s="1" t="s">
        <v>2146</v>
      </c>
      <c r="B1840" s="1" t="s">
        <v>2637</v>
      </c>
    </row>
    <row r="1841" spans="1:2" x14ac:dyDescent="0.3">
      <c r="A1841" s="1" t="s">
        <v>2147</v>
      </c>
      <c r="B1841" s="1" t="s">
        <v>2637</v>
      </c>
    </row>
    <row r="1842" spans="1:2" x14ac:dyDescent="0.3">
      <c r="A1842" s="1" t="s">
        <v>2148</v>
      </c>
      <c r="B1842" s="1" t="s">
        <v>2637</v>
      </c>
    </row>
    <row r="1843" spans="1:2" x14ac:dyDescent="0.3">
      <c r="A1843" s="1" t="s">
        <v>2149</v>
      </c>
      <c r="B1843" s="1" t="s">
        <v>2638</v>
      </c>
    </row>
    <row r="1844" spans="1:2" x14ac:dyDescent="0.3">
      <c r="A1844" s="1" t="s">
        <v>2150</v>
      </c>
      <c r="B1844" s="1" t="s">
        <v>2637</v>
      </c>
    </row>
    <row r="1845" spans="1:2" x14ac:dyDescent="0.3">
      <c r="A1845" s="1" t="s">
        <v>2151</v>
      </c>
      <c r="B1845" s="1" t="s">
        <v>2637</v>
      </c>
    </row>
    <row r="1846" spans="1:2" x14ac:dyDescent="0.3">
      <c r="A1846" s="1" t="s">
        <v>2152</v>
      </c>
      <c r="B1846" s="1" t="s">
        <v>2637</v>
      </c>
    </row>
    <row r="1847" spans="1:2" x14ac:dyDescent="0.3">
      <c r="A1847" s="1" t="s">
        <v>2153</v>
      </c>
      <c r="B1847" s="1" t="s">
        <v>2638</v>
      </c>
    </row>
    <row r="1848" spans="1:2" x14ac:dyDescent="0.3">
      <c r="A1848" s="1" t="s">
        <v>2154</v>
      </c>
      <c r="B1848" s="1" t="s">
        <v>2638</v>
      </c>
    </row>
    <row r="1849" spans="1:2" x14ac:dyDescent="0.3">
      <c r="A1849" s="1" t="s">
        <v>2155</v>
      </c>
      <c r="B1849" s="1" t="s">
        <v>2637</v>
      </c>
    </row>
    <row r="1850" spans="1:2" x14ac:dyDescent="0.3">
      <c r="A1850" s="1" t="s">
        <v>2156</v>
      </c>
      <c r="B1850" s="1" t="s">
        <v>2638</v>
      </c>
    </row>
    <row r="1851" spans="1:2" x14ac:dyDescent="0.3">
      <c r="A1851" s="1" t="s">
        <v>2157</v>
      </c>
      <c r="B1851" s="1" t="s">
        <v>2637</v>
      </c>
    </row>
    <row r="1852" spans="1:2" x14ac:dyDescent="0.3">
      <c r="A1852" s="1" t="s">
        <v>2158</v>
      </c>
      <c r="B1852" s="1" t="s">
        <v>2637</v>
      </c>
    </row>
    <row r="1853" spans="1:2" x14ac:dyDescent="0.3">
      <c r="A1853" s="1" t="s">
        <v>2159</v>
      </c>
      <c r="B1853" s="1" t="s">
        <v>2638</v>
      </c>
    </row>
    <row r="1854" spans="1:2" x14ac:dyDescent="0.3">
      <c r="A1854" s="1" t="s">
        <v>2160</v>
      </c>
      <c r="B1854" s="1" t="s">
        <v>2638</v>
      </c>
    </row>
    <row r="1855" spans="1:2" x14ac:dyDescent="0.3">
      <c r="A1855" s="1" t="s">
        <v>2161</v>
      </c>
      <c r="B1855" s="1" t="s">
        <v>2637</v>
      </c>
    </row>
    <row r="1856" spans="1:2" x14ac:dyDescent="0.3">
      <c r="A1856" s="1" t="s">
        <v>2162</v>
      </c>
      <c r="B1856" s="1" t="s">
        <v>2638</v>
      </c>
    </row>
    <row r="1857" spans="1:2" x14ac:dyDescent="0.3">
      <c r="A1857" s="1" t="s">
        <v>2163</v>
      </c>
      <c r="B1857" s="1" t="s">
        <v>2637</v>
      </c>
    </row>
    <row r="1858" spans="1:2" x14ac:dyDescent="0.3">
      <c r="A1858" s="1" t="s">
        <v>2164</v>
      </c>
      <c r="B1858" s="1" t="s">
        <v>2637</v>
      </c>
    </row>
    <row r="1859" spans="1:2" x14ac:dyDescent="0.3">
      <c r="A1859" s="1" t="s">
        <v>2165</v>
      </c>
      <c r="B1859" s="1" t="s">
        <v>2637</v>
      </c>
    </row>
    <row r="1860" spans="1:2" x14ac:dyDescent="0.3">
      <c r="A1860" s="1" t="s">
        <v>2166</v>
      </c>
      <c r="B1860" s="1" t="s">
        <v>2637</v>
      </c>
    </row>
    <row r="1861" spans="1:2" x14ac:dyDescent="0.3">
      <c r="A1861" s="1" t="s">
        <v>2167</v>
      </c>
      <c r="B1861" s="1" t="s">
        <v>2638</v>
      </c>
    </row>
    <row r="1862" spans="1:2" x14ac:dyDescent="0.3">
      <c r="A1862" s="1" t="s">
        <v>2168</v>
      </c>
      <c r="B1862" s="1" t="s">
        <v>2637</v>
      </c>
    </row>
    <row r="1863" spans="1:2" x14ac:dyDescent="0.3">
      <c r="A1863" s="1" t="s">
        <v>2169</v>
      </c>
      <c r="B1863" s="1" t="s">
        <v>2637</v>
      </c>
    </row>
    <row r="1864" spans="1:2" x14ac:dyDescent="0.3">
      <c r="A1864" s="1" t="s">
        <v>2170</v>
      </c>
      <c r="B1864" s="1" t="s">
        <v>2637</v>
      </c>
    </row>
    <row r="1865" spans="1:2" x14ac:dyDescent="0.3">
      <c r="A1865" s="1" t="s">
        <v>2171</v>
      </c>
      <c r="B1865" s="1" t="s">
        <v>2637</v>
      </c>
    </row>
    <row r="1866" spans="1:2" x14ac:dyDescent="0.3">
      <c r="A1866" s="1" t="s">
        <v>2172</v>
      </c>
      <c r="B1866" s="1" t="s">
        <v>2637</v>
      </c>
    </row>
    <row r="1867" spans="1:2" x14ac:dyDescent="0.3">
      <c r="A1867" s="1" t="s">
        <v>2173</v>
      </c>
      <c r="B1867" s="1" t="s">
        <v>2637</v>
      </c>
    </row>
    <row r="1868" spans="1:2" x14ac:dyDescent="0.3">
      <c r="A1868" s="1" t="s">
        <v>2174</v>
      </c>
      <c r="B1868" s="1" t="s">
        <v>2638</v>
      </c>
    </row>
    <row r="1869" spans="1:2" x14ac:dyDescent="0.3">
      <c r="A1869" s="1" t="s">
        <v>2175</v>
      </c>
      <c r="B1869" s="1" t="s">
        <v>2637</v>
      </c>
    </row>
    <row r="1870" spans="1:2" x14ac:dyDescent="0.3">
      <c r="A1870" s="1" t="s">
        <v>2176</v>
      </c>
      <c r="B1870" s="1" t="s">
        <v>2637</v>
      </c>
    </row>
    <row r="1871" spans="1:2" x14ac:dyDescent="0.3">
      <c r="A1871" s="1" t="s">
        <v>2177</v>
      </c>
      <c r="B1871" s="1" t="s">
        <v>2637</v>
      </c>
    </row>
    <row r="1872" spans="1:2" x14ac:dyDescent="0.3">
      <c r="A1872" s="1" t="s">
        <v>2178</v>
      </c>
      <c r="B1872" s="1" t="s">
        <v>2638</v>
      </c>
    </row>
    <row r="1873" spans="1:2" x14ac:dyDescent="0.3">
      <c r="A1873" s="1" t="s">
        <v>2179</v>
      </c>
      <c r="B1873" s="1" t="s">
        <v>2637</v>
      </c>
    </row>
    <row r="1874" spans="1:2" x14ac:dyDescent="0.3">
      <c r="A1874" s="1" t="s">
        <v>2180</v>
      </c>
      <c r="B1874" s="1" t="s">
        <v>2637</v>
      </c>
    </row>
    <row r="1875" spans="1:2" x14ac:dyDescent="0.3">
      <c r="A1875" s="1" t="s">
        <v>2181</v>
      </c>
      <c r="B1875" s="1" t="s">
        <v>2638</v>
      </c>
    </row>
    <row r="1876" spans="1:2" x14ac:dyDescent="0.3">
      <c r="A1876" s="1" t="s">
        <v>2182</v>
      </c>
      <c r="B1876" s="1" t="s">
        <v>2637</v>
      </c>
    </row>
    <row r="1877" spans="1:2" x14ac:dyDescent="0.3">
      <c r="A1877" s="1" t="s">
        <v>2183</v>
      </c>
      <c r="B1877" s="1" t="s">
        <v>2637</v>
      </c>
    </row>
    <row r="1878" spans="1:2" x14ac:dyDescent="0.3">
      <c r="A1878" s="1" t="s">
        <v>2184</v>
      </c>
      <c r="B1878" s="1" t="s">
        <v>2637</v>
      </c>
    </row>
    <row r="1879" spans="1:2" x14ac:dyDescent="0.3">
      <c r="A1879" s="1" t="s">
        <v>2185</v>
      </c>
      <c r="B1879" s="1" t="s">
        <v>2638</v>
      </c>
    </row>
    <row r="1880" spans="1:2" x14ac:dyDescent="0.3">
      <c r="A1880" s="1" t="s">
        <v>2186</v>
      </c>
      <c r="B1880" s="1" t="s">
        <v>2637</v>
      </c>
    </row>
    <row r="1881" spans="1:2" x14ac:dyDescent="0.3">
      <c r="A1881" s="1" t="s">
        <v>2187</v>
      </c>
      <c r="B1881" s="1" t="s">
        <v>2637</v>
      </c>
    </row>
    <row r="1882" spans="1:2" x14ac:dyDescent="0.3">
      <c r="A1882" s="1" t="s">
        <v>2188</v>
      </c>
      <c r="B1882" s="1" t="s">
        <v>2637</v>
      </c>
    </row>
    <row r="1883" spans="1:2" x14ac:dyDescent="0.3">
      <c r="A1883" s="1" t="s">
        <v>2189</v>
      </c>
      <c r="B1883" s="1" t="s">
        <v>2637</v>
      </c>
    </row>
    <row r="1884" spans="1:2" x14ac:dyDescent="0.3">
      <c r="A1884" s="1" t="s">
        <v>2190</v>
      </c>
      <c r="B1884" s="1" t="s">
        <v>2637</v>
      </c>
    </row>
    <row r="1885" spans="1:2" x14ac:dyDescent="0.3">
      <c r="A1885" s="1" t="s">
        <v>2191</v>
      </c>
      <c r="B1885" s="1" t="s">
        <v>2637</v>
      </c>
    </row>
    <row r="1886" spans="1:2" x14ac:dyDescent="0.3">
      <c r="A1886" s="1" t="s">
        <v>2192</v>
      </c>
      <c r="B1886" s="1" t="s">
        <v>2637</v>
      </c>
    </row>
    <row r="1887" spans="1:2" x14ac:dyDescent="0.3">
      <c r="A1887" s="1" t="s">
        <v>2193</v>
      </c>
      <c r="B1887" s="1" t="s">
        <v>2637</v>
      </c>
    </row>
    <row r="1888" spans="1:2" x14ac:dyDescent="0.3">
      <c r="A1888" s="1" t="s">
        <v>2194</v>
      </c>
      <c r="B1888" s="1" t="s">
        <v>2637</v>
      </c>
    </row>
    <row r="1889" spans="1:2" x14ac:dyDescent="0.3">
      <c r="A1889" s="1" t="s">
        <v>2195</v>
      </c>
      <c r="B1889" s="1" t="s">
        <v>2637</v>
      </c>
    </row>
    <row r="1890" spans="1:2" x14ac:dyDescent="0.3">
      <c r="A1890" s="1" t="s">
        <v>2196</v>
      </c>
      <c r="B1890" s="1" t="s">
        <v>2637</v>
      </c>
    </row>
    <row r="1891" spans="1:2" x14ac:dyDescent="0.3">
      <c r="A1891" s="1" t="s">
        <v>2197</v>
      </c>
      <c r="B1891" s="1" t="s">
        <v>2637</v>
      </c>
    </row>
    <row r="1892" spans="1:2" x14ac:dyDescent="0.3">
      <c r="A1892" s="1" t="s">
        <v>2198</v>
      </c>
      <c r="B1892" s="1" t="s">
        <v>2637</v>
      </c>
    </row>
    <row r="1893" spans="1:2" x14ac:dyDescent="0.3">
      <c r="A1893" s="1" t="s">
        <v>2199</v>
      </c>
      <c r="B1893" s="1" t="s">
        <v>2638</v>
      </c>
    </row>
    <row r="1894" spans="1:2" x14ac:dyDescent="0.3">
      <c r="A1894" s="1" t="s">
        <v>2200</v>
      </c>
      <c r="B1894" s="1" t="s">
        <v>2637</v>
      </c>
    </row>
    <row r="1895" spans="1:2" x14ac:dyDescent="0.3">
      <c r="A1895" s="1" t="s">
        <v>2201</v>
      </c>
      <c r="B1895" s="1" t="s">
        <v>2637</v>
      </c>
    </row>
    <row r="1896" spans="1:2" x14ac:dyDescent="0.3">
      <c r="A1896" s="1" t="s">
        <v>2202</v>
      </c>
      <c r="B1896" s="1" t="s">
        <v>2637</v>
      </c>
    </row>
    <row r="1897" spans="1:2" x14ac:dyDescent="0.3">
      <c r="A1897" s="1" t="s">
        <v>2203</v>
      </c>
      <c r="B1897" s="1" t="s">
        <v>2638</v>
      </c>
    </row>
    <row r="1898" spans="1:2" x14ac:dyDescent="0.3">
      <c r="A1898" s="1" t="s">
        <v>2204</v>
      </c>
      <c r="B1898" s="1" t="s">
        <v>2637</v>
      </c>
    </row>
    <row r="1899" spans="1:2" x14ac:dyDescent="0.3">
      <c r="A1899" s="1" t="s">
        <v>2205</v>
      </c>
      <c r="B1899" s="1" t="s">
        <v>2637</v>
      </c>
    </row>
    <row r="1900" spans="1:2" x14ac:dyDescent="0.3">
      <c r="A1900" s="1" t="s">
        <v>2206</v>
      </c>
      <c r="B1900" s="1" t="s">
        <v>2638</v>
      </c>
    </row>
    <row r="1901" spans="1:2" x14ac:dyDescent="0.3">
      <c r="A1901" s="1" t="s">
        <v>2207</v>
      </c>
      <c r="B1901" s="1" t="s">
        <v>2637</v>
      </c>
    </row>
    <row r="1902" spans="1:2" x14ac:dyDescent="0.3">
      <c r="A1902" s="1" t="s">
        <v>2208</v>
      </c>
      <c r="B1902" s="1" t="s">
        <v>2637</v>
      </c>
    </row>
    <row r="1903" spans="1:2" x14ac:dyDescent="0.3">
      <c r="A1903" s="1" t="s">
        <v>2209</v>
      </c>
      <c r="B1903" s="1" t="s">
        <v>2637</v>
      </c>
    </row>
    <row r="1904" spans="1:2" x14ac:dyDescent="0.3">
      <c r="A1904" s="1" t="s">
        <v>2210</v>
      </c>
      <c r="B1904" s="1" t="s">
        <v>2638</v>
      </c>
    </row>
    <row r="1905" spans="1:2" x14ac:dyDescent="0.3">
      <c r="A1905" s="1" t="s">
        <v>2211</v>
      </c>
      <c r="B1905" s="1" t="s">
        <v>2637</v>
      </c>
    </row>
    <row r="1906" spans="1:2" x14ac:dyDescent="0.3">
      <c r="A1906" s="1" t="s">
        <v>2212</v>
      </c>
      <c r="B1906" s="1" t="s">
        <v>2637</v>
      </c>
    </row>
    <row r="1907" spans="1:2" x14ac:dyDescent="0.3">
      <c r="A1907" s="1" t="s">
        <v>2213</v>
      </c>
      <c r="B1907" s="1" t="s">
        <v>2637</v>
      </c>
    </row>
    <row r="1908" spans="1:2" x14ac:dyDescent="0.3">
      <c r="A1908" s="1" t="s">
        <v>2214</v>
      </c>
      <c r="B1908" s="1" t="s">
        <v>2637</v>
      </c>
    </row>
    <row r="1909" spans="1:2" x14ac:dyDescent="0.3">
      <c r="A1909" s="1" t="s">
        <v>2215</v>
      </c>
      <c r="B1909" s="1" t="s">
        <v>2637</v>
      </c>
    </row>
    <row r="1910" spans="1:2" x14ac:dyDescent="0.3">
      <c r="A1910" s="1" t="s">
        <v>2216</v>
      </c>
      <c r="B1910" s="1" t="s">
        <v>2638</v>
      </c>
    </row>
    <row r="1911" spans="1:2" x14ac:dyDescent="0.3">
      <c r="A1911" s="1" t="s">
        <v>2217</v>
      </c>
      <c r="B1911" s="1" t="s">
        <v>2637</v>
      </c>
    </row>
    <row r="1912" spans="1:2" x14ac:dyDescent="0.3">
      <c r="A1912" s="1" t="s">
        <v>2218</v>
      </c>
      <c r="B1912" s="1" t="s">
        <v>2637</v>
      </c>
    </row>
    <row r="1913" spans="1:2" x14ac:dyDescent="0.3">
      <c r="A1913" s="1" t="s">
        <v>2219</v>
      </c>
      <c r="B1913" s="1" t="s">
        <v>2638</v>
      </c>
    </row>
    <row r="1914" spans="1:2" x14ac:dyDescent="0.3">
      <c r="A1914" s="1" t="s">
        <v>2220</v>
      </c>
      <c r="B1914" s="1" t="s">
        <v>2637</v>
      </c>
    </row>
    <row r="1915" spans="1:2" x14ac:dyDescent="0.3">
      <c r="A1915" s="1" t="s">
        <v>2221</v>
      </c>
      <c r="B1915" s="1" t="s">
        <v>2638</v>
      </c>
    </row>
    <row r="1916" spans="1:2" x14ac:dyDescent="0.3">
      <c r="A1916" s="1" t="s">
        <v>2222</v>
      </c>
      <c r="B1916" s="1" t="s">
        <v>2637</v>
      </c>
    </row>
    <row r="1917" spans="1:2" x14ac:dyDescent="0.3">
      <c r="A1917" s="1" t="s">
        <v>2223</v>
      </c>
      <c r="B1917" s="1" t="s">
        <v>2637</v>
      </c>
    </row>
    <row r="1918" spans="1:2" x14ac:dyDescent="0.3">
      <c r="A1918" s="1" t="s">
        <v>2224</v>
      </c>
      <c r="B1918" s="1" t="s">
        <v>2638</v>
      </c>
    </row>
    <row r="1919" spans="1:2" x14ac:dyDescent="0.3">
      <c r="A1919" s="1" t="s">
        <v>2225</v>
      </c>
      <c r="B1919" s="1" t="s">
        <v>2637</v>
      </c>
    </row>
    <row r="1920" spans="1:2" x14ac:dyDescent="0.3">
      <c r="A1920" s="1" t="s">
        <v>2226</v>
      </c>
      <c r="B1920" s="1" t="s">
        <v>2637</v>
      </c>
    </row>
    <row r="1921" spans="1:2" x14ac:dyDescent="0.3">
      <c r="A1921" s="1" t="s">
        <v>2227</v>
      </c>
      <c r="B1921" s="1" t="s">
        <v>2637</v>
      </c>
    </row>
    <row r="1922" spans="1:2" x14ac:dyDescent="0.3">
      <c r="A1922" s="1" t="s">
        <v>2228</v>
      </c>
      <c r="B1922" s="1" t="s">
        <v>2638</v>
      </c>
    </row>
    <row r="1923" spans="1:2" x14ac:dyDescent="0.3">
      <c r="A1923" s="1" t="s">
        <v>2229</v>
      </c>
      <c r="B1923" s="1" t="s">
        <v>2637</v>
      </c>
    </row>
    <row r="1924" spans="1:2" x14ac:dyDescent="0.3">
      <c r="A1924" s="1" t="s">
        <v>2230</v>
      </c>
      <c r="B1924" s="1" t="s">
        <v>2637</v>
      </c>
    </row>
    <row r="1925" spans="1:2" x14ac:dyDescent="0.3">
      <c r="A1925" s="1" t="s">
        <v>2231</v>
      </c>
      <c r="B1925" s="1" t="s">
        <v>2637</v>
      </c>
    </row>
    <row r="1926" spans="1:2" x14ac:dyDescent="0.3">
      <c r="A1926" s="1" t="s">
        <v>2232</v>
      </c>
      <c r="B1926" s="1" t="s">
        <v>2637</v>
      </c>
    </row>
    <row r="1927" spans="1:2" x14ac:dyDescent="0.3">
      <c r="A1927" s="1" t="s">
        <v>2233</v>
      </c>
      <c r="B1927" s="1" t="s">
        <v>2637</v>
      </c>
    </row>
    <row r="1928" spans="1:2" x14ac:dyDescent="0.3">
      <c r="A1928" s="1" t="s">
        <v>2234</v>
      </c>
      <c r="B1928" s="1" t="s">
        <v>2638</v>
      </c>
    </row>
    <row r="1929" spans="1:2" x14ac:dyDescent="0.3">
      <c r="A1929" s="1" t="s">
        <v>2235</v>
      </c>
      <c r="B1929" s="1" t="s">
        <v>2637</v>
      </c>
    </row>
    <row r="1930" spans="1:2" x14ac:dyDescent="0.3">
      <c r="A1930" s="1" t="s">
        <v>2236</v>
      </c>
      <c r="B1930" s="1" t="s">
        <v>2638</v>
      </c>
    </row>
    <row r="1931" spans="1:2" x14ac:dyDescent="0.3">
      <c r="A1931" s="1" t="s">
        <v>2237</v>
      </c>
      <c r="B1931" s="1" t="s">
        <v>2637</v>
      </c>
    </row>
    <row r="1932" spans="1:2" x14ac:dyDescent="0.3">
      <c r="A1932" s="1" t="s">
        <v>2238</v>
      </c>
      <c r="B1932" s="1" t="s">
        <v>2637</v>
      </c>
    </row>
    <row r="1933" spans="1:2" x14ac:dyDescent="0.3">
      <c r="A1933" s="1" t="s">
        <v>2239</v>
      </c>
      <c r="B1933" s="1" t="s">
        <v>2637</v>
      </c>
    </row>
    <row r="1934" spans="1:2" x14ac:dyDescent="0.3">
      <c r="A1934" s="1" t="s">
        <v>2240</v>
      </c>
      <c r="B1934" s="1" t="s">
        <v>2638</v>
      </c>
    </row>
    <row r="1935" spans="1:2" x14ac:dyDescent="0.3">
      <c r="A1935" s="1" t="s">
        <v>2241</v>
      </c>
      <c r="B1935" s="1" t="s">
        <v>2637</v>
      </c>
    </row>
    <row r="1936" spans="1:2" x14ac:dyDescent="0.3">
      <c r="A1936" s="1" t="s">
        <v>2242</v>
      </c>
      <c r="B1936" s="1" t="s">
        <v>2637</v>
      </c>
    </row>
    <row r="1937" spans="1:2" x14ac:dyDescent="0.3">
      <c r="A1937" s="1" t="s">
        <v>2243</v>
      </c>
      <c r="B1937" s="1" t="s">
        <v>2637</v>
      </c>
    </row>
    <row r="1938" spans="1:2" x14ac:dyDescent="0.3">
      <c r="A1938" s="1" t="s">
        <v>2244</v>
      </c>
      <c r="B1938" s="1" t="s">
        <v>2637</v>
      </c>
    </row>
    <row r="1939" spans="1:2" x14ac:dyDescent="0.3">
      <c r="A1939" s="1" t="s">
        <v>2245</v>
      </c>
      <c r="B1939" s="1" t="s">
        <v>2637</v>
      </c>
    </row>
    <row r="1940" spans="1:2" x14ac:dyDescent="0.3">
      <c r="A1940" s="1" t="s">
        <v>2246</v>
      </c>
      <c r="B1940" s="1" t="s">
        <v>2637</v>
      </c>
    </row>
    <row r="1941" spans="1:2" x14ac:dyDescent="0.3">
      <c r="A1941" s="1" t="s">
        <v>2247</v>
      </c>
      <c r="B1941" s="1" t="s">
        <v>2637</v>
      </c>
    </row>
    <row r="1942" spans="1:2" x14ac:dyDescent="0.3">
      <c r="A1942" s="1" t="s">
        <v>2248</v>
      </c>
      <c r="B1942" s="1" t="s">
        <v>2637</v>
      </c>
    </row>
    <row r="1943" spans="1:2" x14ac:dyDescent="0.3">
      <c r="A1943" s="1" t="s">
        <v>2249</v>
      </c>
      <c r="B1943" s="1" t="s">
        <v>2637</v>
      </c>
    </row>
    <row r="1944" spans="1:2" x14ac:dyDescent="0.3">
      <c r="A1944" s="1" t="s">
        <v>2250</v>
      </c>
      <c r="B1944" s="1" t="s">
        <v>2637</v>
      </c>
    </row>
    <row r="1945" spans="1:2" x14ac:dyDescent="0.3">
      <c r="A1945" s="1" t="s">
        <v>2251</v>
      </c>
      <c r="B1945" s="1" t="s">
        <v>2637</v>
      </c>
    </row>
    <row r="1946" spans="1:2" x14ac:dyDescent="0.3">
      <c r="A1946" s="1" t="s">
        <v>2252</v>
      </c>
      <c r="B1946" s="1" t="s">
        <v>2638</v>
      </c>
    </row>
    <row r="1947" spans="1:2" x14ac:dyDescent="0.3">
      <c r="A1947" s="1" t="s">
        <v>2253</v>
      </c>
      <c r="B1947" s="1" t="s">
        <v>2637</v>
      </c>
    </row>
    <row r="1948" spans="1:2" x14ac:dyDescent="0.3">
      <c r="A1948" s="1" t="s">
        <v>2254</v>
      </c>
      <c r="B1948" s="1" t="s">
        <v>2637</v>
      </c>
    </row>
    <row r="1949" spans="1:2" x14ac:dyDescent="0.3">
      <c r="A1949" s="1" t="s">
        <v>2255</v>
      </c>
      <c r="B1949" s="1" t="s">
        <v>2638</v>
      </c>
    </row>
    <row r="1950" spans="1:2" x14ac:dyDescent="0.3">
      <c r="A1950" s="1" t="s">
        <v>2256</v>
      </c>
      <c r="B1950" s="1" t="s">
        <v>2637</v>
      </c>
    </row>
    <row r="1951" spans="1:2" x14ac:dyDescent="0.3">
      <c r="A1951" s="1" t="s">
        <v>2257</v>
      </c>
      <c r="B1951" s="1" t="s">
        <v>2637</v>
      </c>
    </row>
    <row r="1952" spans="1:2" x14ac:dyDescent="0.3">
      <c r="A1952" s="1" t="s">
        <v>2258</v>
      </c>
      <c r="B1952" s="1" t="s">
        <v>2637</v>
      </c>
    </row>
    <row r="1953" spans="1:2" x14ac:dyDescent="0.3">
      <c r="A1953" s="1" t="s">
        <v>2259</v>
      </c>
      <c r="B1953" s="1" t="s">
        <v>2637</v>
      </c>
    </row>
    <row r="1954" spans="1:2" x14ac:dyDescent="0.3">
      <c r="A1954" s="1" t="s">
        <v>2260</v>
      </c>
      <c r="B1954" s="1" t="s">
        <v>2637</v>
      </c>
    </row>
    <row r="1955" spans="1:2" x14ac:dyDescent="0.3">
      <c r="A1955" s="1" t="s">
        <v>2261</v>
      </c>
      <c r="B1955" s="1" t="s">
        <v>2638</v>
      </c>
    </row>
    <row r="1956" spans="1:2" x14ac:dyDescent="0.3">
      <c r="A1956" s="1" t="s">
        <v>2262</v>
      </c>
      <c r="B1956" s="1" t="s">
        <v>2637</v>
      </c>
    </row>
    <row r="1957" spans="1:2" x14ac:dyDescent="0.3">
      <c r="A1957" s="1" t="s">
        <v>2263</v>
      </c>
      <c r="B1957" s="1" t="s">
        <v>2637</v>
      </c>
    </row>
    <row r="1958" spans="1:2" x14ac:dyDescent="0.3">
      <c r="A1958" s="1" t="s">
        <v>2264</v>
      </c>
      <c r="B1958" s="1" t="s">
        <v>2637</v>
      </c>
    </row>
    <row r="1959" spans="1:2" x14ac:dyDescent="0.3">
      <c r="A1959" s="1" t="s">
        <v>2265</v>
      </c>
      <c r="B1959" s="1" t="s">
        <v>2637</v>
      </c>
    </row>
    <row r="1960" spans="1:2" x14ac:dyDescent="0.3">
      <c r="A1960" s="1" t="s">
        <v>2266</v>
      </c>
      <c r="B1960" s="1" t="s">
        <v>2638</v>
      </c>
    </row>
    <row r="1961" spans="1:2" x14ac:dyDescent="0.3">
      <c r="A1961" s="1" t="s">
        <v>2267</v>
      </c>
      <c r="B1961" s="1" t="s">
        <v>2637</v>
      </c>
    </row>
    <row r="1962" spans="1:2" x14ac:dyDescent="0.3">
      <c r="A1962" s="1" t="s">
        <v>2268</v>
      </c>
      <c r="B1962" s="1" t="s">
        <v>2637</v>
      </c>
    </row>
    <row r="1963" spans="1:2" x14ac:dyDescent="0.3">
      <c r="A1963" s="1" t="s">
        <v>2269</v>
      </c>
      <c r="B1963" s="1" t="s">
        <v>2637</v>
      </c>
    </row>
    <row r="1964" spans="1:2" x14ac:dyDescent="0.3">
      <c r="A1964" s="1" t="s">
        <v>2270</v>
      </c>
      <c r="B1964" s="1" t="s">
        <v>2637</v>
      </c>
    </row>
    <row r="1965" spans="1:2" x14ac:dyDescent="0.3">
      <c r="A1965" s="1" t="s">
        <v>2271</v>
      </c>
      <c r="B1965" s="1" t="s">
        <v>2637</v>
      </c>
    </row>
    <row r="1966" spans="1:2" x14ac:dyDescent="0.3">
      <c r="A1966" s="1" t="s">
        <v>2272</v>
      </c>
      <c r="B1966" s="1" t="s">
        <v>2637</v>
      </c>
    </row>
    <row r="1967" spans="1:2" x14ac:dyDescent="0.3">
      <c r="A1967" s="1" t="s">
        <v>2273</v>
      </c>
      <c r="B1967" s="1" t="s">
        <v>2637</v>
      </c>
    </row>
    <row r="1968" spans="1:2" x14ac:dyDescent="0.3">
      <c r="A1968" s="1" t="s">
        <v>2274</v>
      </c>
      <c r="B1968" s="1" t="s">
        <v>2637</v>
      </c>
    </row>
    <row r="1969" spans="1:2" x14ac:dyDescent="0.3">
      <c r="A1969" s="1" t="s">
        <v>2275</v>
      </c>
      <c r="B1969" s="1" t="s">
        <v>2637</v>
      </c>
    </row>
    <row r="1970" spans="1:2" x14ac:dyDescent="0.3">
      <c r="A1970" s="1" t="s">
        <v>2276</v>
      </c>
      <c r="B1970" s="1" t="s">
        <v>2637</v>
      </c>
    </row>
    <row r="1971" spans="1:2" x14ac:dyDescent="0.3">
      <c r="A1971" s="1" t="s">
        <v>2277</v>
      </c>
      <c r="B1971" s="1" t="s">
        <v>2637</v>
      </c>
    </row>
    <row r="1972" spans="1:2" x14ac:dyDescent="0.3">
      <c r="A1972" s="1" t="s">
        <v>2278</v>
      </c>
      <c r="B1972" s="1" t="s">
        <v>2637</v>
      </c>
    </row>
    <row r="1973" spans="1:2" x14ac:dyDescent="0.3">
      <c r="A1973" s="1" t="s">
        <v>2279</v>
      </c>
      <c r="B1973" s="1" t="s">
        <v>2638</v>
      </c>
    </row>
    <row r="1974" spans="1:2" x14ac:dyDescent="0.3">
      <c r="A1974" s="1" t="s">
        <v>2280</v>
      </c>
      <c r="B1974" s="1" t="s">
        <v>2637</v>
      </c>
    </row>
    <row r="1975" spans="1:2" x14ac:dyDescent="0.3">
      <c r="A1975" s="1" t="s">
        <v>2281</v>
      </c>
      <c r="B1975" s="1" t="s">
        <v>2638</v>
      </c>
    </row>
    <row r="1976" spans="1:2" x14ac:dyDescent="0.3">
      <c r="A1976" s="1" t="s">
        <v>2282</v>
      </c>
      <c r="B1976" s="1" t="s">
        <v>2637</v>
      </c>
    </row>
    <row r="1977" spans="1:2" x14ac:dyDescent="0.3">
      <c r="A1977" s="1" t="s">
        <v>2283</v>
      </c>
      <c r="B1977" s="1" t="s">
        <v>2637</v>
      </c>
    </row>
    <row r="1978" spans="1:2" x14ac:dyDescent="0.3">
      <c r="A1978" s="1" t="s">
        <v>2284</v>
      </c>
      <c r="B1978" s="1" t="s">
        <v>2637</v>
      </c>
    </row>
    <row r="1979" spans="1:2" x14ac:dyDescent="0.3">
      <c r="A1979" s="1" t="s">
        <v>2285</v>
      </c>
      <c r="B1979" s="1" t="s">
        <v>2637</v>
      </c>
    </row>
    <row r="1980" spans="1:2" x14ac:dyDescent="0.3">
      <c r="A1980" s="1" t="s">
        <v>2286</v>
      </c>
      <c r="B1980" s="1" t="s">
        <v>2638</v>
      </c>
    </row>
    <row r="1981" spans="1:2" x14ac:dyDescent="0.3">
      <c r="A1981" s="1" t="s">
        <v>2287</v>
      </c>
      <c r="B1981" s="1" t="s">
        <v>2637</v>
      </c>
    </row>
    <row r="1982" spans="1:2" x14ac:dyDescent="0.3">
      <c r="A1982" s="1" t="s">
        <v>2288</v>
      </c>
      <c r="B1982" s="1" t="s">
        <v>2637</v>
      </c>
    </row>
    <row r="1983" spans="1:2" x14ac:dyDescent="0.3">
      <c r="A1983" s="1" t="s">
        <v>2289</v>
      </c>
      <c r="B1983" s="1" t="s">
        <v>2637</v>
      </c>
    </row>
    <row r="1984" spans="1:2" x14ac:dyDescent="0.3">
      <c r="A1984" s="1" t="s">
        <v>2290</v>
      </c>
      <c r="B1984" s="1" t="s">
        <v>2638</v>
      </c>
    </row>
    <row r="1985" spans="1:2" x14ac:dyDescent="0.3">
      <c r="A1985" s="1" t="s">
        <v>2291</v>
      </c>
      <c r="B1985" s="1" t="s">
        <v>2637</v>
      </c>
    </row>
    <row r="1986" spans="1:2" x14ac:dyDescent="0.3">
      <c r="A1986" s="1" t="s">
        <v>2292</v>
      </c>
      <c r="B1986" s="1" t="s">
        <v>2637</v>
      </c>
    </row>
    <row r="1987" spans="1:2" x14ac:dyDescent="0.3">
      <c r="A1987" s="1" t="s">
        <v>2293</v>
      </c>
      <c r="B1987" s="1" t="s">
        <v>2637</v>
      </c>
    </row>
    <row r="1988" spans="1:2" x14ac:dyDescent="0.3">
      <c r="A1988" s="1" t="s">
        <v>2294</v>
      </c>
      <c r="B1988" s="1" t="s">
        <v>2637</v>
      </c>
    </row>
    <row r="1989" spans="1:2" x14ac:dyDescent="0.3">
      <c r="A1989" s="1" t="s">
        <v>2295</v>
      </c>
      <c r="B1989" s="1" t="s">
        <v>2637</v>
      </c>
    </row>
    <row r="1990" spans="1:2" x14ac:dyDescent="0.3">
      <c r="A1990" s="1" t="s">
        <v>2296</v>
      </c>
      <c r="B1990" s="1" t="s">
        <v>2637</v>
      </c>
    </row>
    <row r="1991" spans="1:2" x14ac:dyDescent="0.3">
      <c r="A1991" s="1" t="s">
        <v>2297</v>
      </c>
      <c r="B1991" s="1" t="s">
        <v>2637</v>
      </c>
    </row>
    <row r="1992" spans="1:2" x14ac:dyDescent="0.3">
      <c r="A1992" s="1" t="s">
        <v>2298</v>
      </c>
      <c r="B1992" s="1" t="s">
        <v>2637</v>
      </c>
    </row>
    <row r="1993" spans="1:2" x14ac:dyDescent="0.3">
      <c r="A1993" s="1" t="s">
        <v>2299</v>
      </c>
      <c r="B1993" s="1" t="s">
        <v>2637</v>
      </c>
    </row>
    <row r="1994" spans="1:2" x14ac:dyDescent="0.3">
      <c r="A1994" s="1" t="s">
        <v>2300</v>
      </c>
      <c r="B1994" s="1" t="s">
        <v>2637</v>
      </c>
    </row>
    <row r="1995" spans="1:2" x14ac:dyDescent="0.3">
      <c r="A1995" s="1" t="s">
        <v>2301</v>
      </c>
      <c r="B1995" s="1" t="s">
        <v>2637</v>
      </c>
    </row>
    <row r="1996" spans="1:2" x14ac:dyDescent="0.3">
      <c r="A1996" s="1" t="s">
        <v>2302</v>
      </c>
      <c r="B1996" s="1" t="s">
        <v>2637</v>
      </c>
    </row>
    <row r="1997" spans="1:2" x14ac:dyDescent="0.3">
      <c r="A1997" s="1" t="s">
        <v>2303</v>
      </c>
      <c r="B1997" s="1" t="s">
        <v>2637</v>
      </c>
    </row>
    <row r="1998" spans="1:2" x14ac:dyDescent="0.3">
      <c r="A1998" s="1" t="s">
        <v>2304</v>
      </c>
      <c r="B1998" s="1" t="s">
        <v>2637</v>
      </c>
    </row>
    <row r="1999" spans="1:2" x14ac:dyDescent="0.3">
      <c r="A1999" s="1" t="s">
        <v>2305</v>
      </c>
      <c r="B1999" s="1" t="s">
        <v>2638</v>
      </c>
    </row>
    <row r="2000" spans="1:2" x14ac:dyDescent="0.3">
      <c r="A2000" s="1" t="s">
        <v>2306</v>
      </c>
      <c r="B2000" s="1" t="s">
        <v>2637</v>
      </c>
    </row>
    <row r="2001" spans="1:2" x14ac:dyDescent="0.3">
      <c r="A2001" s="1" t="s">
        <v>2307</v>
      </c>
      <c r="B2001" s="1" t="s">
        <v>2638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67DD8-A0FF-4752-BC3E-CBB0E354A864}">
  <dimension ref="A1:M2001"/>
  <sheetViews>
    <sheetView topLeftCell="A2" workbookViewId="0">
      <selection activeCell="A5" sqref="A5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4.109375" bestFit="1" customWidth="1"/>
    <col min="4" max="4" width="12.6640625" bestFit="1" customWidth="1"/>
    <col min="5" max="5" width="10.5546875" bestFit="1" customWidth="1"/>
    <col min="6" max="6" width="7.5546875" bestFit="1" customWidth="1"/>
    <col min="7" max="7" width="10.5546875" bestFit="1" customWidth="1"/>
    <col min="8" max="8" width="7.88671875" bestFit="1" customWidth="1"/>
    <col min="10" max="10" width="11.33203125" bestFit="1" customWidth="1"/>
    <col min="11" max="11" width="13.109375" bestFit="1" customWidth="1"/>
    <col min="12" max="12" width="15" bestFit="1" customWidth="1"/>
    <col min="13" max="13" width="14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2309</v>
      </c>
      <c r="J1" t="s">
        <v>2639</v>
      </c>
      <c r="K1" t="s">
        <v>2519</v>
      </c>
      <c r="L1" t="s">
        <v>2520</v>
      </c>
      <c r="M1" t="s">
        <v>2640</v>
      </c>
    </row>
    <row r="2" spans="1:13" x14ac:dyDescent="0.3">
      <c r="A2" s="1" t="s">
        <v>8</v>
      </c>
      <c r="B2" s="2">
        <v>45403</v>
      </c>
      <c r="C2" s="1" t="s">
        <v>9</v>
      </c>
      <c r="D2" s="1" t="s">
        <v>10</v>
      </c>
      <c r="E2">
        <v>4</v>
      </c>
      <c r="F2" s="4">
        <v>1253.48</v>
      </c>
      <c r="G2" s="3">
        <v>0.3</v>
      </c>
      <c r="H2" s="4">
        <v>368.7</v>
      </c>
      <c r="I2" t="str">
        <f>VLOOKUP(orders__17[[#This Row],[Customer_ID]],customers__2[#All],3,0)</f>
        <v>East</v>
      </c>
      <c r="J2" t="str">
        <f>VLOOKUP(orders__17[[#This Row],[Customer_ID]],customers__2[#All],4,0)</f>
        <v>Consumer</v>
      </c>
      <c r="K2" t="str">
        <f>VLOOKUP(orders__17[[#This Row],[Product_ID]],products[#All],3,0)</f>
        <v>Technology</v>
      </c>
      <c r="L2" s="1" t="str">
        <f>VLOOKUP(orders__17[[#This Row],[Product_ID]],products[#All],4,0)</f>
        <v>Tablet</v>
      </c>
      <c r="M2" s="1" t="str">
        <f>VLOOKUP(orders__17[[#This Row],[Order_ID]],returns[#All],2,0)</f>
        <v>No</v>
      </c>
    </row>
    <row r="3" spans="1:13" x14ac:dyDescent="0.3">
      <c r="A3" s="1" t="s">
        <v>11</v>
      </c>
      <c r="B3" s="2">
        <v>44682</v>
      </c>
      <c r="C3" s="1" t="s">
        <v>12</v>
      </c>
      <c r="D3" s="1" t="s">
        <v>13</v>
      </c>
      <c r="E3">
        <v>5</v>
      </c>
      <c r="F3" s="4">
        <v>1138.73</v>
      </c>
      <c r="G3" s="3">
        <v>0</v>
      </c>
      <c r="H3" s="4">
        <v>240.73</v>
      </c>
      <c r="I3" t="str">
        <f>VLOOKUP(orders__17[[#This Row],[Customer_ID]],customers__2[#All],3,0)</f>
        <v>West</v>
      </c>
      <c r="J3" t="str">
        <f>VLOOKUP(orders__17[[#This Row],[Customer_ID]],customers__2[#All],4,0)</f>
        <v>Home Office</v>
      </c>
      <c r="K3" t="str">
        <f>VLOOKUP(orders__17[[#This Row],[Product_ID]],products[#All],3,0)</f>
        <v>Furniture</v>
      </c>
      <c r="L3" s="1" t="str">
        <f>VLOOKUP(orders__17[[#This Row],[Product_ID]],products[#All],4,0)</f>
        <v>Desk</v>
      </c>
      <c r="M3" s="1" t="str">
        <f>VLOOKUP(orders__17[[#This Row],[Order_ID]],returns[#All],2,0)</f>
        <v>No</v>
      </c>
    </row>
    <row r="4" spans="1:13" x14ac:dyDescent="0.3">
      <c r="A4" s="1" t="s">
        <v>14</v>
      </c>
      <c r="B4" s="2">
        <v>45404</v>
      </c>
      <c r="C4" s="1" t="s">
        <v>15</v>
      </c>
      <c r="D4" s="1" t="s">
        <v>16</v>
      </c>
      <c r="E4">
        <v>3</v>
      </c>
      <c r="F4" s="4">
        <v>540.70000000000005</v>
      </c>
      <c r="G4" s="3">
        <v>0.2</v>
      </c>
      <c r="H4" s="4">
        <v>153.36000000000001</v>
      </c>
      <c r="I4" t="str">
        <f>VLOOKUP(orders__17[[#This Row],[Customer_ID]],customers__2[#All],3,0)</f>
        <v>West</v>
      </c>
      <c r="J4" t="str">
        <f>VLOOKUP(orders__17[[#This Row],[Customer_ID]],customers__2[#All],4,0)</f>
        <v>Corporate</v>
      </c>
      <c r="K4" t="str">
        <f>VLOOKUP(orders__17[[#This Row],[Product_ID]],products[#All],3,0)</f>
        <v>Technology</v>
      </c>
      <c r="L4" s="1" t="str">
        <f>VLOOKUP(orders__17[[#This Row],[Product_ID]],products[#All],4,0)</f>
        <v>Laptop</v>
      </c>
      <c r="M4" s="1" t="str">
        <f>VLOOKUP(orders__17[[#This Row],[Order_ID]],returns[#All],2,0)</f>
        <v>No</v>
      </c>
    </row>
    <row r="5" spans="1:13" x14ac:dyDescent="0.3">
      <c r="A5" s="1" t="s">
        <v>17</v>
      </c>
      <c r="B5" s="2">
        <v>45047</v>
      </c>
      <c r="C5" s="1" t="s">
        <v>18</v>
      </c>
      <c r="D5" s="1" t="s">
        <v>19</v>
      </c>
      <c r="E5">
        <v>5</v>
      </c>
      <c r="F5" s="4">
        <v>842.72</v>
      </c>
      <c r="G5" s="3">
        <v>0.3</v>
      </c>
      <c r="H5" s="4">
        <v>106.05</v>
      </c>
      <c r="I5" t="str">
        <f>VLOOKUP(orders__17[[#This Row],[Customer_ID]],customers__2[#All],3,0)</f>
        <v>North</v>
      </c>
      <c r="J5" t="str">
        <f>VLOOKUP(orders__17[[#This Row],[Customer_ID]],customers__2[#All],4,0)</f>
        <v>Home Office</v>
      </c>
      <c r="K5" t="str">
        <f>VLOOKUP(orders__17[[#This Row],[Product_ID]],products[#All],3,0)</f>
        <v>Office Supplies</v>
      </c>
      <c r="L5" s="1" t="str">
        <f>VLOOKUP(orders__17[[#This Row],[Product_ID]],products[#All],4,0)</f>
        <v>Pen</v>
      </c>
      <c r="M5" s="1" t="str">
        <f>VLOOKUP(orders__17[[#This Row],[Order_ID]],returns[#All],2,0)</f>
        <v>No</v>
      </c>
    </row>
    <row r="6" spans="1:13" x14ac:dyDescent="0.3">
      <c r="A6" s="1" t="s">
        <v>20</v>
      </c>
      <c r="B6" s="2">
        <v>45052</v>
      </c>
      <c r="C6" s="1" t="s">
        <v>21</v>
      </c>
      <c r="D6" s="1" t="s">
        <v>22</v>
      </c>
      <c r="E6">
        <v>5</v>
      </c>
      <c r="F6" s="4">
        <v>1229.51</v>
      </c>
      <c r="G6" s="3">
        <v>0.3</v>
      </c>
      <c r="H6" s="4">
        <v>301.81</v>
      </c>
      <c r="I6" t="str">
        <f>VLOOKUP(orders__17[[#This Row],[Customer_ID]],customers__2[#All],3,0)</f>
        <v>West</v>
      </c>
      <c r="J6" t="str">
        <f>VLOOKUP(orders__17[[#This Row],[Customer_ID]],customers__2[#All],4,0)</f>
        <v>Corporate</v>
      </c>
      <c r="K6" t="str">
        <f>VLOOKUP(orders__17[[#This Row],[Product_ID]],products[#All],3,0)</f>
        <v>Furniture</v>
      </c>
      <c r="L6" s="1" t="str">
        <f>VLOOKUP(orders__17[[#This Row],[Product_ID]],products[#All],4,0)</f>
        <v>Chair</v>
      </c>
      <c r="M6" s="1" t="str">
        <f>VLOOKUP(orders__17[[#This Row],[Order_ID]],returns[#All],2,0)</f>
        <v>No</v>
      </c>
    </row>
    <row r="7" spans="1:13" x14ac:dyDescent="0.3">
      <c r="A7" s="1" t="s">
        <v>23</v>
      </c>
      <c r="B7" s="2">
        <v>44767</v>
      </c>
      <c r="C7" s="1" t="s">
        <v>24</v>
      </c>
      <c r="D7" s="1" t="s">
        <v>25</v>
      </c>
      <c r="E7">
        <v>2</v>
      </c>
      <c r="F7" s="4">
        <v>1043.8599999999999</v>
      </c>
      <c r="G7" s="3">
        <v>0.1</v>
      </c>
      <c r="H7" s="4">
        <v>252.06</v>
      </c>
      <c r="I7" t="str">
        <f>VLOOKUP(orders__17[[#This Row],[Customer_ID]],customers__2[#All],3,0)</f>
        <v>North</v>
      </c>
      <c r="J7" t="str">
        <f>VLOOKUP(orders__17[[#This Row],[Customer_ID]],customers__2[#All],4,0)</f>
        <v>Consumer</v>
      </c>
      <c r="K7" t="str">
        <f>VLOOKUP(orders__17[[#This Row],[Product_ID]],products[#All],3,0)</f>
        <v>Office Supplies</v>
      </c>
      <c r="L7" s="1" t="str">
        <f>VLOOKUP(orders__17[[#This Row],[Product_ID]],products[#All],4,0)</f>
        <v>Paper</v>
      </c>
      <c r="M7" s="1" t="str">
        <f>VLOOKUP(orders__17[[#This Row],[Order_ID]],returns[#All],2,0)</f>
        <v>Yes</v>
      </c>
    </row>
    <row r="8" spans="1:13" x14ac:dyDescent="0.3">
      <c r="A8" s="1" t="s">
        <v>26</v>
      </c>
      <c r="B8" s="2">
        <v>44983</v>
      </c>
      <c r="C8" s="1" t="s">
        <v>27</v>
      </c>
      <c r="D8" s="1" t="s">
        <v>28</v>
      </c>
      <c r="E8">
        <v>3</v>
      </c>
      <c r="F8" s="4">
        <v>1976.79</v>
      </c>
      <c r="G8" s="3">
        <v>0.2</v>
      </c>
      <c r="H8" s="4">
        <v>440.65</v>
      </c>
      <c r="I8" t="str">
        <f>VLOOKUP(orders__17[[#This Row],[Customer_ID]],customers__2[#All],3,0)</f>
        <v>North</v>
      </c>
      <c r="J8" t="str">
        <f>VLOOKUP(orders__17[[#This Row],[Customer_ID]],customers__2[#All],4,0)</f>
        <v>Consumer</v>
      </c>
      <c r="K8" t="str">
        <f>VLOOKUP(orders__17[[#This Row],[Product_ID]],products[#All],3,0)</f>
        <v>Office Supplies</v>
      </c>
      <c r="L8" s="1" t="str">
        <f>VLOOKUP(orders__17[[#This Row],[Product_ID]],products[#All],4,0)</f>
        <v>Storage</v>
      </c>
      <c r="M8" s="1" t="str">
        <f>VLOOKUP(orders__17[[#This Row],[Order_ID]],returns[#All],2,0)</f>
        <v>No</v>
      </c>
    </row>
    <row r="9" spans="1:13" x14ac:dyDescent="0.3">
      <c r="A9" s="1" t="s">
        <v>29</v>
      </c>
      <c r="B9" s="2">
        <v>44767</v>
      </c>
      <c r="C9" s="1" t="s">
        <v>30</v>
      </c>
      <c r="D9" s="1" t="s">
        <v>31</v>
      </c>
      <c r="E9">
        <v>3</v>
      </c>
      <c r="F9" s="4">
        <v>359.24</v>
      </c>
      <c r="G9" s="3">
        <v>0.3</v>
      </c>
      <c r="H9" s="4">
        <v>104.69</v>
      </c>
      <c r="I9" t="str">
        <f>VLOOKUP(orders__17[[#This Row],[Customer_ID]],customers__2[#All],3,0)</f>
        <v>South</v>
      </c>
      <c r="J9" t="str">
        <f>VLOOKUP(orders__17[[#This Row],[Customer_ID]],customers__2[#All],4,0)</f>
        <v>Home Office</v>
      </c>
      <c r="K9" t="str">
        <f>VLOOKUP(orders__17[[#This Row],[Product_ID]],products[#All],3,0)</f>
        <v>Furniture</v>
      </c>
      <c r="L9" s="1" t="str">
        <f>VLOOKUP(orders__17[[#This Row],[Product_ID]],products[#All],4,0)</f>
        <v>Chair</v>
      </c>
      <c r="M9" s="1" t="str">
        <f>VLOOKUP(orders__17[[#This Row],[Order_ID]],returns[#All],2,0)</f>
        <v>No</v>
      </c>
    </row>
    <row r="10" spans="1:13" x14ac:dyDescent="0.3">
      <c r="A10" s="1" t="s">
        <v>32</v>
      </c>
      <c r="B10" s="2">
        <v>45353</v>
      </c>
      <c r="C10" s="1" t="s">
        <v>33</v>
      </c>
      <c r="D10" s="1" t="s">
        <v>34</v>
      </c>
      <c r="E10">
        <v>3</v>
      </c>
      <c r="F10" s="4">
        <v>1420.77</v>
      </c>
      <c r="G10" s="3">
        <v>0.2</v>
      </c>
      <c r="H10" s="4">
        <v>210.83</v>
      </c>
      <c r="I10" t="str">
        <f>VLOOKUP(orders__17[[#This Row],[Customer_ID]],customers__2[#All],3,0)</f>
        <v>East</v>
      </c>
      <c r="J10" t="str">
        <f>VLOOKUP(orders__17[[#This Row],[Customer_ID]],customers__2[#All],4,0)</f>
        <v>Home Office</v>
      </c>
      <c r="K10" t="str">
        <f>VLOOKUP(orders__17[[#This Row],[Product_ID]],products[#All],3,0)</f>
        <v>Furniture</v>
      </c>
      <c r="L10" s="1" t="str">
        <f>VLOOKUP(orders__17[[#This Row],[Product_ID]],products[#All],4,0)</f>
        <v>Table</v>
      </c>
      <c r="M10" s="1" t="str">
        <f>VLOOKUP(orders__17[[#This Row],[Order_ID]],returns[#All],2,0)</f>
        <v>No</v>
      </c>
    </row>
    <row r="11" spans="1:13" x14ac:dyDescent="0.3">
      <c r="A11" s="1" t="s">
        <v>35</v>
      </c>
      <c r="B11" s="2">
        <v>45413</v>
      </c>
      <c r="C11" s="1" t="s">
        <v>36</v>
      </c>
      <c r="D11" s="1" t="s">
        <v>37</v>
      </c>
      <c r="E11">
        <v>5</v>
      </c>
      <c r="F11" s="4">
        <v>868.21</v>
      </c>
      <c r="G11" s="3">
        <v>0</v>
      </c>
      <c r="H11" s="4">
        <v>71.78</v>
      </c>
      <c r="I11" t="str">
        <f>VLOOKUP(orders__17[[#This Row],[Customer_ID]],customers__2[#All],3,0)</f>
        <v>North</v>
      </c>
      <c r="J11" t="str">
        <f>VLOOKUP(orders__17[[#This Row],[Customer_ID]],customers__2[#All],4,0)</f>
        <v>Consumer</v>
      </c>
      <c r="K11" t="str">
        <f>VLOOKUP(orders__17[[#This Row],[Product_ID]],products[#All],3,0)</f>
        <v>Furniture</v>
      </c>
      <c r="L11" s="1" t="str">
        <f>VLOOKUP(orders__17[[#This Row],[Product_ID]],products[#All],4,0)</f>
        <v>Desk</v>
      </c>
      <c r="M11" s="1" t="str">
        <f>VLOOKUP(orders__17[[#This Row],[Order_ID]],returns[#All],2,0)</f>
        <v>Yes</v>
      </c>
    </row>
    <row r="12" spans="1:13" x14ac:dyDescent="0.3">
      <c r="A12" s="1" t="s">
        <v>38</v>
      </c>
      <c r="B12" s="2">
        <v>45302</v>
      </c>
      <c r="C12" s="1" t="s">
        <v>39</v>
      </c>
      <c r="D12" s="1" t="s">
        <v>40</v>
      </c>
      <c r="E12">
        <v>4</v>
      </c>
      <c r="F12" s="4">
        <v>913.58</v>
      </c>
      <c r="G12" s="3">
        <v>0.2</v>
      </c>
      <c r="H12" s="4">
        <v>199.09</v>
      </c>
      <c r="I12" t="str">
        <f>VLOOKUP(orders__17[[#This Row],[Customer_ID]],customers__2[#All],3,0)</f>
        <v>West</v>
      </c>
      <c r="J12" t="str">
        <f>VLOOKUP(orders__17[[#This Row],[Customer_ID]],customers__2[#All],4,0)</f>
        <v>Consumer</v>
      </c>
      <c r="K12" t="str">
        <f>VLOOKUP(orders__17[[#This Row],[Product_ID]],products[#All],3,0)</f>
        <v>Office Supplies</v>
      </c>
      <c r="L12" s="1" t="str">
        <f>VLOOKUP(orders__17[[#This Row],[Product_ID]],products[#All],4,0)</f>
        <v>Storage</v>
      </c>
      <c r="M12" s="1" t="str">
        <f>VLOOKUP(orders__17[[#This Row],[Order_ID]],returns[#All],2,0)</f>
        <v>Yes</v>
      </c>
    </row>
    <row r="13" spans="1:13" x14ac:dyDescent="0.3">
      <c r="A13" s="1" t="s">
        <v>41</v>
      </c>
      <c r="B13" s="2">
        <v>44904</v>
      </c>
      <c r="C13" s="1" t="s">
        <v>42</v>
      </c>
      <c r="D13" s="1" t="s">
        <v>43</v>
      </c>
      <c r="E13">
        <v>3</v>
      </c>
      <c r="F13" s="4">
        <v>1463.44</v>
      </c>
      <c r="G13" s="3">
        <v>0.3</v>
      </c>
      <c r="H13" s="4">
        <v>340</v>
      </c>
      <c r="I13" t="str">
        <f>VLOOKUP(orders__17[[#This Row],[Customer_ID]],customers__2[#All],3,0)</f>
        <v>North</v>
      </c>
      <c r="J13" t="str">
        <f>VLOOKUP(orders__17[[#This Row],[Customer_ID]],customers__2[#All],4,0)</f>
        <v>Corporate</v>
      </c>
      <c r="K13" t="str">
        <f>VLOOKUP(orders__17[[#This Row],[Product_ID]],products[#All],3,0)</f>
        <v>Technology</v>
      </c>
      <c r="L13" s="1" t="str">
        <f>VLOOKUP(orders__17[[#This Row],[Product_ID]],products[#All],4,0)</f>
        <v>Tablet</v>
      </c>
      <c r="M13" s="1" t="str">
        <f>VLOOKUP(orders__17[[#This Row],[Order_ID]],returns[#All],2,0)</f>
        <v>No</v>
      </c>
    </row>
    <row r="14" spans="1:13" x14ac:dyDescent="0.3">
      <c r="A14" s="1" t="s">
        <v>44</v>
      </c>
      <c r="B14" s="2">
        <v>44934</v>
      </c>
      <c r="C14" s="1" t="s">
        <v>36</v>
      </c>
      <c r="D14" s="1" t="s">
        <v>45</v>
      </c>
      <c r="E14">
        <v>5</v>
      </c>
      <c r="F14" s="4">
        <v>1415.63</v>
      </c>
      <c r="G14" s="3">
        <v>0.1</v>
      </c>
      <c r="H14" s="4">
        <v>274.3</v>
      </c>
      <c r="I14" t="str">
        <f>VLOOKUP(orders__17[[#This Row],[Customer_ID]],customers__2[#All],3,0)</f>
        <v>North</v>
      </c>
      <c r="J14" t="str">
        <f>VLOOKUP(orders__17[[#This Row],[Customer_ID]],customers__2[#All],4,0)</f>
        <v>Consumer</v>
      </c>
      <c r="K14" t="str">
        <f>VLOOKUP(orders__17[[#This Row],[Product_ID]],products[#All],3,0)</f>
        <v>Office Supplies</v>
      </c>
      <c r="L14" s="1" t="str">
        <f>VLOOKUP(orders__17[[#This Row],[Product_ID]],products[#All],4,0)</f>
        <v>Pen</v>
      </c>
      <c r="M14" s="1" t="str">
        <f>VLOOKUP(orders__17[[#This Row],[Order_ID]],returns[#All],2,0)</f>
        <v>No</v>
      </c>
    </row>
    <row r="15" spans="1:13" x14ac:dyDescent="0.3">
      <c r="A15" s="1" t="s">
        <v>46</v>
      </c>
      <c r="B15" s="2">
        <v>45195</v>
      </c>
      <c r="C15" s="1" t="s">
        <v>47</v>
      </c>
      <c r="D15" s="1" t="s">
        <v>48</v>
      </c>
      <c r="E15">
        <v>2</v>
      </c>
      <c r="F15" s="4">
        <v>1983.39</v>
      </c>
      <c r="G15" s="3">
        <v>0.3</v>
      </c>
      <c r="H15" s="4">
        <v>201.72</v>
      </c>
      <c r="I15" t="str">
        <f>VLOOKUP(orders__17[[#This Row],[Customer_ID]],customers__2[#All],3,0)</f>
        <v>West</v>
      </c>
      <c r="J15" t="str">
        <f>VLOOKUP(orders__17[[#This Row],[Customer_ID]],customers__2[#All],4,0)</f>
        <v>Consumer</v>
      </c>
      <c r="K15" t="str">
        <f>VLOOKUP(orders__17[[#This Row],[Product_ID]],products[#All],3,0)</f>
        <v>Office Supplies</v>
      </c>
      <c r="L15" s="1" t="str">
        <f>VLOOKUP(orders__17[[#This Row],[Product_ID]],products[#All],4,0)</f>
        <v>Pen</v>
      </c>
      <c r="M15" s="1" t="str">
        <f>VLOOKUP(orders__17[[#This Row],[Order_ID]],returns[#All],2,0)</f>
        <v>No</v>
      </c>
    </row>
    <row r="16" spans="1:13" x14ac:dyDescent="0.3">
      <c r="A16" s="1" t="s">
        <v>49</v>
      </c>
      <c r="B16" s="2">
        <v>45032</v>
      </c>
      <c r="C16" s="1" t="s">
        <v>50</v>
      </c>
      <c r="D16" s="1" t="s">
        <v>51</v>
      </c>
      <c r="E16">
        <v>4</v>
      </c>
      <c r="F16" s="4">
        <v>343.95</v>
      </c>
      <c r="G16" s="3">
        <v>0.2</v>
      </c>
      <c r="H16" s="4">
        <v>60.57</v>
      </c>
      <c r="I16" t="str">
        <f>VLOOKUP(orders__17[[#This Row],[Customer_ID]],customers__2[#All],3,0)</f>
        <v>East</v>
      </c>
      <c r="J16" t="str">
        <f>VLOOKUP(orders__17[[#This Row],[Customer_ID]],customers__2[#All],4,0)</f>
        <v>Corporate</v>
      </c>
      <c r="K16" t="str">
        <f>VLOOKUP(orders__17[[#This Row],[Product_ID]],products[#All],3,0)</f>
        <v>Office Supplies</v>
      </c>
      <c r="L16" s="1" t="str">
        <f>VLOOKUP(orders__17[[#This Row],[Product_ID]],products[#All],4,0)</f>
        <v>Pen</v>
      </c>
      <c r="M16" s="1" t="str">
        <f>VLOOKUP(orders__17[[#This Row],[Order_ID]],returns[#All],2,0)</f>
        <v>No</v>
      </c>
    </row>
    <row r="17" spans="1:13" x14ac:dyDescent="0.3">
      <c r="A17" s="1" t="s">
        <v>52</v>
      </c>
      <c r="B17" s="2">
        <v>44872</v>
      </c>
      <c r="C17" s="1" t="s">
        <v>53</v>
      </c>
      <c r="D17" s="1" t="s">
        <v>54</v>
      </c>
      <c r="E17">
        <v>2</v>
      </c>
      <c r="F17" s="4">
        <v>297.81</v>
      </c>
      <c r="G17" s="3">
        <v>0.2</v>
      </c>
      <c r="H17" s="4">
        <v>38.130000000000003</v>
      </c>
      <c r="I17" t="str">
        <f>VLOOKUP(orders__17[[#This Row],[Customer_ID]],customers__2[#All],3,0)</f>
        <v>West</v>
      </c>
      <c r="J17" t="str">
        <f>VLOOKUP(orders__17[[#This Row],[Customer_ID]],customers__2[#All],4,0)</f>
        <v>Home Office</v>
      </c>
      <c r="K17" t="str">
        <f>VLOOKUP(orders__17[[#This Row],[Product_ID]],products[#All],3,0)</f>
        <v>Office Supplies</v>
      </c>
      <c r="L17" s="1" t="str">
        <f>VLOOKUP(orders__17[[#This Row],[Product_ID]],products[#All],4,0)</f>
        <v>Binder</v>
      </c>
      <c r="M17" s="1" t="str">
        <f>VLOOKUP(orders__17[[#This Row],[Order_ID]],returns[#All],2,0)</f>
        <v>No</v>
      </c>
    </row>
    <row r="18" spans="1:13" x14ac:dyDescent="0.3">
      <c r="A18" s="1" t="s">
        <v>55</v>
      </c>
      <c r="B18" s="2">
        <v>44582</v>
      </c>
      <c r="C18" s="1" t="s">
        <v>56</v>
      </c>
      <c r="D18" s="1" t="s">
        <v>22</v>
      </c>
      <c r="E18">
        <v>4</v>
      </c>
      <c r="F18" s="4">
        <v>1476.24</v>
      </c>
      <c r="G18" s="3">
        <v>0.3</v>
      </c>
      <c r="H18" s="4">
        <v>231.57</v>
      </c>
      <c r="I18" t="str">
        <f>VLOOKUP(orders__17[[#This Row],[Customer_ID]],customers__2[#All],3,0)</f>
        <v>South</v>
      </c>
      <c r="J18" t="str">
        <f>VLOOKUP(orders__17[[#This Row],[Customer_ID]],customers__2[#All],4,0)</f>
        <v>Consumer</v>
      </c>
      <c r="K18" t="str">
        <f>VLOOKUP(orders__17[[#This Row],[Product_ID]],products[#All],3,0)</f>
        <v>Furniture</v>
      </c>
      <c r="L18" s="1" t="str">
        <f>VLOOKUP(orders__17[[#This Row],[Product_ID]],products[#All],4,0)</f>
        <v>Chair</v>
      </c>
      <c r="M18" s="1" t="str">
        <f>VLOOKUP(orders__17[[#This Row],[Order_ID]],returns[#All],2,0)</f>
        <v>No</v>
      </c>
    </row>
    <row r="19" spans="1:13" x14ac:dyDescent="0.3">
      <c r="A19" s="1" t="s">
        <v>57</v>
      </c>
      <c r="B19" s="2">
        <v>44885</v>
      </c>
      <c r="C19" s="1" t="s">
        <v>58</v>
      </c>
      <c r="D19" s="1" t="s">
        <v>59</v>
      </c>
      <c r="E19">
        <v>5</v>
      </c>
      <c r="F19" s="4">
        <v>1198.94</v>
      </c>
      <c r="G19" s="3">
        <v>0.2</v>
      </c>
      <c r="H19" s="4">
        <v>253.34</v>
      </c>
      <c r="I19" t="str">
        <f>VLOOKUP(orders__17[[#This Row],[Customer_ID]],customers__2[#All],3,0)</f>
        <v>West</v>
      </c>
      <c r="J19" t="str">
        <f>VLOOKUP(orders__17[[#This Row],[Customer_ID]],customers__2[#All],4,0)</f>
        <v>Corporate</v>
      </c>
      <c r="K19" t="str">
        <f>VLOOKUP(orders__17[[#This Row],[Product_ID]],products[#All],3,0)</f>
        <v>Office Supplies</v>
      </c>
      <c r="L19" s="1" t="str">
        <f>VLOOKUP(orders__17[[#This Row],[Product_ID]],products[#All],4,0)</f>
        <v>Paper</v>
      </c>
      <c r="M19" s="1" t="str">
        <f>VLOOKUP(orders__17[[#This Row],[Order_ID]],returns[#All],2,0)</f>
        <v>No</v>
      </c>
    </row>
    <row r="20" spans="1:13" x14ac:dyDescent="0.3">
      <c r="A20" s="1" t="s">
        <v>60</v>
      </c>
      <c r="B20" s="2">
        <v>44817</v>
      </c>
      <c r="C20" s="1" t="s">
        <v>50</v>
      </c>
      <c r="D20" s="1" t="s">
        <v>61</v>
      </c>
      <c r="E20">
        <v>1</v>
      </c>
      <c r="F20" s="4">
        <v>620.91</v>
      </c>
      <c r="G20" s="3">
        <v>0</v>
      </c>
      <c r="H20" s="4">
        <v>146.72</v>
      </c>
      <c r="I20" t="str">
        <f>VLOOKUP(orders__17[[#This Row],[Customer_ID]],customers__2[#All],3,0)</f>
        <v>East</v>
      </c>
      <c r="J20" t="str">
        <f>VLOOKUP(orders__17[[#This Row],[Customer_ID]],customers__2[#All],4,0)</f>
        <v>Corporate</v>
      </c>
      <c r="K20" t="str">
        <f>VLOOKUP(orders__17[[#This Row],[Product_ID]],products[#All],3,0)</f>
        <v>Office Supplies</v>
      </c>
      <c r="L20" s="1" t="str">
        <f>VLOOKUP(orders__17[[#This Row],[Product_ID]],products[#All],4,0)</f>
        <v>Binder</v>
      </c>
      <c r="M20" s="1" t="str">
        <f>VLOOKUP(orders__17[[#This Row],[Order_ID]],returns[#All],2,0)</f>
        <v>Yes</v>
      </c>
    </row>
    <row r="21" spans="1:13" x14ac:dyDescent="0.3">
      <c r="A21" s="1" t="s">
        <v>62</v>
      </c>
      <c r="B21" s="2">
        <v>45216</v>
      </c>
      <c r="C21" s="1" t="s">
        <v>63</v>
      </c>
      <c r="D21" s="1" t="s">
        <v>64</v>
      </c>
      <c r="E21">
        <v>4</v>
      </c>
      <c r="F21" s="4">
        <v>250.9</v>
      </c>
      <c r="G21" s="3">
        <v>0.3</v>
      </c>
      <c r="H21" s="4">
        <v>27.11</v>
      </c>
      <c r="I21" t="str">
        <f>VLOOKUP(orders__17[[#This Row],[Customer_ID]],customers__2[#All],3,0)</f>
        <v>East</v>
      </c>
      <c r="J21" t="str">
        <f>VLOOKUP(orders__17[[#This Row],[Customer_ID]],customers__2[#All],4,0)</f>
        <v>Home Office</v>
      </c>
      <c r="K21" t="str">
        <f>VLOOKUP(orders__17[[#This Row],[Product_ID]],products[#All],3,0)</f>
        <v>Office Supplies</v>
      </c>
      <c r="L21" s="1" t="str">
        <f>VLOOKUP(orders__17[[#This Row],[Product_ID]],products[#All],4,0)</f>
        <v>Storage</v>
      </c>
      <c r="M21" s="1" t="str">
        <f>VLOOKUP(orders__17[[#This Row],[Order_ID]],returns[#All],2,0)</f>
        <v>No</v>
      </c>
    </row>
    <row r="22" spans="1:13" x14ac:dyDescent="0.3">
      <c r="A22" s="1" t="s">
        <v>65</v>
      </c>
      <c r="B22" s="2">
        <v>45377</v>
      </c>
      <c r="C22" s="1" t="s">
        <v>66</v>
      </c>
      <c r="D22" s="1" t="s">
        <v>67</v>
      </c>
      <c r="E22">
        <v>2</v>
      </c>
      <c r="F22" s="4">
        <v>262.75</v>
      </c>
      <c r="G22" s="3">
        <v>0.1</v>
      </c>
      <c r="H22" s="4">
        <v>39.76</v>
      </c>
      <c r="I22" t="str">
        <f>VLOOKUP(orders__17[[#This Row],[Customer_ID]],customers__2[#All],3,0)</f>
        <v>East</v>
      </c>
      <c r="J22" t="str">
        <f>VLOOKUP(orders__17[[#This Row],[Customer_ID]],customers__2[#All],4,0)</f>
        <v>Corporate</v>
      </c>
      <c r="K22" t="str">
        <f>VLOOKUP(orders__17[[#This Row],[Product_ID]],products[#All],3,0)</f>
        <v>Furniture</v>
      </c>
      <c r="L22" s="1" t="str">
        <f>VLOOKUP(orders__17[[#This Row],[Product_ID]],products[#All],4,0)</f>
        <v>Chair</v>
      </c>
      <c r="M22" s="1" t="str">
        <f>VLOOKUP(orders__17[[#This Row],[Order_ID]],returns[#All],2,0)</f>
        <v>No</v>
      </c>
    </row>
    <row r="23" spans="1:13" x14ac:dyDescent="0.3">
      <c r="A23" s="1" t="s">
        <v>68</v>
      </c>
      <c r="B23" s="2">
        <v>45132</v>
      </c>
      <c r="C23" s="1" t="s">
        <v>69</v>
      </c>
      <c r="D23" s="1" t="s">
        <v>70</v>
      </c>
      <c r="E23">
        <v>5</v>
      </c>
      <c r="F23" s="4">
        <v>1798.96</v>
      </c>
      <c r="G23" s="3">
        <v>0.3</v>
      </c>
      <c r="H23" s="4">
        <v>211</v>
      </c>
      <c r="I23" t="str">
        <f>VLOOKUP(orders__17[[#This Row],[Customer_ID]],customers__2[#All],3,0)</f>
        <v>West</v>
      </c>
      <c r="J23" t="str">
        <f>VLOOKUP(orders__17[[#This Row],[Customer_ID]],customers__2[#All],4,0)</f>
        <v>Corporate</v>
      </c>
      <c r="K23" t="str">
        <f>VLOOKUP(orders__17[[#This Row],[Product_ID]],products[#All],3,0)</f>
        <v>Office Supplies</v>
      </c>
      <c r="L23" s="1" t="str">
        <f>VLOOKUP(orders__17[[#This Row],[Product_ID]],products[#All],4,0)</f>
        <v>Paper</v>
      </c>
      <c r="M23" s="1" t="str">
        <f>VLOOKUP(orders__17[[#This Row],[Order_ID]],returns[#All],2,0)</f>
        <v>No</v>
      </c>
    </row>
    <row r="24" spans="1:13" x14ac:dyDescent="0.3">
      <c r="A24" s="1" t="s">
        <v>71</v>
      </c>
      <c r="B24" s="2">
        <v>44683</v>
      </c>
      <c r="C24" s="1" t="s">
        <v>50</v>
      </c>
      <c r="D24" s="1" t="s">
        <v>72</v>
      </c>
      <c r="E24">
        <v>4</v>
      </c>
      <c r="F24" s="4">
        <v>464.55</v>
      </c>
      <c r="G24" s="3">
        <v>0</v>
      </c>
      <c r="H24" s="4">
        <v>46.3</v>
      </c>
      <c r="I24" t="str">
        <f>VLOOKUP(orders__17[[#This Row],[Customer_ID]],customers__2[#All],3,0)</f>
        <v>East</v>
      </c>
      <c r="J24" t="str">
        <f>VLOOKUP(orders__17[[#This Row],[Customer_ID]],customers__2[#All],4,0)</f>
        <v>Corporate</v>
      </c>
      <c r="K24" t="str">
        <f>VLOOKUP(orders__17[[#This Row],[Product_ID]],products[#All],3,0)</f>
        <v>Furniture</v>
      </c>
      <c r="L24" s="1" t="str">
        <f>VLOOKUP(orders__17[[#This Row],[Product_ID]],products[#All],4,0)</f>
        <v>Chair</v>
      </c>
      <c r="M24" s="1" t="str">
        <f>VLOOKUP(orders__17[[#This Row],[Order_ID]],returns[#All],2,0)</f>
        <v>No</v>
      </c>
    </row>
    <row r="25" spans="1:13" x14ac:dyDescent="0.3">
      <c r="A25" s="1" t="s">
        <v>73</v>
      </c>
      <c r="B25" s="2">
        <v>45267</v>
      </c>
      <c r="C25" s="1" t="s">
        <v>74</v>
      </c>
      <c r="D25" s="1" t="s">
        <v>75</v>
      </c>
      <c r="E25">
        <v>1</v>
      </c>
      <c r="F25" s="4">
        <v>714.41</v>
      </c>
      <c r="G25" s="3">
        <v>0</v>
      </c>
      <c r="H25" s="4">
        <v>175.64</v>
      </c>
      <c r="I25" t="str">
        <f>VLOOKUP(orders__17[[#This Row],[Customer_ID]],customers__2[#All],3,0)</f>
        <v>North</v>
      </c>
      <c r="J25" t="str">
        <f>VLOOKUP(orders__17[[#This Row],[Customer_ID]],customers__2[#All],4,0)</f>
        <v>Consumer</v>
      </c>
      <c r="K25" t="str">
        <f>VLOOKUP(orders__17[[#This Row],[Product_ID]],products[#All],3,0)</f>
        <v>Technology</v>
      </c>
      <c r="L25" s="1" t="str">
        <f>VLOOKUP(orders__17[[#This Row],[Product_ID]],products[#All],4,0)</f>
        <v>Tablet</v>
      </c>
      <c r="M25" s="1" t="str">
        <f>VLOOKUP(orders__17[[#This Row],[Order_ID]],returns[#All],2,0)</f>
        <v>No</v>
      </c>
    </row>
    <row r="26" spans="1:13" x14ac:dyDescent="0.3">
      <c r="A26" s="1" t="s">
        <v>76</v>
      </c>
      <c r="B26" s="2">
        <v>45450</v>
      </c>
      <c r="C26" s="1" t="s">
        <v>77</v>
      </c>
      <c r="D26" s="1" t="s">
        <v>78</v>
      </c>
      <c r="E26">
        <v>1</v>
      </c>
      <c r="F26" s="4">
        <v>530.65</v>
      </c>
      <c r="G26" s="3">
        <v>0</v>
      </c>
      <c r="H26" s="4">
        <v>147.16</v>
      </c>
      <c r="I26" t="str">
        <f>VLOOKUP(orders__17[[#This Row],[Customer_ID]],customers__2[#All],3,0)</f>
        <v>West</v>
      </c>
      <c r="J26" t="str">
        <f>VLOOKUP(orders__17[[#This Row],[Customer_ID]],customers__2[#All],4,0)</f>
        <v>Consumer</v>
      </c>
      <c r="K26" t="str">
        <f>VLOOKUP(orders__17[[#This Row],[Product_ID]],products[#All],3,0)</f>
        <v>Technology</v>
      </c>
      <c r="L26" s="1" t="str">
        <f>VLOOKUP(orders__17[[#This Row],[Product_ID]],products[#All],4,0)</f>
        <v>Accessories</v>
      </c>
      <c r="M26" s="1" t="str">
        <f>VLOOKUP(orders__17[[#This Row],[Order_ID]],returns[#All],2,0)</f>
        <v>No</v>
      </c>
    </row>
    <row r="27" spans="1:13" x14ac:dyDescent="0.3">
      <c r="A27" s="1" t="s">
        <v>79</v>
      </c>
      <c r="B27" s="2">
        <v>45396</v>
      </c>
      <c r="C27" s="1" t="s">
        <v>80</v>
      </c>
      <c r="D27" s="1" t="s">
        <v>19</v>
      </c>
      <c r="E27">
        <v>3</v>
      </c>
      <c r="F27" s="4">
        <v>774.49</v>
      </c>
      <c r="G27" s="3">
        <v>0</v>
      </c>
      <c r="H27" s="4">
        <v>110.41</v>
      </c>
      <c r="I27" t="str">
        <f>VLOOKUP(orders__17[[#This Row],[Customer_ID]],customers__2[#All],3,0)</f>
        <v>East</v>
      </c>
      <c r="J27" t="str">
        <f>VLOOKUP(orders__17[[#This Row],[Customer_ID]],customers__2[#All],4,0)</f>
        <v>Home Office</v>
      </c>
      <c r="K27" t="str">
        <f>VLOOKUP(orders__17[[#This Row],[Product_ID]],products[#All],3,0)</f>
        <v>Office Supplies</v>
      </c>
      <c r="L27" s="1" t="str">
        <f>VLOOKUP(orders__17[[#This Row],[Product_ID]],products[#All],4,0)</f>
        <v>Pen</v>
      </c>
      <c r="M27" s="1" t="str">
        <f>VLOOKUP(orders__17[[#This Row],[Order_ID]],returns[#All],2,0)</f>
        <v>No</v>
      </c>
    </row>
    <row r="28" spans="1:13" x14ac:dyDescent="0.3">
      <c r="A28" s="1" t="s">
        <v>81</v>
      </c>
      <c r="B28" s="2">
        <v>45287</v>
      </c>
      <c r="C28" s="1" t="s">
        <v>82</v>
      </c>
      <c r="D28" s="1" t="s">
        <v>83</v>
      </c>
      <c r="E28">
        <v>3</v>
      </c>
      <c r="F28" s="4">
        <v>231.91</v>
      </c>
      <c r="G28" s="3">
        <v>0</v>
      </c>
      <c r="H28" s="4">
        <v>55.15</v>
      </c>
      <c r="I28" t="str">
        <f>VLOOKUP(orders__17[[#This Row],[Customer_ID]],customers__2[#All],3,0)</f>
        <v>East</v>
      </c>
      <c r="J28" t="str">
        <f>VLOOKUP(orders__17[[#This Row],[Customer_ID]],customers__2[#All],4,0)</f>
        <v>Corporate</v>
      </c>
      <c r="K28" t="str">
        <f>VLOOKUP(orders__17[[#This Row],[Product_ID]],products[#All],3,0)</f>
        <v>Furniture</v>
      </c>
      <c r="L28" s="1" t="str">
        <f>VLOOKUP(orders__17[[#This Row],[Product_ID]],products[#All],4,0)</f>
        <v>Table</v>
      </c>
      <c r="M28" s="1" t="str">
        <f>VLOOKUP(orders__17[[#This Row],[Order_ID]],returns[#All],2,0)</f>
        <v>No</v>
      </c>
    </row>
    <row r="29" spans="1:13" x14ac:dyDescent="0.3">
      <c r="A29" s="1" t="s">
        <v>84</v>
      </c>
      <c r="B29" s="2">
        <v>44611</v>
      </c>
      <c r="C29" s="1" t="s">
        <v>85</v>
      </c>
      <c r="D29" s="1" t="s">
        <v>86</v>
      </c>
      <c r="E29">
        <v>2</v>
      </c>
      <c r="F29" s="4">
        <v>1086.21</v>
      </c>
      <c r="G29" s="3">
        <v>0.1</v>
      </c>
      <c r="H29" s="4">
        <v>297.89</v>
      </c>
      <c r="I29" t="str">
        <f>VLOOKUP(orders__17[[#This Row],[Customer_ID]],customers__2[#All],3,0)</f>
        <v>East</v>
      </c>
      <c r="J29" t="str">
        <f>VLOOKUP(orders__17[[#This Row],[Customer_ID]],customers__2[#All],4,0)</f>
        <v>Corporate</v>
      </c>
      <c r="K29" t="str">
        <f>VLOOKUP(orders__17[[#This Row],[Product_ID]],products[#All],3,0)</f>
        <v>Furniture</v>
      </c>
      <c r="L29" s="1" t="str">
        <f>VLOOKUP(orders__17[[#This Row],[Product_ID]],products[#All],4,0)</f>
        <v>Table</v>
      </c>
      <c r="M29" s="1" t="str">
        <f>VLOOKUP(orders__17[[#This Row],[Order_ID]],returns[#All],2,0)</f>
        <v>Yes</v>
      </c>
    </row>
    <row r="30" spans="1:13" x14ac:dyDescent="0.3">
      <c r="A30" s="1" t="s">
        <v>87</v>
      </c>
      <c r="B30" s="2">
        <v>44941</v>
      </c>
      <c r="C30" s="1" t="s">
        <v>88</v>
      </c>
      <c r="D30" s="1" t="s">
        <v>89</v>
      </c>
      <c r="E30">
        <v>4</v>
      </c>
      <c r="F30" s="4">
        <v>228.46</v>
      </c>
      <c r="G30" s="3">
        <v>0.2</v>
      </c>
      <c r="H30" s="4">
        <v>59.75</v>
      </c>
      <c r="I30" t="str">
        <f>VLOOKUP(orders__17[[#This Row],[Customer_ID]],customers__2[#All],3,0)</f>
        <v>West</v>
      </c>
      <c r="J30" t="str">
        <f>VLOOKUP(orders__17[[#This Row],[Customer_ID]],customers__2[#All],4,0)</f>
        <v>Corporate</v>
      </c>
      <c r="K30" t="str">
        <f>VLOOKUP(orders__17[[#This Row],[Product_ID]],products[#All],3,0)</f>
        <v>Technology</v>
      </c>
      <c r="L30" s="1" t="str">
        <f>VLOOKUP(orders__17[[#This Row],[Product_ID]],products[#All],4,0)</f>
        <v>Phone</v>
      </c>
      <c r="M30" s="1" t="str">
        <f>VLOOKUP(orders__17[[#This Row],[Order_ID]],returns[#All],2,0)</f>
        <v>Yes</v>
      </c>
    </row>
    <row r="31" spans="1:13" x14ac:dyDescent="0.3">
      <c r="A31" s="1" t="s">
        <v>90</v>
      </c>
      <c r="B31" s="2">
        <v>44597</v>
      </c>
      <c r="C31" s="1" t="s">
        <v>91</v>
      </c>
      <c r="D31" s="1" t="s">
        <v>92</v>
      </c>
      <c r="E31">
        <v>4</v>
      </c>
      <c r="F31" s="4">
        <v>1620.68</v>
      </c>
      <c r="G31" s="3">
        <v>0</v>
      </c>
      <c r="H31" s="4">
        <v>155.1</v>
      </c>
      <c r="I31" t="str">
        <f>VLOOKUP(orders__17[[#This Row],[Customer_ID]],customers__2[#All],3,0)</f>
        <v>South</v>
      </c>
      <c r="J31" t="str">
        <f>VLOOKUP(orders__17[[#This Row],[Customer_ID]],customers__2[#All],4,0)</f>
        <v>Home Office</v>
      </c>
      <c r="K31" t="str">
        <f>VLOOKUP(orders__17[[#This Row],[Product_ID]],products[#All],3,0)</f>
        <v>Furniture</v>
      </c>
      <c r="L31" s="1" t="str">
        <f>VLOOKUP(orders__17[[#This Row],[Product_ID]],products[#All],4,0)</f>
        <v>Shelf</v>
      </c>
      <c r="M31" s="1" t="str">
        <f>VLOOKUP(orders__17[[#This Row],[Order_ID]],returns[#All],2,0)</f>
        <v>No</v>
      </c>
    </row>
    <row r="32" spans="1:13" x14ac:dyDescent="0.3">
      <c r="A32" s="1" t="s">
        <v>93</v>
      </c>
      <c r="B32" s="2">
        <v>45312</v>
      </c>
      <c r="C32" s="1" t="s">
        <v>94</v>
      </c>
      <c r="D32" s="1" t="s">
        <v>83</v>
      </c>
      <c r="E32">
        <v>3</v>
      </c>
      <c r="F32" s="4">
        <v>544.04999999999995</v>
      </c>
      <c r="G32" s="3">
        <v>0</v>
      </c>
      <c r="H32" s="4">
        <v>157.27000000000001</v>
      </c>
      <c r="I32" t="str">
        <f>VLOOKUP(orders__17[[#This Row],[Customer_ID]],customers__2[#All],3,0)</f>
        <v>North</v>
      </c>
      <c r="J32" t="str">
        <f>VLOOKUP(orders__17[[#This Row],[Customer_ID]],customers__2[#All],4,0)</f>
        <v>Home Office</v>
      </c>
      <c r="K32" t="str">
        <f>VLOOKUP(orders__17[[#This Row],[Product_ID]],products[#All],3,0)</f>
        <v>Furniture</v>
      </c>
      <c r="L32" s="1" t="str">
        <f>VLOOKUP(orders__17[[#This Row],[Product_ID]],products[#All],4,0)</f>
        <v>Table</v>
      </c>
      <c r="M32" s="1" t="str">
        <f>VLOOKUP(orders__17[[#This Row],[Order_ID]],returns[#All],2,0)</f>
        <v>No</v>
      </c>
    </row>
    <row r="33" spans="1:13" x14ac:dyDescent="0.3">
      <c r="A33" s="1" t="s">
        <v>95</v>
      </c>
      <c r="B33" s="2">
        <v>44637</v>
      </c>
      <c r="C33" s="1" t="s">
        <v>96</v>
      </c>
      <c r="D33" s="1" t="s">
        <v>97</v>
      </c>
      <c r="E33">
        <v>4</v>
      </c>
      <c r="F33" s="4">
        <v>1126.02</v>
      </c>
      <c r="G33" s="3">
        <v>0.3</v>
      </c>
      <c r="H33" s="4">
        <v>162.34</v>
      </c>
      <c r="I33" t="str">
        <f>VLOOKUP(orders__17[[#This Row],[Customer_ID]],customers__2[#All],3,0)</f>
        <v>West</v>
      </c>
      <c r="J33" t="str">
        <f>VLOOKUP(orders__17[[#This Row],[Customer_ID]],customers__2[#All],4,0)</f>
        <v>Corporate</v>
      </c>
      <c r="K33" t="str">
        <f>VLOOKUP(orders__17[[#This Row],[Product_ID]],products[#All],3,0)</f>
        <v>Technology</v>
      </c>
      <c r="L33" s="1" t="str">
        <f>VLOOKUP(orders__17[[#This Row],[Product_ID]],products[#All],4,0)</f>
        <v>Tablet</v>
      </c>
      <c r="M33" s="1" t="str">
        <f>VLOOKUP(orders__17[[#This Row],[Order_ID]],returns[#All],2,0)</f>
        <v>No</v>
      </c>
    </row>
    <row r="34" spans="1:13" x14ac:dyDescent="0.3">
      <c r="A34" s="1" t="s">
        <v>98</v>
      </c>
      <c r="B34" s="2">
        <v>45310</v>
      </c>
      <c r="C34" s="1" t="s">
        <v>99</v>
      </c>
      <c r="D34" s="1" t="s">
        <v>100</v>
      </c>
      <c r="E34">
        <v>4</v>
      </c>
      <c r="F34" s="4">
        <v>1772.15</v>
      </c>
      <c r="G34" s="3">
        <v>0.1</v>
      </c>
      <c r="H34" s="4">
        <v>238.9</v>
      </c>
      <c r="I34" t="str">
        <f>VLOOKUP(orders__17[[#This Row],[Customer_ID]],customers__2[#All],3,0)</f>
        <v>East</v>
      </c>
      <c r="J34" t="str">
        <f>VLOOKUP(orders__17[[#This Row],[Customer_ID]],customers__2[#All],4,0)</f>
        <v>Corporate</v>
      </c>
      <c r="K34" t="str">
        <f>VLOOKUP(orders__17[[#This Row],[Product_ID]],products[#All],3,0)</f>
        <v>Technology</v>
      </c>
      <c r="L34" s="1" t="str">
        <f>VLOOKUP(orders__17[[#This Row],[Product_ID]],products[#All],4,0)</f>
        <v>Laptop</v>
      </c>
      <c r="M34" s="1" t="str">
        <f>VLOOKUP(orders__17[[#This Row],[Order_ID]],returns[#All],2,0)</f>
        <v>No</v>
      </c>
    </row>
    <row r="35" spans="1:13" x14ac:dyDescent="0.3">
      <c r="A35" s="1" t="s">
        <v>101</v>
      </c>
      <c r="B35" s="2">
        <v>45240</v>
      </c>
      <c r="C35" s="1" t="s">
        <v>102</v>
      </c>
      <c r="D35" s="1" t="s">
        <v>48</v>
      </c>
      <c r="E35">
        <v>1</v>
      </c>
      <c r="F35" s="4">
        <v>1336.67</v>
      </c>
      <c r="G35" s="3">
        <v>0.1</v>
      </c>
      <c r="H35" s="4">
        <v>87.7</v>
      </c>
      <c r="I35" t="str">
        <f>VLOOKUP(orders__17[[#This Row],[Customer_ID]],customers__2[#All],3,0)</f>
        <v>West</v>
      </c>
      <c r="J35" t="str">
        <f>VLOOKUP(orders__17[[#This Row],[Customer_ID]],customers__2[#All],4,0)</f>
        <v>Corporate</v>
      </c>
      <c r="K35" t="str">
        <f>VLOOKUP(orders__17[[#This Row],[Product_ID]],products[#All],3,0)</f>
        <v>Office Supplies</v>
      </c>
      <c r="L35" s="1" t="str">
        <f>VLOOKUP(orders__17[[#This Row],[Product_ID]],products[#All],4,0)</f>
        <v>Pen</v>
      </c>
      <c r="M35" s="1" t="str">
        <f>VLOOKUP(orders__17[[#This Row],[Order_ID]],returns[#All],2,0)</f>
        <v>No</v>
      </c>
    </row>
    <row r="36" spans="1:13" x14ac:dyDescent="0.3">
      <c r="A36" s="1" t="s">
        <v>103</v>
      </c>
      <c r="B36" s="2">
        <v>45116</v>
      </c>
      <c r="C36" s="1" t="s">
        <v>104</v>
      </c>
      <c r="D36" s="1" t="s">
        <v>31</v>
      </c>
      <c r="E36">
        <v>3</v>
      </c>
      <c r="F36" s="4">
        <v>1112.6199999999999</v>
      </c>
      <c r="G36" s="3">
        <v>0.2</v>
      </c>
      <c r="H36" s="4">
        <v>190.86</v>
      </c>
      <c r="I36" t="str">
        <f>VLOOKUP(orders__17[[#This Row],[Customer_ID]],customers__2[#All],3,0)</f>
        <v>West</v>
      </c>
      <c r="J36" t="str">
        <f>VLOOKUP(orders__17[[#This Row],[Customer_ID]],customers__2[#All],4,0)</f>
        <v>Corporate</v>
      </c>
      <c r="K36" t="str">
        <f>VLOOKUP(orders__17[[#This Row],[Product_ID]],products[#All],3,0)</f>
        <v>Furniture</v>
      </c>
      <c r="L36" s="1" t="str">
        <f>VLOOKUP(orders__17[[#This Row],[Product_ID]],products[#All],4,0)</f>
        <v>Chair</v>
      </c>
      <c r="M36" s="1" t="str">
        <f>VLOOKUP(orders__17[[#This Row],[Order_ID]],returns[#All],2,0)</f>
        <v>No</v>
      </c>
    </row>
    <row r="37" spans="1:13" x14ac:dyDescent="0.3">
      <c r="A37" s="1" t="s">
        <v>105</v>
      </c>
      <c r="B37" s="2">
        <v>44877</v>
      </c>
      <c r="C37" s="1" t="s">
        <v>106</v>
      </c>
      <c r="D37" s="1" t="s">
        <v>107</v>
      </c>
      <c r="E37">
        <v>5</v>
      </c>
      <c r="F37" s="4">
        <v>716.23</v>
      </c>
      <c r="G37" s="3">
        <v>0.1</v>
      </c>
      <c r="H37" s="4">
        <v>55.33</v>
      </c>
      <c r="I37" t="str">
        <f>VLOOKUP(orders__17[[#This Row],[Customer_ID]],customers__2[#All],3,0)</f>
        <v>South</v>
      </c>
      <c r="J37" t="str">
        <f>VLOOKUP(orders__17[[#This Row],[Customer_ID]],customers__2[#All],4,0)</f>
        <v>Consumer</v>
      </c>
      <c r="K37" t="str">
        <f>VLOOKUP(orders__17[[#This Row],[Product_ID]],products[#All],3,0)</f>
        <v>Office Supplies</v>
      </c>
      <c r="L37" s="1" t="str">
        <f>VLOOKUP(orders__17[[#This Row],[Product_ID]],products[#All],4,0)</f>
        <v>Pen</v>
      </c>
      <c r="M37" s="1" t="str">
        <f>VLOOKUP(orders__17[[#This Row],[Order_ID]],returns[#All],2,0)</f>
        <v>Yes</v>
      </c>
    </row>
    <row r="38" spans="1:13" x14ac:dyDescent="0.3">
      <c r="A38" s="1" t="s">
        <v>108</v>
      </c>
      <c r="B38" s="2">
        <v>44913</v>
      </c>
      <c r="C38" s="1" t="s">
        <v>77</v>
      </c>
      <c r="D38" s="1" t="s">
        <v>109</v>
      </c>
      <c r="E38">
        <v>3</v>
      </c>
      <c r="F38" s="4">
        <v>732.7</v>
      </c>
      <c r="G38" s="3">
        <v>0.3</v>
      </c>
      <c r="H38" s="4">
        <v>82.16</v>
      </c>
      <c r="I38" t="str">
        <f>VLOOKUP(orders__17[[#This Row],[Customer_ID]],customers__2[#All],3,0)</f>
        <v>West</v>
      </c>
      <c r="J38" t="str">
        <f>VLOOKUP(orders__17[[#This Row],[Customer_ID]],customers__2[#All],4,0)</f>
        <v>Consumer</v>
      </c>
      <c r="K38" t="str">
        <f>VLOOKUP(orders__17[[#This Row],[Product_ID]],products[#All],3,0)</f>
        <v>Furniture</v>
      </c>
      <c r="L38" s="1" t="str">
        <f>VLOOKUP(orders__17[[#This Row],[Product_ID]],products[#All],4,0)</f>
        <v>Chair</v>
      </c>
      <c r="M38" s="1" t="str">
        <f>VLOOKUP(orders__17[[#This Row],[Order_ID]],returns[#All],2,0)</f>
        <v>Yes</v>
      </c>
    </row>
    <row r="39" spans="1:13" x14ac:dyDescent="0.3">
      <c r="A39" s="1" t="s">
        <v>110</v>
      </c>
      <c r="B39" s="2">
        <v>45326</v>
      </c>
      <c r="C39" s="1" t="s">
        <v>27</v>
      </c>
      <c r="D39" s="1" t="s">
        <v>111</v>
      </c>
      <c r="E39">
        <v>5</v>
      </c>
      <c r="F39" s="4">
        <v>1372.03</v>
      </c>
      <c r="G39" s="3">
        <v>0.3</v>
      </c>
      <c r="H39" s="4">
        <v>177.32</v>
      </c>
      <c r="I39" t="str">
        <f>VLOOKUP(orders__17[[#This Row],[Customer_ID]],customers__2[#All],3,0)</f>
        <v>North</v>
      </c>
      <c r="J39" t="str">
        <f>VLOOKUP(orders__17[[#This Row],[Customer_ID]],customers__2[#All],4,0)</f>
        <v>Consumer</v>
      </c>
      <c r="K39" t="str">
        <f>VLOOKUP(orders__17[[#This Row],[Product_ID]],products[#All],3,0)</f>
        <v>Technology</v>
      </c>
      <c r="L39" s="1" t="str">
        <f>VLOOKUP(orders__17[[#This Row],[Product_ID]],products[#All],4,0)</f>
        <v>Accessories</v>
      </c>
      <c r="M39" s="1" t="str">
        <f>VLOOKUP(orders__17[[#This Row],[Order_ID]],returns[#All],2,0)</f>
        <v>No</v>
      </c>
    </row>
    <row r="40" spans="1:13" x14ac:dyDescent="0.3">
      <c r="A40" s="1" t="s">
        <v>112</v>
      </c>
      <c r="B40" s="2">
        <v>45291</v>
      </c>
      <c r="C40" s="1" t="s">
        <v>113</v>
      </c>
      <c r="D40" s="1" t="s">
        <v>13</v>
      </c>
      <c r="E40">
        <v>1</v>
      </c>
      <c r="F40" s="4">
        <v>1988.86</v>
      </c>
      <c r="G40" s="3">
        <v>0.2</v>
      </c>
      <c r="H40" s="4">
        <v>501.6</v>
      </c>
      <c r="I40" t="str">
        <f>VLOOKUP(orders__17[[#This Row],[Customer_ID]],customers__2[#All],3,0)</f>
        <v>West</v>
      </c>
      <c r="J40" t="str">
        <f>VLOOKUP(orders__17[[#This Row],[Customer_ID]],customers__2[#All],4,0)</f>
        <v>Consumer</v>
      </c>
      <c r="K40" t="str">
        <f>VLOOKUP(orders__17[[#This Row],[Product_ID]],products[#All],3,0)</f>
        <v>Furniture</v>
      </c>
      <c r="L40" s="1" t="str">
        <f>VLOOKUP(orders__17[[#This Row],[Product_ID]],products[#All],4,0)</f>
        <v>Desk</v>
      </c>
      <c r="M40" s="1" t="str">
        <f>VLOOKUP(orders__17[[#This Row],[Order_ID]],returns[#All],2,0)</f>
        <v>Yes</v>
      </c>
    </row>
    <row r="41" spans="1:13" x14ac:dyDescent="0.3">
      <c r="A41" s="1" t="s">
        <v>114</v>
      </c>
      <c r="B41" s="2">
        <v>44603</v>
      </c>
      <c r="C41" s="1" t="s">
        <v>115</v>
      </c>
      <c r="D41" s="1" t="s">
        <v>116</v>
      </c>
      <c r="E41">
        <v>2</v>
      </c>
      <c r="F41" s="4">
        <v>1357.49</v>
      </c>
      <c r="G41" s="3">
        <v>0.3</v>
      </c>
      <c r="H41" s="4">
        <v>364.99</v>
      </c>
      <c r="I41" t="str">
        <f>VLOOKUP(orders__17[[#This Row],[Customer_ID]],customers__2[#All],3,0)</f>
        <v>South</v>
      </c>
      <c r="J41" t="str">
        <f>VLOOKUP(orders__17[[#This Row],[Customer_ID]],customers__2[#All],4,0)</f>
        <v>Consumer</v>
      </c>
      <c r="K41" t="str">
        <f>VLOOKUP(orders__17[[#This Row],[Product_ID]],products[#All],3,0)</f>
        <v>Furniture</v>
      </c>
      <c r="L41" s="1" t="str">
        <f>VLOOKUP(orders__17[[#This Row],[Product_ID]],products[#All],4,0)</f>
        <v>Shelf</v>
      </c>
      <c r="M41" s="1" t="str">
        <f>VLOOKUP(orders__17[[#This Row],[Order_ID]],returns[#All],2,0)</f>
        <v>No</v>
      </c>
    </row>
    <row r="42" spans="1:13" x14ac:dyDescent="0.3">
      <c r="A42" s="1" t="s">
        <v>117</v>
      </c>
      <c r="B42" s="2">
        <v>45373</v>
      </c>
      <c r="C42" s="1" t="s">
        <v>118</v>
      </c>
      <c r="D42" s="1" t="s">
        <v>119</v>
      </c>
      <c r="E42">
        <v>4</v>
      </c>
      <c r="F42" s="4">
        <v>1159.79</v>
      </c>
      <c r="G42" s="3">
        <v>0</v>
      </c>
      <c r="H42" s="4">
        <v>145.69</v>
      </c>
      <c r="I42" t="str">
        <f>VLOOKUP(orders__17[[#This Row],[Customer_ID]],customers__2[#All],3,0)</f>
        <v>North</v>
      </c>
      <c r="J42" t="str">
        <f>VLOOKUP(orders__17[[#This Row],[Customer_ID]],customers__2[#All],4,0)</f>
        <v>Consumer</v>
      </c>
      <c r="K42" t="str">
        <f>VLOOKUP(orders__17[[#This Row],[Product_ID]],products[#All],3,0)</f>
        <v>Technology</v>
      </c>
      <c r="L42" s="1" t="str">
        <f>VLOOKUP(orders__17[[#This Row],[Product_ID]],products[#All],4,0)</f>
        <v>Tablet</v>
      </c>
      <c r="M42" s="1" t="str">
        <f>VLOOKUP(orders__17[[#This Row],[Order_ID]],returns[#All],2,0)</f>
        <v>No</v>
      </c>
    </row>
    <row r="43" spans="1:13" x14ac:dyDescent="0.3">
      <c r="A43" s="1" t="s">
        <v>120</v>
      </c>
      <c r="B43" s="2">
        <v>45374</v>
      </c>
      <c r="C43" s="1" t="s">
        <v>121</v>
      </c>
      <c r="D43" s="1" t="s">
        <v>122</v>
      </c>
      <c r="E43">
        <v>1</v>
      </c>
      <c r="F43" s="4">
        <v>1488.24</v>
      </c>
      <c r="G43" s="3">
        <v>0</v>
      </c>
      <c r="H43" s="4">
        <v>393.9</v>
      </c>
      <c r="I43" t="str">
        <f>VLOOKUP(orders__17[[#This Row],[Customer_ID]],customers__2[#All],3,0)</f>
        <v>East</v>
      </c>
      <c r="J43" t="str">
        <f>VLOOKUP(orders__17[[#This Row],[Customer_ID]],customers__2[#All],4,0)</f>
        <v>Corporate</v>
      </c>
      <c r="K43" t="str">
        <f>VLOOKUP(orders__17[[#This Row],[Product_ID]],products[#All],3,0)</f>
        <v>Office Supplies</v>
      </c>
      <c r="L43" s="1" t="str">
        <f>VLOOKUP(orders__17[[#This Row],[Product_ID]],products[#All],4,0)</f>
        <v>Storage</v>
      </c>
      <c r="M43" s="1" t="str">
        <f>VLOOKUP(orders__17[[#This Row],[Order_ID]],returns[#All],2,0)</f>
        <v>No</v>
      </c>
    </row>
    <row r="44" spans="1:13" x14ac:dyDescent="0.3">
      <c r="A44" s="1" t="s">
        <v>123</v>
      </c>
      <c r="B44" s="2">
        <v>44615</v>
      </c>
      <c r="C44" s="1" t="s">
        <v>124</v>
      </c>
      <c r="D44" s="1" t="s">
        <v>86</v>
      </c>
      <c r="E44">
        <v>4</v>
      </c>
      <c r="F44" s="4">
        <v>983.89</v>
      </c>
      <c r="G44" s="3">
        <v>0.3</v>
      </c>
      <c r="H44" s="4">
        <v>260.05</v>
      </c>
      <c r="I44" t="str">
        <f>VLOOKUP(orders__17[[#This Row],[Customer_ID]],customers__2[#All],3,0)</f>
        <v>North</v>
      </c>
      <c r="J44" t="str">
        <f>VLOOKUP(orders__17[[#This Row],[Customer_ID]],customers__2[#All],4,0)</f>
        <v>Consumer</v>
      </c>
      <c r="K44" t="str">
        <f>VLOOKUP(orders__17[[#This Row],[Product_ID]],products[#All],3,0)</f>
        <v>Furniture</v>
      </c>
      <c r="L44" s="1" t="str">
        <f>VLOOKUP(orders__17[[#This Row],[Product_ID]],products[#All],4,0)</f>
        <v>Table</v>
      </c>
      <c r="M44" s="1" t="str">
        <f>VLOOKUP(orders__17[[#This Row],[Order_ID]],returns[#All],2,0)</f>
        <v>Yes</v>
      </c>
    </row>
    <row r="45" spans="1:13" x14ac:dyDescent="0.3">
      <c r="A45" s="1" t="s">
        <v>125</v>
      </c>
      <c r="B45" s="2">
        <v>45350</v>
      </c>
      <c r="C45" s="1" t="s">
        <v>126</v>
      </c>
      <c r="D45" s="1" t="s">
        <v>127</v>
      </c>
      <c r="E45">
        <v>2</v>
      </c>
      <c r="F45" s="4">
        <v>214.27</v>
      </c>
      <c r="G45" s="3">
        <v>0.2</v>
      </c>
      <c r="H45" s="4">
        <v>51.67</v>
      </c>
      <c r="I45" t="str">
        <f>VLOOKUP(orders__17[[#This Row],[Customer_ID]],customers__2[#All],3,0)</f>
        <v>North</v>
      </c>
      <c r="J45" t="str">
        <f>VLOOKUP(orders__17[[#This Row],[Customer_ID]],customers__2[#All],4,0)</f>
        <v>Consumer</v>
      </c>
      <c r="K45" t="str">
        <f>VLOOKUP(orders__17[[#This Row],[Product_ID]],products[#All],3,0)</f>
        <v>Furniture</v>
      </c>
      <c r="L45" s="1" t="str">
        <f>VLOOKUP(orders__17[[#This Row],[Product_ID]],products[#All],4,0)</f>
        <v>Chair</v>
      </c>
      <c r="M45" s="1" t="str">
        <f>VLOOKUP(orders__17[[#This Row],[Order_ID]],returns[#All],2,0)</f>
        <v>No</v>
      </c>
    </row>
    <row r="46" spans="1:13" x14ac:dyDescent="0.3">
      <c r="A46" s="1" t="s">
        <v>128</v>
      </c>
      <c r="B46" s="2">
        <v>44746</v>
      </c>
      <c r="C46" s="1" t="s">
        <v>129</v>
      </c>
      <c r="D46" s="1" t="s">
        <v>130</v>
      </c>
      <c r="E46">
        <v>2</v>
      </c>
      <c r="F46" s="4">
        <v>1168.3599999999999</v>
      </c>
      <c r="G46" s="3">
        <v>0.1</v>
      </c>
      <c r="H46" s="4">
        <v>101.27</v>
      </c>
      <c r="I46" t="str">
        <f>VLOOKUP(orders__17[[#This Row],[Customer_ID]],customers__2[#All],3,0)</f>
        <v>South</v>
      </c>
      <c r="J46" t="str">
        <f>VLOOKUP(orders__17[[#This Row],[Customer_ID]],customers__2[#All],4,0)</f>
        <v>Corporate</v>
      </c>
      <c r="K46" t="str">
        <f>VLOOKUP(orders__17[[#This Row],[Product_ID]],products[#All],3,0)</f>
        <v>Furniture</v>
      </c>
      <c r="L46" s="1" t="str">
        <f>VLOOKUP(orders__17[[#This Row],[Product_ID]],products[#All],4,0)</f>
        <v>Desk</v>
      </c>
      <c r="M46" s="1" t="str">
        <f>VLOOKUP(orders__17[[#This Row],[Order_ID]],returns[#All],2,0)</f>
        <v>No</v>
      </c>
    </row>
    <row r="47" spans="1:13" x14ac:dyDescent="0.3">
      <c r="A47" s="1" t="s">
        <v>131</v>
      </c>
      <c r="B47" s="2">
        <v>44562</v>
      </c>
      <c r="C47" s="1" t="s">
        <v>24</v>
      </c>
      <c r="D47" s="1" t="s">
        <v>132</v>
      </c>
      <c r="E47">
        <v>1</v>
      </c>
      <c r="F47" s="4">
        <v>1919.49</v>
      </c>
      <c r="G47" s="3">
        <v>0.2</v>
      </c>
      <c r="H47" s="4">
        <v>427.24</v>
      </c>
      <c r="I47" t="str">
        <f>VLOOKUP(orders__17[[#This Row],[Customer_ID]],customers__2[#All],3,0)</f>
        <v>North</v>
      </c>
      <c r="J47" t="str">
        <f>VLOOKUP(orders__17[[#This Row],[Customer_ID]],customers__2[#All],4,0)</f>
        <v>Consumer</v>
      </c>
      <c r="K47" t="str">
        <f>VLOOKUP(orders__17[[#This Row],[Product_ID]],products[#All],3,0)</f>
        <v>Furniture</v>
      </c>
      <c r="L47" s="1" t="str">
        <f>VLOOKUP(orders__17[[#This Row],[Product_ID]],products[#All],4,0)</f>
        <v>Shelf</v>
      </c>
      <c r="M47" s="1" t="str">
        <f>VLOOKUP(orders__17[[#This Row],[Order_ID]],returns[#All],2,0)</f>
        <v>No</v>
      </c>
    </row>
    <row r="48" spans="1:13" x14ac:dyDescent="0.3">
      <c r="A48" s="1" t="s">
        <v>133</v>
      </c>
      <c r="B48" s="2">
        <v>44801</v>
      </c>
      <c r="C48" s="1" t="s">
        <v>134</v>
      </c>
      <c r="D48" s="1" t="s">
        <v>54</v>
      </c>
      <c r="E48">
        <v>2</v>
      </c>
      <c r="F48" s="4">
        <v>433.08</v>
      </c>
      <c r="G48" s="3">
        <v>0.1</v>
      </c>
      <c r="H48" s="4">
        <v>123.97</v>
      </c>
      <c r="I48" t="str">
        <f>VLOOKUP(orders__17[[#This Row],[Customer_ID]],customers__2[#All],3,0)</f>
        <v>West</v>
      </c>
      <c r="J48" t="str">
        <f>VLOOKUP(orders__17[[#This Row],[Customer_ID]],customers__2[#All],4,0)</f>
        <v>Home Office</v>
      </c>
      <c r="K48" t="str">
        <f>VLOOKUP(orders__17[[#This Row],[Product_ID]],products[#All],3,0)</f>
        <v>Office Supplies</v>
      </c>
      <c r="L48" s="1" t="str">
        <f>VLOOKUP(orders__17[[#This Row],[Product_ID]],products[#All],4,0)</f>
        <v>Binder</v>
      </c>
      <c r="M48" s="1" t="str">
        <f>VLOOKUP(orders__17[[#This Row],[Order_ID]],returns[#All],2,0)</f>
        <v>No</v>
      </c>
    </row>
    <row r="49" spans="1:13" x14ac:dyDescent="0.3">
      <c r="A49" s="1" t="s">
        <v>135</v>
      </c>
      <c r="B49" s="2">
        <v>44894</v>
      </c>
      <c r="C49" s="1" t="s">
        <v>136</v>
      </c>
      <c r="D49" s="1" t="s">
        <v>122</v>
      </c>
      <c r="E49">
        <v>5</v>
      </c>
      <c r="F49" s="4">
        <v>1411.01</v>
      </c>
      <c r="G49" s="3">
        <v>0.3</v>
      </c>
      <c r="H49" s="4">
        <v>311.32</v>
      </c>
      <c r="I49" t="str">
        <f>VLOOKUP(orders__17[[#This Row],[Customer_ID]],customers__2[#All],3,0)</f>
        <v>West</v>
      </c>
      <c r="J49" t="str">
        <f>VLOOKUP(orders__17[[#This Row],[Customer_ID]],customers__2[#All],4,0)</f>
        <v>Consumer</v>
      </c>
      <c r="K49" t="str">
        <f>VLOOKUP(orders__17[[#This Row],[Product_ID]],products[#All],3,0)</f>
        <v>Office Supplies</v>
      </c>
      <c r="L49" s="1" t="str">
        <f>VLOOKUP(orders__17[[#This Row],[Product_ID]],products[#All],4,0)</f>
        <v>Storage</v>
      </c>
      <c r="M49" s="1" t="str">
        <f>VLOOKUP(orders__17[[#This Row],[Order_ID]],returns[#All],2,0)</f>
        <v>Yes</v>
      </c>
    </row>
    <row r="50" spans="1:13" x14ac:dyDescent="0.3">
      <c r="A50" s="1" t="s">
        <v>137</v>
      </c>
      <c r="B50" s="2">
        <v>45215</v>
      </c>
      <c r="C50" s="1" t="s">
        <v>138</v>
      </c>
      <c r="D50" s="1" t="s">
        <v>139</v>
      </c>
      <c r="E50">
        <v>2</v>
      </c>
      <c r="F50" s="4">
        <v>481.77</v>
      </c>
      <c r="G50" s="3">
        <v>0.3</v>
      </c>
      <c r="H50" s="4">
        <v>64.03</v>
      </c>
      <c r="I50" t="str">
        <f>VLOOKUP(orders__17[[#This Row],[Customer_ID]],customers__2[#All],3,0)</f>
        <v>West</v>
      </c>
      <c r="J50" t="str">
        <f>VLOOKUP(orders__17[[#This Row],[Customer_ID]],customers__2[#All],4,0)</f>
        <v>Consumer</v>
      </c>
      <c r="K50" t="str">
        <f>VLOOKUP(orders__17[[#This Row],[Product_ID]],products[#All],3,0)</f>
        <v>Furniture</v>
      </c>
      <c r="L50" s="1" t="str">
        <f>VLOOKUP(orders__17[[#This Row],[Product_ID]],products[#All],4,0)</f>
        <v>Table</v>
      </c>
      <c r="M50" s="1" t="str">
        <f>VLOOKUP(orders__17[[#This Row],[Order_ID]],returns[#All],2,0)</f>
        <v>No</v>
      </c>
    </row>
    <row r="51" spans="1:13" x14ac:dyDescent="0.3">
      <c r="A51" s="1" t="s">
        <v>140</v>
      </c>
      <c r="B51" s="2">
        <v>45160</v>
      </c>
      <c r="C51" s="1" t="s">
        <v>115</v>
      </c>
      <c r="D51" s="1" t="s">
        <v>141</v>
      </c>
      <c r="E51">
        <v>4</v>
      </c>
      <c r="F51" s="4">
        <v>1118.07</v>
      </c>
      <c r="G51" s="3">
        <v>0</v>
      </c>
      <c r="H51" s="4">
        <v>195.82</v>
      </c>
      <c r="I51" t="str">
        <f>VLOOKUP(orders__17[[#This Row],[Customer_ID]],customers__2[#All],3,0)</f>
        <v>South</v>
      </c>
      <c r="J51" t="str">
        <f>VLOOKUP(orders__17[[#This Row],[Customer_ID]],customers__2[#All],4,0)</f>
        <v>Consumer</v>
      </c>
      <c r="K51" t="str">
        <f>VLOOKUP(orders__17[[#This Row],[Product_ID]],products[#All],3,0)</f>
        <v>Technology</v>
      </c>
      <c r="L51" s="1" t="str">
        <f>VLOOKUP(orders__17[[#This Row],[Product_ID]],products[#All],4,0)</f>
        <v>Phone</v>
      </c>
      <c r="M51" s="1" t="str">
        <f>VLOOKUP(orders__17[[#This Row],[Order_ID]],returns[#All],2,0)</f>
        <v>No</v>
      </c>
    </row>
    <row r="52" spans="1:13" x14ac:dyDescent="0.3">
      <c r="A52" s="1" t="s">
        <v>142</v>
      </c>
      <c r="B52" s="2">
        <v>44797</v>
      </c>
      <c r="C52" s="1" t="s">
        <v>58</v>
      </c>
      <c r="D52" s="1" t="s">
        <v>143</v>
      </c>
      <c r="E52">
        <v>4</v>
      </c>
      <c r="F52" s="4">
        <v>283.69</v>
      </c>
      <c r="G52" s="3">
        <v>0.1</v>
      </c>
      <c r="H52" s="4">
        <v>59.98</v>
      </c>
      <c r="I52" t="str">
        <f>VLOOKUP(orders__17[[#This Row],[Customer_ID]],customers__2[#All],3,0)</f>
        <v>West</v>
      </c>
      <c r="J52" t="str">
        <f>VLOOKUP(orders__17[[#This Row],[Customer_ID]],customers__2[#All],4,0)</f>
        <v>Corporate</v>
      </c>
      <c r="K52" t="str">
        <f>VLOOKUP(orders__17[[#This Row],[Product_ID]],products[#All],3,0)</f>
        <v>Furniture</v>
      </c>
      <c r="L52" s="1" t="str">
        <f>VLOOKUP(orders__17[[#This Row],[Product_ID]],products[#All],4,0)</f>
        <v>Shelf</v>
      </c>
      <c r="M52" s="1" t="str">
        <f>VLOOKUP(orders__17[[#This Row],[Order_ID]],returns[#All],2,0)</f>
        <v>No</v>
      </c>
    </row>
    <row r="53" spans="1:13" x14ac:dyDescent="0.3">
      <c r="A53" s="1" t="s">
        <v>144</v>
      </c>
      <c r="B53" s="2">
        <v>44675</v>
      </c>
      <c r="C53" s="1" t="s">
        <v>145</v>
      </c>
      <c r="D53" s="1" t="s">
        <v>28</v>
      </c>
      <c r="E53">
        <v>4</v>
      </c>
      <c r="F53" s="4">
        <v>955.7</v>
      </c>
      <c r="G53" s="3">
        <v>0.2</v>
      </c>
      <c r="H53" s="4">
        <v>169.77</v>
      </c>
      <c r="I53" t="str">
        <f>VLOOKUP(orders__17[[#This Row],[Customer_ID]],customers__2[#All],3,0)</f>
        <v>West</v>
      </c>
      <c r="J53" t="str">
        <f>VLOOKUP(orders__17[[#This Row],[Customer_ID]],customers__2[#All],4,0)</f>
        <v>Corporate</v>
      </c>
      <c r="K53" t="str">
        <f>VLOOKUP(orders__17[[#This Row],[Product_ID]],products[#All],3,0)</f>
        <v>Office Supplies</v>
      </c>
      <c r="L53" s="1" t="str">
        <f>VLOOKUP(orders__17[[#This Row],[Product_ID]],products[#All],4,0)</f>
        <v>Storage</v>
      </c>
      <c r="M53" s="1" t="str">
        <f>VLOOKUP(orders__17[[#This Row],[Order_ID]],returns[#All],2,0)</f>
        <v>No</v>
      </c>
    </row>
    <row r="54" spans="1:13" x14ac:dyDescent="0.3">
      <c r="A54" s="1" t="s">
        <v>146</v>
      </c>
      <c r="B54" s="2">
        <v>44767</v>
      </c>
      <c r="C54" s="1" t="s">
        <v>136</v>
      </c>
      <c r="D54" s="1" t="s">
        <v>147</v>
      </c>
      <c r="E54">
        <v>4</v>
      </c>
      <c r="F54" s="4">
        <v>1536.71</v>
      </c>
      <c r="G54" s="3">
        <v>0.3</v>
      </c>
      <c r="H54" s="4">
        <v>122.92</v>
      </c>
      <c r="I54" t="str">
        <f>VLOOKUP(orders__17[[#This Row],[Customer_ID]],customers__2[#All],3,0)</f>
        <v>West</v>
      </c>
      <c r="J54" t="str">
        <f>VLOOKUP(orders__17[[#This Row],[Customer_ID]],customers__2[#All],4,0)</f>
        <v>Consumer</v>
      </c>
      <c r="K54" t="str">
        <f>VLOOKUP(orders__17[[#This Row],[Product_ID]],products[#All],3,0)</f>
        <v>Technology</v>
      </c>
      <c r="L54" s="1" t="str">
        <f>VLOOKUP(orders__17[[#This Row],[Product_ID]],products[#All],4,0)</f>
        <v>Laptop</v>
      </c>
      <c r="M54" s="1" t="str">
        <f>VLOOKUP(orders__17[[#This Row],[Order_ID]],returns[#All],2,0)</f>
        <v>No</v>
      </c>
    </row>
    <row r="55" spans="1:13" x14ac:dyDescent="0.3">
      <c r="A55" s="1" t="s">
        <v>148</v>
      </c>
      <c r="B55" s="2">
        <v>44577</v>
      </c>
      <c r="C55" s="1" t="s">
        <v>118</v>
      </c>
      <c r="D55" s="1" t="s">
        <v>54</v>
      </c>
      <c r="E55">
        <v>5</v>
      </c>
      <c r="F55" s="4">
        <v>760.39</v>
      </c>
      <c r="G55" s="3">
        <v>0.2</v>
      </c>
      <c r="H55" s="4">
        <v>97.34</v>
      </c>
      <c r="I55" t="str">
        <f>VLOOKUP(orders__17[[#This Row],[Customer_ID]],customers__2[#All],3,0)</f>
        <v>North</v>
      </c>
      <c r="J55" t="str">
        <f>VLOOKUP(orders__17[[#This Row],[Customer_ID]],customers__2[#All],4,0)</f>
        <v>Consumer</v>
      </c>
      <c r="K55" t="str">
        <f>VLOOKUP(orders__17[[#This Row],[Product_ID]],products[#All],3,0)</f>
        <v>Office Supplies</v>
      </c>
      <c r="L55" s="1" t="str">
        <f>VLOOKUP(orders__17[[#This Row],[Product_ID]],products[#All],4,0)</f>
        <v>Binder</v>
      </c>
      <c r="M55" s="1" t="str">
        <f>VLOOKUP(orders__17[[#This Row],[Order_ID]],returns[#All],2,0)</f>
        <v>Yes</v>
      </c>
    </row>
    <row r="56" spans="1:13" x14ac:dyDescent="0.3">
      <c r="A56" s="1" t="s">
        <v>149</v>
      </c>
      <c r="B56" s="2">
        <v>45242</v>
      </c>
      <c r="C56" s="1" t="s">
        <v>150</v>
      </c>
      <c r="D56" s="1" t="s">
        <v>16</v>
      </c>
      <c r="E56">
        <v>3</v>
      </c>
      <c r="F56" s="4">
        <v>1363.33</v>
      </c>
      <c r="G56" s="3">
        <v>0</v>
      </c>
      <c r="H56" s="4">
        <v>341.65</v>
      </c>
      <c r="I56" t="str">
        <f>VLOOKUP(orders__17[[#This Row],[Customer_ID]],customers__2[#All],3,0)</f>
        <v>West</v>
      </c>
      <c r="J56" t="str">
        <f>VLOOKUP(orders__17[[#This Row],[Customer_ID]],customers__2[#All],4,0)</f>
        <v>Consumer</v>
      </c>
      <c r="K56" t="str">
        <f>VLOOKUP(orders__17[[#This Row],[Product_ID]],products[#All],3,0)</f>
        <v>Technology</v>
      </c>
      <c r="L56" s="1" t="str">
        <f>VLOOKUP(orders__17[[#This Row],[Product_ID]],products[#All],4,0)</f>
        <v>Laptop</v>
      </c>
      <c r="M56" s="1" t="str">
        <f>VLOOKUP(orders__17[[#This Row],[Order_ID]],returns[#All],2,0)</f>
        <v>No</v>
      </c>
    </row>
    <row r="57" spans="1:13" x14ac:dyDescent="0.3">
      <c r="A57" s="1" t="s">
        <v>151</v>
      </c>
      <c r="B57" s="2">
        <v>45414</v>
      </c>
      <c r="C57" s="1" t="s">
        <v>47</v>
      </c>
      <c r="D57" s="1" t="s">
        <v>111</v>
      </c>
      <c r="E57">
        <v>1</v>
      </c>
      <c r="F57" s="4">
        <v>1611.35</v>
      </c>
      <c r="G57" s="3">
        <v>0.1</v>
      </c>
      <c r="H57" s="4">
        <v>427.58</v>
      </c>
      <c r="I57" t="str">
        <f>VLOOKUP(orders__17[[#This Row],[Customer_ID]],customers__2[#All],3,0)</f>
        <v>West</v>
      </c>
      <c r="J57" t="str">
        <f>VLOOKUP(orders__17[[#This Row],[Customer_ID]],customers__2[#All],4,0)</f>
        <v>Consumer</v>
      </c>
      <c r="K57" t="str">
        <f>VLOOKUP(orders__17[[#This Row],[Product_ID]],products[#All],3,0)</f>
        <v>Technology</v>
      </c>
      <c r="L57" s="1" t="str">
        <f>VLOOKUP(orders__17[[#This Row],[Product_ID]],products[#All],4,0)</f>
        <v>Accessories</v>
      </c>
      <c r="M57" s="1" t="str">
        <f>VLOOKUP(orders__17[[#This Row],[Order_ID]],returns[#All],2,0)</f>
        <v>No</v>
      </c>
    </row>
    <row r="58" spans="1:13" x14ac:dyDescent="0.3">
      <c r="A58" s="1" t="s">
        <v>152</v>
      </c>
      <c r="B58" s="2">
        <v>45120</v>
      </c>
      <c r="C58" s="1" t="s">
        <v>74</v>
      </c>
      <c r="D58" s="1" t="s">
        <v>116</v>
      </c>
      <c r="E58">
        <v>4</v>
      </c>
      <c r="F58" s="4">
        <v>1861.64</v>
      </c>
      <c r="G58" s="3">
        <v>0.1</v>
      </c>
      <c r="H58" s="4">
        <v>156.97999999999999</v>
      </c>
      <c r="I58" t="str">
        <f>VLOOKUP(orders__17[[#This Row],[Customer_ID]],customers__2[#All],3,0)</f>
        <v>North</v>
      </c>
      <c r="J58" t="str">
        <f>VLOOKUP(orders__17[[#This Row],[Customer_ID]],customers__2[#All],4,0)</f>
        <v>Consumer</v>
      </c>
      <c r="K58" t="str">
        <f>VLOOKUP(orders__17[[#This Row],[Product_ID]],products[#All],3,0)</f>
        <v>Furniture</v>
      </c>
      <c r="L58" s="1" t="str">
        <f>VLOOKUP(orders__17[[#This Row],[Product_ID]],products[#All],4,0)</f>
        <v>Shelf</v>
      </c>
      <c r="M58" s="1" t="str">
        <f>VLOOKUP(orders__17[[#This Row],[Order_ID]],returns[#All],2,0)</f>
        <v>No</v>
      </c>
    </row>
    <row r="59" spans="1:13" x14ac:dyDescent="0.3">
      <c r="A59" s="1" t="s">
        <v>153</v>
      </c>
      <c r="B59" s="2">
        <v>45177</v>
      </c>
      <c r="C59" s="1" t="s">
        <v>154</v>
      </c>
      <c r="D59" s="1" t="s">
        <v>97</v>
      </c>
      <c r="E59">
        <v>2</v>
      </c>
      <c r="F59" s="4">
        <v>545.82000000000005</v>
      </c>
      <c r="G59" s="3">
        <v>0.3</v>
      </c>
      <c r="H59" s="4">
        <v>157.25</v>
      </c>
      <c r="I59" t="str">
        <f>VLOOKUP(orders__17[[#This Row],[Customer_ID]],customers__2[#All],3,0)</f>
        <v>West</v>
      </c>
      <c r="J59" t="str">
        <f>VLOOKUP(orders__17[[#This Row],[Customer_ID]],customers__2[#All],4,0)</f>
        <v>Corporate</v>
      </c>
      <c r="K59" t="str">
        <f>VLOOKUP(orders__17[[#This Row],[Product_ID]],products[#All],3,0)</f>
        <v>Technology</v>
      </c>
      <c r="L59" s="1" t="str">
        <f>VLOOKUP(orders__17[[#This Row],[Product_ID]],products[#All],4,0)</f>
        <v>Tablet</v>
      </c>
      <c r="M59" s="1" t="str">
        <f>VLOOKUP(orders__17[[#This Row],[Order_ID]],returns[#All],2,0)</f>
        <v>No</v>
      </c>
    </row>
    <row r="60" spans="1:13" x14ac:dyDescent="0.3">
      <c r="A60" s="1" t="s">
        <v>155</v>
      </c>
      <c r="B60" s="2">
        <v>44645</v>
      </c>
      <c r="C60" s="1" t="s">
        <v>12</v>
      </c>
      <c r="D60" s="1" t="s">
        <v>156</v>
      </c>
      <c r="E60">
        <v>4</v>
      </c>
      <c r="F60" s="4">
        <v>858.7</v>
      </c>
      <c r="G60" s="3">
        <v>0.1</v>
      </c>
      <c r="H60" s="4">
        <v>113.52</v>
      </c>
      <c r="I60" t="str">
        <f>VLOOKUP(orders__17[[#This Row],[Customer_ID]],customers__2[#All],3,0)</f>
        <v>West</v>
      </c>
      <c r="J60" t="str">
        <f>VLOOKUP(orders__17[[#This Row],[Customer_ID]],customers__2[#All],4,0)</f>
        <v>Home Office</v>
      </c>
      <c r="K60" t="str">
        <f>VLOOKUP(orders__17[[#This Row],[Product_ID]],products[#All],3,0)</f>
        <v>Furniture</v>
      </c>
      <c r="L60" s="1" t="str">
        <f>VLOOKUP(orders__17[[#This Row],[Product_ID]],products[#All],4,0)</f>
        <v>Desk</v>
      </c>
      <c r="M60" s="1" t="str">
        <f>VLOOKUP(orders__17[[#This Row],[Order_ID]],returns[#All],2,0)</f>
        <v>No</v>
      </c>
    </row>
    <row r="61" spans="1:13" x14ac:dyDescent="0.3">
      <c r="A61" s="1" t="s">
        <v>157</v>
      </c>
      <c r="B61" s="2">
        <v>45375</v>
      </c>
      <c r="C61" s="1" t="s">
        <v>158</v>
      </c>
      <c r="D61" s="1" t="s">
        <v>64</v>
      </c>
      <c r="E61">
        <v>2</v>
      </c>
      <c r="F61" s="4">
        <v>389.59</v>
      </c>
      <c r="G61" s="3">
        <v>0.3</v>
      </c>
      <c r="H61" s="4">
        <v>83.99</v>
      </c>
      <c r="I61" t="str">
        <f>VLOOKUP(orders__17[[#This Row],[Customer_ID]],customers__2[#All],3,0)</f>
        <v>West</v>
      </c>
      <c r="J61" t="str">
        <f>VLOOKUP(orders__17[[#This Row],[Customer_ID]],customers__2[#All],4,0)</f>
        <v>Corporate</v>
      </c>
      <c r="K61" t="str">
        <f>VLOOKUP(orders__17[[#This Row],[Product_ID]],products[#All],3,0)</f>
        <v>Office Supplies</v>
      </c>
      <c r="L61" s="1" t="str">
        <f>VLOOKUP(orders__17[[#This Row],[Product_ID]],products[#All],4,0)</f>
        <v>Storage</v>
      </c>
      <c r="M61" s="1" t="str">
        <f>VLOOKUP(orders__17[[#This Row],[Order_ID]],returns[#All],2,0)</f>
        <v>No</v>
      </c>
    </row>
    <row r="62" spans="1:13" x14ac:dyDescent="0.3">
      <c r="A62" s="1" t="s">
        <v>159</v>
      </c>
      <c r="B62" s="2">
        <v>44577</v>
      </c>
      <c r="C62" s="1" t="s">
        <v>160</v>
      </c>
      <c r="D62" s="1" t="s">
        <v>161</v>
      </c>
      <c r="E62">
        <v>2</v>
      </c>
      <c r="F62" s="4">
        <v>1985.72</v>
      </c>
      <c r="G62" s="3">
        <v>0</v>
      </c>
      <c r="H62" s="4">
        <v>472.51</v>
      </c>
      <c r="I62" t="str">
        <f>VLOOKUP(orders__17[[#This Row],[Customer_ID]],customers__2[#All],3,0)</f>
        <v>East</v>
      </c>
      <c r="J62" t="str">
        <f>VLOOKUP(orders__17[[#This Row],[Customer_ID]],customers__2[#All],4,0)</f>
        <v>Corporate</v>
      </c>
      <c r="K62" t="str">
        <f>VLOOKUP(orders__17[[#This Row],[Product_ID]],products[#All],3,0)</f>
        <v>Office Supplies</v>
      </c>
      <c r="L62" s="1" t="str">
        <f>VLOOKUP(orders__17[[#This Row],[Product_ID]],products[#All],4,0)</f>
        <v>Binder</v>
      </c>
      <c r="M62" s="1" t="str">
        <f>VLOOKUP(orders__17[[#This Row],[Order_ID]],returns[#All],2,0)</f>
        <v>Yes</v>
      </c>
    </row>
    <row r="63" spans="1:13" x14ac:dyDescent="0.3">
      <c r="A63" s="1" t="s">
        <v>162</v>
      </c>
      <c r="B63" s="2">
        <v>44802</v>
      </c>
      <c r="C63" s="1" t="s">
        <v>39</v>
      </c>
      <c r="D63" s="1" t="s">
        <v>163</v>
      </c>
      <c r="E63">
        <v>4</v>
      </c>
      <c r="F63" s="4">
        <v>1861.3</v>
      </c>
      <c r="G63" s="3">
        <v>0.1</v>
      </c>
      <c r="H63" s="4">
        <v>470.88</v>
      </c>
      <c r="I63" t="str">
        <f>VLOOKUP(orders__17[[#This Row],[Customer_ID]],customers__2[#All],3,0)</f>
        <v>West</v>
      </c>
      <c r="J63" t="str">
        <f>VLOOKUP(orders__17[[#This Row],[Customer_ID]],customers__2[#All],4,0)</f>
        <v>Consumer</v>
      </c>
      <c r="K63" t="str">
        <f>VLOOKUP(orders__17[[#This Row],[Product_ID]],products[#All],3,0)</f>
        <v>Furniture</v>
      </c>
      <c r="L63" s="1" t="str">
        <f>VLOOKUP(orders__17[[#This Row],[Product_ID]],products[#All],4,0)</f>
        <v>Table</v>
      </c>
      <c r="M63" s="1" t="str">
        <f>VLOOKUP(orders__17[[#This Row],[Order_ID]],returns[#All],2,0)</f>
        <v>No</v>
      </c>
    </row>
    <row r="64" spans="1:13" x14ac:dyDescent="0.3">
      <c r="A64" s="1" t="s">
        <v>164</v>
      </c>
      <c r="B64" s="2">
        <v>45021</v>
      </c>
      <c r="C64" s="1" t="s">
        <v>165</v>
      </c>
      <c r="D64" s="1" t="s">
        <v>31</v>
      </c>
      <c r="E64">
        <v>5</v>
      </c>
      <c r="F64" s="4">
        <v>1125.92</v>
      </c>
      <c r="G64" s="3">
        <v>0.3</v>
      </c>
      <c r="H64" s="4">
        <v>322.51</v>
      </c>
      <c r="I64" t="str">
        <f>VLOOKUP(orders__17[[#This Row],[Customer_ID]],customers__2[#All],3,0)</f>
        <v>West</v>
      </c>
      <c r="J64" t="str">
        <f>VLOOKUP(orders__17[[#This Row],[Customer_ID]],customers__2[#All],4,0)</f>
        <v>Corporate</v>
      </c>
      <c r="K64" t="str">
        <f>VLOOKUP(orders__17[[#This Row],[Product_ID]],products[#All],3,0)</f>
        <v>Furniture</v>
      </c>
      <c r="L64" s="1" t="str">
        <f>VLOOKUP(orders__17[[#This Row],[Product_ID]],products[#All],4,0)</f>
        <v>Chair</v>
      </c>
      <c r="M64" s="1" t="str">
        <f>VLOOKUP(orders__17[[#This Row],[Order_ID]],returns[#All],2,0)</f>
        <v>No</v>
      </c>
    </row>
    <row r="65" spans="1:13" x14ac:dyDescent="0.3">
      <c r="A65" s="1" t="s">
        <v>166</v>
      </c>
      <c r="B65" s="2">
        <v>44761</v>
      </c>
      <c r="C65" s="1" t="s">
        <v>167</v>
      </c>
      <c r="D65" s="1" t="s">
        <v>141</v>
      </c>
      <c r="E65">
        <v>2</v>
      </c>
      <c r="F65" s="4">
        <v>1699.86</v>
      </c>
      <c r="G65" s="3">
        <v>0.2</v>
      </c>
      <c r="H65" s="4">
        <v>217.97</v>
      </c>
      <c r="I65" t="str">
        <f>VLOOKUP(orders__17[[#This Row],[Customer_ID]],customers__2[#All],3,0)</f>
        <v>East</v>
      </c>
      <c r="J65" t="str">
        <f>VLOOKUP(orders__17[[#This Row],[Customer_ID]],customers__2[#All],4,0)</f>
        <v>Corporate</v>
      </c>
      <c r="K65" t="str">
        <f>VLOOKUP(orders__17[[#This Row],[Product_ID]],products[#All],3,0)</f>
        <v>Technology</v>
      </c>
      <c r="L65" s="1" t="str">
        <f>VLOOKUP(orders__17[[#This Row],[Product_ID]],products[#All],4,0)</f>
        <v>Phone</v>
      </c>
      <c r="M65" s="1" t="str">
        <f>VLOOKUP(orders__17[[#This Row],[Order_ID]],returns[#All],2,0)</f>
        <v>No</v>
      </c>
    </row>
    <row r="66" spans="1:13" x14ac:dyDescent="0.3">
      <c r="A66" s="1" t="s">
        <v>168</v>
      </c>
      <c r="B66" s="2">
        <v>44587</v>
      </c>
      <c r="C66" s="1" t="s">
        <v>169</v>
      </c>
      <c r="D66" s="1" t="s">
        <v>170</v>
      </c>
      <c r="E66">
        <v>2</v>
      </c>
      <c r="F66" s="4">
        <v>1089.82</v>
      </c>
      <c r="G66" s="3">
        <v>0.3</v>
      </c>
      <c r="H66" s="4">
        <v>288.39999999999998</v>
      </c>
      <c r="I66" t="str">
        <f>VLOOKUP(orders__17[[#This Row],[Customer_ID]],customers__2[#All],3,0)</f>
        <v>East</v>
      </c>
      <c r="J66" t="str">
        <f>VLOOKUP(orders__17[[#This Row],[Customer_ID]],customers__2[#All],4,0)</f>
        <v>Home Office</v>
      </c>
      <c r="K66" t="str">
        <f>VLOOKUP(orders__17[[#This Row],[Product_ID]],products[#All],3,0)</f>
        <v>Furniture</v>
      </c>
      <c r="L66" s="1" t="str">
        <f>VLOOKUP(orders__17[[#This Row],[Product_ID]],products[#All],4,0)</f>
        <v>Shelf</v>
      </c>
      <c r="M66" s="1" t="str">
        <f>VLOOKUP(orders__17[[#This Row],[Order_ID]],returns[#All],2,0)</f>
        <v>No</v>
      </c>
    </row>
    <row r="67" spans="1:13" x14ac:dyDescent="0.3">
      <c r="A67" s="1" t="s">
        <v>171</v>
      </c>
      <c r="B67" s="2">
        <v>44701</v>
      </c>
      <c r="C67" s="1" t="s">
        <v>172</v>
      </c>
      <c r="D67" s="1" t="s">
        <v>16</v>
      </c>
      <c r="E67">
        <v>4</v>
      </c>
      <c r="F67" s="4">
        <v>1284.81</v>
      </c>
      <c r="G67" s="3">
        <v>0.1</v>
      </c>
      <c r="H67" s="4">
        <v>106.54</v>
      </c>
      <c r="I67" t="str">
        <f>VLOOKUP(orders__17[[#This Row],[Customer_ID]],customers__2[#All],3,0)</f>
        <v>East</v>
      </c>
      <c r="J67" t="str">
        <f>VLOOKUP(orders__17[[#This Row],[Customer_ID]],customers__2[#All],4,0)</f>
        <v>Home Office</v>
      </c>
      <c r="K67" t="str">
        <f>VLOOKUP(orders__17[[#This Row],[Product_ID]],products[#All],3,0)</f>
        <v>Technology</v>
      </c>
      <c r="L67" s="1" t="str">
        <f>VLOOKUP(orders__17[[#This Row],[Product_ID]],products[#All],4,0)</f>
        <v>Laptop</v>
      </c>
      <c r="M67" s="1" t="str">
        <f>VLOOKUP(orders__17[[#This Row],[Order_ID]],returns[#All],2,0)</f>
        <v>No</v>
      </c>
    </row>
    <row r="68" spans="1:13" x14ac:dyDescent="0.3">
      <c r="A68" s="1" t="s">
        <v>173</v>
      </c>
      <c r="B68" s="2">
        <v>45229</v>
      </c>
      <c r="C68" s="1" t="s">
        <v>174</v>
      </c>
      <c r="D68" s="1" t="s">
        <v>25</v>
      </c>
      <c r="E68">
        <v>2</v>
      </c>
      <c r="F68" s="4">
        <v>269.33999999999997</v>
      </c>
      <c r="G68" s="3">
        <v>0</v>
      </c>
      <c r="H68" s="4">
        <v>60.94</v>
      </c>
      <c r="I68" t="str">
        <f>VLOOKUP(orders__17[[#This Row],[Customer_ID]],customers__2[#All],3,0)</f>
        <v>East</v>
      </c>
      <c r="J68" t="str">
        <f>VLOOKUP(orders__17[[#This Row],[Customer_ID]],customers__2[#All],4,0)</f>
        <v>Consumer</v>
      </c>
      <c r="K68" t="str">
        <f>VLOOKUP(orders__17[[#This Row],[Product_ID]],products[#All],3,0)</f>
        <v>Office Supplies</v>
      </c>
      <c r="L68" s="1" t="str">
        <f>VLOOKUP(orders__17[[#This Row],[Product_ID]],products[#All],4,0)</f>
        <v>Paper</v>
      </c>
      <c r="M68" s="1" t="str">
        <f>VLOOKUP(orders__17[[#This Row],[Order_ID]],returns[#All],2,0)</f>
        <v>No</v>
      </c>
    </row>
    <row r="69" spans="1:13" x14ac:dyDescent="0.3">
      <c r="A69" s="1" t="s">
        <v>175</v>
      </c>
      <c r="B69" s="2">
        <v>44673</v>
      </c>
      <c r="C69" s="1" t="s">
        <v>176</v>
      </c>
      <c r="D69" s="1" t="s">
        <v>177</v>
      </c>
      <c r="E69">
        <v>2</v>
      </c>
      <c r="F69" s="4">
        <v>1535.01</v>
      </c>
      <c r="G69" s="3">
        <v>0.1</v>
      </c>
      <c r="H69" s="4">
        <v>361.49</v>
      </c>
      <c r="I69" t="str">
        <f>VLOOKUP(orders__17[[#This Row],[Customer_ID]],customers__2[#All],3,0)</f>
        <v>South</v>
      </c>
      <c r="J69" t="str">
        <f>VLOOKUP(orders__17[[#This Row],[Customer_ID]],customers__2[#All],4,0)</f>
        <v>Home Office</v>
      </c>
      <c r="K69" t="str">
        <f>VLOOKUP(orders__17[[#This Row],[Product_ID]],products[#All],3,0)</f>
        <v>Furniture</v>
      </c>
      <c r="L69" s="1" t="str">
        <f>VLOOKUP(orders__17[[#This Row],[Product_ID]],products[#All],4,0)</f>
        <v>Table</v>
      </c>
      <c r="M69" s="1" t="str">
        <f>VLOOKUP(orders__17[[#This Row],[Order_ID]],returns[#All],2,0)</f>
        <v>No</v>
      </c>
    </row>
    <row r="70" spans="1:13" x14ac:dyDescent="0.3">
      <c r="A70" s="1" t="s">
        <v>178</v>
      </c>
      <c r="B70" s="2">
        <v>44737</v>
      </c>
      <c r="C70" s="1" t="s">
        <v>179</v>
      </c>
      <c r="D70" s="1" t="s">
        <v>180</v>
      </c>
      <c r="E70">
        <v>4</v>
      </c>
      <c r="F70" s="4">
        <v>342.66</v>
      </c>
      <c r="G70" s="3">
        <v>0.1</v>
      </c>
      <c r="H70" s="4">
        <v>75.19</v>
      </c>
      <c r="I70" t="str">
        <f>VLOOKUP(orders__17[[#This Row],[Customer_ID]],customers__2[#All],3,0)</f>
        <v>North</v>
      </c>
      <c r="J70" t="str">
        <f>VLOOKUP(orders__17[[#This Row],[Customer_ID]],customers__2[#All],4,0)</f>
        <v>Consumer</v>
      </c>
      <c r="K70" t="str">
        <f>VLOOKUP(orders__17[[#This Row],[Product_ID]],products[#All],3,0)</f>
        <v>Furniture</v>
      </c>
      <c r="L70" s="1" t="str">
        <f>VLOOKUP(orders__17[[#This Row],[Product_ID]],products[#All],4,0)</f>
        <v>Chair</v>
      </c>
      <c r="M70" s="1" t="str">
        <f>VLOOKUP(orders__17[[#This Row],[Order_ID]],returns[#All],2,0)</f>
        <v>No</v>
      </c>
    </row>
    <row r="71" spans="1:13" x14ac:dyDescent="0.3">
      <c r="A71" s="1" t="s">
        <v>181</v>
      </c>
      <c r="B71" s="2">
        <v>45057</v>
      </c>
      <c r="C71" s="1" t="s">
        <v>182</v>
      </c>
      <c r="D71" s="1" t="s">
        <v>70</v>
      </c>
      <c r="E71">
        <v>4</v>
      </c>
      <c r="F71" s="4">
        <v>1669.53</v>
      </c>
      <c r="G71" s="3">
        <v>0.3</v>
      </c>
      <c r="H71" s="4">
        <v>188.79</v>
      </c>
      <c r="I71" t="str">
        <f>VLOOKUP(orders__17[[#This Row],[Customer_ID]],customers__2[#All],3,0)</f>
        <v>South</v>
      </c>
      <c r="J71" t="str">
        <f>VLOOKUP(orders__17[[#This Row],[Customer_ID]],customers__2[#All],4,0)</f>
        <v>Consumer</v>
      </c>
      <c r="K71" t="str">
        <f>VLOOKUP(orders__17[[#This Row],[Product_ID]],products[#All],3,0)</f>
        <v>Office Supplies</v>
      </c>
      <c r="L71" s="1" t="str">
        <f>VLOOKUP(orders__17[[#This Row],[Product_ID]],products[#All],4,0)</f>
        <v>Paper</v>
      </c>
      <c r="M71" s="1" t="str">
        <f>VLOOKUP(orders__17[[#This Row],[Order_ID]],returns[#All],2,0)</f>
        <v>No</v>
      </c>
    </row>
    <row r="72" spans="1:13" x14ac:dyDescent="0.3">
      <c r="A72" s="1" t="s">
        <v>183</v>
      </c>
      <c r="B72" s="2">
        <v>44787</v>
      </c>
      <c r="C72" s="1" t="s">
        <v>184</v>
      </c>
      <c r="D72" s="1" t="s">
        <v>16</v>
      </c>
      <c r="E72">
        <v>1</v>
      </c>
      <c r="F72" s="4">
        <v>1585.85</v>
      </c>
      <c r="G72" s="3">
        <v>0.2</v>
      </c>
      <c r="H72" s="4">
        <v>425.42</v>
      </c>
      <c r="I72" t="str">
        <f>VLOOKUP(orders__17[[#This Row],[Customer_ID]],customers__2[#All],3,0)</f>
        <v>East</v>
      </c>
      <c r="J72" t="str">
        <f>VLOOKUP(orders__17[[#This Row],[Customer_ID]],customers__2[#All],4,0)</f>
        <v>Consumer</v>
      </c>
      <c r="K72" t="str">
        <f>VLOOKUP(orders__17[[#This Row],[Product_ID]],products[#All],3,0)</f>
        <v>Technology</v>
      </c>
      <c r="L72" s="1" t="str">
        <f>VLOOKUP(orders__17[[#This Row],[Product_ID]],products[#All],4,0)</f>
        <v>Laptop</v>
      </c>
      <c r="M72" s="1" t="str">
        <f>VLOOKUP(orders__17[[#This Row],[Order_ID]],returns[#All],2,0)</f>
        <v>No</v>
      </c>
    </row>
    <row r="73" spans="1:13" x14ac:dyDescent="0.3">
      <c r="A73" s="1" t="s">
        <v>185</v>
      </c>
      <c r="B73" s="2">
        <v>44907</v>
      </c>
      <c r="C73" s="1" t="s">
        <v>82</v>
      </c>
      <c r="D73" s="1" t="s">
        <v>186</v>
      </c>
      <c r="E73">
        <v>5</v>
      </c>
      <c r="F73" s="4">
        <v>1446.61</v>
      </c>
      <c r="G73" s="3">
        <v>0.1</v>
      </c>
      <c r="H73" s="4">
        <v>133.4</v>
      </c>
      <c r="I73" t="str">
        <f>VLOOKUP(orders__17[[#This Row],[Customer_ID]],customers__2[#All],3,0)</f>
        <v>East</v>
      </c>
      <c r="J73" t="str">
        <f>VLOOKUP(orders__17[[#This Row],[Customer_ID]],customers__2[#All],4,0)</f>
        <v>Corporate</v>
      </c>
      <c r="K73" t="str">
        <f>VLOOKUP(orders__17[[#This Row],[Product_ID]],products[#All],3,0)</f>
        <v>Technology</v>
      </c>
      <c r="L73" s="1" t="str">
        <f>VLOOKUP(orders__17[[#This Row],[Product_ID]],products[#All],4,0)</f>
        <v>Laptop</v>
      </c>
      <c r="M73" s="1" t="str">
        <f>VLOOKUP(orders__17[[#This Row],[Order_ID]],returns[#All],2,0)</f>
        <v>No</v>
      </c>
    </row>
    <row r="74" spans="1:13" x14ac:dyDescent="0.3">
      <c r="A74" s="1" t="s">
        <v>187</v>
      </c>
      <c r="B74" s="2">
        <v>44698</v>
      </c>
      <c r="C74" s="1" t="s">
        <v>36</v>
      </c>
      <c r="D74" s="1" t="s">
        <v>188</v>
      </c>
      <c r="E74">
        <v>5</v>
      </c>
      <c r="F74" s="4">
        <v>168.7</v>
      </c>
      <c r="G74" s="3">
        <v>0.2</v>
      </c>
      <c r="H74" s="4">
        <v>10.7</v>
      </c>
      <c r="I74" t="str">
        <f>VLOOKUP(orders__17[[#This Row],[Customer_ID]],customers__2[#All],3,0)</f>
        <v>North</v>
      </c>
      <c r="J74" t="str">
        <f>VLOOKUP(orders__17[[#This Row],[Customer_ID]],customers__2[#All],4,0)</f>
        <v>Consumer</v>
      </c>
      <c r="K74" t="str">
        <f>VLOOKUP(orders__17[[#This Row],[Product_ID]],products[#All],3,0)</f>
        <v>Technology</v>
      </c>
      <c r="L74" s="1" t="str">
        <f>VLOOKUP(orders__17[[#This Row],[Product_ID]],products[#All],4,0)</f>
        <v>Laptop</v>
      </c>
      <c r="M74" s="1" t="str">
        <f>VLOOKUP(orders__17[[#This Row],[Order_ID]],returns[#All],2,0)</f>
        <v>Yes</v>
      </c>
    </row>
    <row r="75" spans="1:13" x14ac:dyDescent="0.3">
      <c r="A75" s="1" t="s">
        <v>189</v>
      </c>
      <c r="B75" s="2">
        <v>44738</v>
      </c>
      <c r="C75" s="1" t="s">
        <v>190</v>
      </c>
      <c r="D75" s="1" t="s">
        <v>188</v>
      </c>
      <c r="E75">
        <v>2</v>
      </c>
      <c r="F75" s="4">
        <v>675.94</v>
      </c>
      <c r="G75" s="3">
        <v>0.3</v>
      </c>
      <c r="H75" s="4">
        <v>155.04</v>
      </c>
      <c r="I75" t="str">
        <f>VLOOKUP(orders__17[[#This Row],[Customer_ID]],customers__2[#All],3,0)</f>
        <v>East</v>
      </c>
      <c r="J75" t="str">
        <f>VLOOKUP(orders__17[[#This Row],[Customer_ID]],customers__2[#All],4,0)</f>
        <v>Home Office</v>
      </c>
      <c r="K75" t="str">
        <f>VLOOKUP(orders__17[[#This Row],[Product_ID]],products[#All],3,0)</f>
        <v>Technology</v>
      </c>
      <c r="L75" s="1" t="str">
        <f>VLOOKUP(orders__17[[#This Row],[Product_ID]],products[#All],4,0)</f>
        <v>Laptop</v>
      </c>
      <c r="M75" s="1" t="str">
        <f>VLOOKUP(orders__17[[#This Row],[Order_ID]],returns[#All],2,0)</f>
        <v>No</v>
      </c>
    </row>
    <row r="76" spans="1:13" x14ac:dyDescent="0.3">
      <c r="A76" s="1" t="s">
        <v>191</v>
      </c>
      <c r="B76" s="2">
        <v>44881</v>
      </c>
      <c r="C76" s="1" t="s">
        <v>192</v>
      </c>
      <c r="D76" s="1" t="s">
        <v>70</v>
      </c>
      <c r="E76">
        <v>5</v>
      </c>
      <c r="F76" s="4">
        <v>599.91</v>
      </c>
      <c r="G76" s="3">
        <v>0.2</v>
      </c>
      <c r="H76" s="4">
        <v>101.31</v>
      </c>
      <c r="I76" t="str">
        <f>VLOOKUP(orders__17[[#This Row],[Customer_ID]],customers__2[#All],3,0)</f>
        <v>South</v>
      </c>
      <c r="J76" t="str">
        <f>VLOOKUP(orders__17[[#This Row],[Customer_ID]],customers__2[#All],4,0)</f>
        <v>Corporate</v>
      </c>
      <c r="K76" t="str">
        <f>VLOOKUP(orders__17[[#This Row],[Product_ID]],products[#All],3,0)</f>
        <v>Office Supplies</v>
      </c>
      <c r="L76" s="1" t="str">
        <f>VLOOKUP(orders__17[[#This Row],[Product_ID]],products[#All],4,0)</f>
        <v>Paper</v>
      </c>
      <c r="M76" s="1" t="str">
        <f>VLOOKUP(orders__17[[#This Row],[Order_ID]],returns[#All],2,0)</f>
        <v>No</v>
      </c>
    </row>
    <row r="77" spans="1:13" x14ac:dyDescent="0.3">
      <c r="A77" s="1" t="s">
        <v>193</v>
      </c>
      <c r="B77" s="2">
        <v>44990</v>
      </c>
      <c r="C77" s="1" t="s">
        <v>194</v>
      </c>
      <c r="D77" s="1" t="s">
        <v>195</v>
      </c>
      <c r="E77">
        <v>2</v>
      </c>
      <c r="F77" s="4">
        <v>784.26</v>
      </c>
      <c r="G77" s="3">
        <v>0.3</v>
      </c>
      <c r="H77" s="4">
        <v>205.69</v>
      </c>
      <c r="I77" t="str">
        <f>VLOOKUP(orders__17[[#This Row],[Customer_ID]],customers__2[#All],3,0)</f>
        <v>North</v>
      </c>
      <c r="J77" t="str">
        <f>VLOOKUP(orders__17[[#This Row],[Customer_ID]],customers__2[#All],4,0)</f>
        <v>Home Office</v>
      </c>
      <c r="K77" t="str">
        <f>VLOOKUP(orders__17[[#This Row],[Product_ID]],products[#All],3,0)</f>
        <v>Furniture</v>
      </c>
      <c r="L77" s="1" t="str">
        <f>VLOOKUP(orders__17[[#This Row],[Product_ID]],products[#All],4,0)</f>
        <v>Chair</v>
      </c>
      <c r="M77" s="1" t="str">
        <f>VLOOKUP(orders__17[[#This Row],[Order_ID]],returns[#All],2,0)</f>
        <v>Yes</v>
      </c>
    </row>
    <row r="78" spans="1:13" x14ac:dyDescent="0.3">
      <c r="A78" s="1" t="s">
        <v>196</v>
      </c>
      <c r="B78" s="2">
        <v>44636</v>
      </c>
      <c r="C78" s="1" t="s">
        <v>106</v>
      </c>
      <c r="D78" s="1" t="s">
        <v>86</v>
      </c>
      <c r="E78">
        <v>1</v>
      </c>
      <c r="F78" s="4">
        <v>266.52</v>
      </c>
      <c r="G78" s="3">
        <v>0</v>
      </c>
      <c r="H78" s="4">
        <v>38.869999999999997</v>
      </c>
      <c r="I78" t="str">
        <f>VLOOKUP(orders__17[[#This Row],[Customer_ID]],customers__2[#All],3,0)</f>
        <v>South</v>
      </c>
      <c r="J78" t="str">
        <f>VLOOKUP(orders__17[[#This Row],[Customer_ID]],customers__2[#All],4,0)</f>
        <v>Consumer</v>
      </c>
      <c r="K78" t="str">
        <f>VLOOKUP(orders__17[[#This Row],[Product_ID]],products[#All],3,0)</f>
        <v>Furniture</v>
      </c>
      <c r="L78" s="1" t="str">
        <f>VLOOKUP(orders__17[[#This Row],[Product_ID]],products[#All],4,0)</f>
        <v>Table</v>
      </c>
      <c r="M78" s="1" t="str">
        <f>VLOOKUP(orders__17[[#This Row],[Order_ID]],returns[#All],2,0)</f>
        <v>No</v>
      </c>
    </row>
    <row r="79" spans="1:13" x14ac:dyDescent="0.3">
      <c r="A79" s="1" t="s">
        <v>197</v>
      </c>
      <c r="B79" s="2">
        <v>45213</v>
      </c>
      <c r="C79" s="1" t="s">
        <v>198</v>
      </c>
      <c r="D79" s="1" t="s">
        <v>186</v>
      </c>
      <c r="E79">
        <v>4</v>
      </c>
      <c r="F79" s="4">
        <v>1880.22</v>
      </c>
      <c r="G79" s="3">
        <v>0.2</v>
      </c>
      <c r="H79" s="4">
        <v>173.11</v>
      </c>
      <c r="I79" t="str">
        <f>VLOOKUP(orders__17[[#This Row],[Customer_ID]],customers__2[#All],3,0)</f>
        <v>North</v>
      </c>
      <c r="J79" t="str">
        <f>VLOOKUP(orders__17[[#This Row],[Customer_ID]],customers__2[#All],4,0)</f>
        <v>Consumer</v>
      </c>
      <c r="K79" t="str">
        <f>VLOOKUP(orders__17[[#This Row],[Product_ID]],products[#All],3,0)</f>
        <v>Technology</v>
      </c>
      <c r="L79" s="1" t="str">
        <f>VLOOKUP(orders__17[[#This Row],[Product_ID]],products[#All],4,0)</f>
        <v>Laptop</v>
      </c>
      <c r="M79" s="1" t="str">
        <f>VLOOKUP(orders__17[[#This Row],[Order_ID]],returns[#All],2,0)</f>
        <v>No</v>
      </c>
    </row>
    <row r="80" spans="1:13" x14ac:dyDescent="0.3">
      <c r="A80" s="1" t="s">
        <v>199</v>
      </c>
      <c r="B80" s="2">
        <v>44841</v>
      </c>
      <c r="C80" s="1" t="s">
        <v>200</v>
      </c>
      <c r="D80" s="1" t="s">
        <v>201</v>
      </c>
      <c r="E80">
        <v>4</v>
      </c>
      <c r="F80" s="4">
        <v>1152.22</v>
      </c>
      <c r="G80" s="3">
        <v>0.2</v>
      </c>
      <c r="H80" s="4">
        <v>298.55</v>
      </c>
      <c r="I80" t="str">
        <f>VLOOKUP(orders__17[[#This Row],[Customer_ID]],customers__2[#All],3,0)</f>
        <v>East</v>
      </c>
      <c r="J80" t="str">
        <f>VLOOKUP(orders__17[[#This Row],[Customer_ID]],customers__2[#All],4,0)</f>
        <v>Consumer</v>
      </c>
      <c r="K80" t="str">
        <f>VLOOKUP(orders__17[[#This Row],[Product_ID]],products[#All],3,0)</f>
        <v>Office Supplies</v>
      </c>
      <c r="L80" s="1" t="str">
        <f>VLOOKUP(orders__17[[#This Row],[Product_ID]],products[#All],4,0)</f>
        <v>Paper</v>
      </c>
      <c r="M80" s="1" t="str">
        <f>VLOOKUP(orders__17[[#This Row],[Order_ID]],returns[#All],2,0)</f>
        <v>No</v>
      </c>
    </row>
    <row r="81" spans="1:13" x14ac:dyDescent="0.3">
      <c r="A81" s="1" t="s">
        <v>202</v>
      </c>
      <c r="B81" s="2">
        <v>44796</v>
      </c>
      <c r="C81" s="1" t="s">
        <v>203</v>
      </c>
      <c r="D81" s="1" t="s">
        <v>100</v>
      </c>
      <c r="E81">
        <v>4</v>
      </c>
      <c r="F81" s="4">
        <v>680.5</v>
      </c>
      <c r="G81" s="3">
        <v>0</v>
      </c>
      <c r="H81" s="4">
        <v>127.41</v>
      </c>
      <c r="I81" t="str">
        <f>VLOOKUP(orders__17[[#This Row],[Customer_ID]],customers__2[#All],3,0)</f>
        <v>West</v>
      </c>
      <c r="J81" t="str">
        <f>VLOOKUP(orders__17[[#This Row],[Customer_ID]],customers__2[#All],4,0)</f>
        <v>Corporate</v>
      </c>
      <c r="K81" t="str">
        <f>VLOOKUP(orders__17[[#This Row],[Product_ID]],products[#All],3,0)</f>
        <v>Technology</v>
      </c>
      <c r="L81" s="1" t="str">
        <f>VLOOKUP(orders__17[[#This Row],[Product_ID]],products[#All],4,0)</f>
        <v>Laptop</v>
      </c>
      <c r="M81" s="1" t="str">
        <f>VLOOKUP(orders__17[[#This Row],[Order_ID]],returns[#All],2,0)</f>
        <v>No</v>
      </c>
    </row>
    <row r="82" spans="1:13" x14ac:dyDescent="0.3">
      <c r="A82" s="1" t="s">
        <v>204</v>
      </c>
      <c r="B82" s="2">
        <v>45177</v>
      </c>
      <c r="C82" s="1" t="s">
        <v>205</v>
      </c>
      <c r="D82" s="1" t="s">
        <v>37</v>
      </c>
      <c r="E82">
        <v>5</v>
      </c>
      <c r="F82" s="4">
        <v>854.26</v>
      </c>
      <c r="G82" s="3">
        <v>0.2</v>
      </c>
      <c r="H82" s="4">
        <v>83.12</v>
      </c>
      <c r="I82" t="str">
        <f>VLOOKUP(orders__17[[#This Row],[Customer_ID]],customers__2[#All],3,0)</f>
        <v>North</v>
      </c>
      <c r="J82" t="str">
        <f>VLOOKUP(orders__17[[#This Row],[Customer_ID]],customers__2[#All],4,0)</f>
        <v>Consumer</v>
      </c>
      <c r="K82" t="str">
        <f>VLOOKUP(orders__17[[#This Row],[Product_ID]],products[#All],3,0)</f>
        <v>Furniture</v>
      </c>
      <c r="L82" s="1" t="str">
        <f>VLOOKUP(orders__17[[#This Row],[Product_ID]],products[#All],4,0)</f>
        <v>Desk</v>
      </c>
      <c r="M82" s="1" t="str">
        <f>VLOOKUP(orders__17[[#This Row],[Order_ID]],returns[#All],2,0)</f>
        <v>Yes</v>
      </c>
    </row>
    <row r="83" spans="1:13" x14ac:dyDescent="0.3">
      <c r="A83" s="1" t="s">
        <v>206</v>
      </c>
      <c r="B83" s="2">
        <v>44717</v>
      </c>
      <c r="C83" s="1" t="s">
        <v>176</v>
      </c>
      <c r="D83" s="1" t="s">
        <v>177</v>
      </c>
      <c r="E83">
        <v>1</v>
      </c>
      <c r="F83" s="4">
        <v>949.68</v>
      </c>
      <c r="G83" s="3">
        <v>0</v>
      </c>
      <c r="H83" s="4">
        <v>218.52</v>
      </c>
      <c r="I83" t="str">
        <f>VLOOKUP(orders__17[[#This Row],[Customer_ID]],customers__2[#All],3,0)</f>
        <v>South</v>
      </c>
      <c r="J83" t="str">
        <f>VLOOKUP(orders__17[[#This Row],[Customer_ID]],customers__2[#All],4,0)</f>
        <v>Home Office</v>
      </c>
      <c r="K83" t="str">
        <f>VLOOKUP(orders__17[[#This Row],[Product_ID]],products[#All],3,0)</f>
        <v>Furniture</v>
      </c>
      <c r="L83" s="1" t="str">
        <f>VLOOKUP(orders__17[[#This Row],[Product_ID]],products[#All],4,0)</f>
        <v>Table</v>
      </c>
      <c r="M83" s="1" t="str">
        <f>VLOOKUP(orders__17[[#This Row],[Order_ID]],returns[#All],2,0)</f>
        <v>No</v>
      </c>
    </row>
    <row r="84" spans="1:13" x14ac:dyDescent="0.3">
      <c r="A84" s="1" t="s">
        <v>207</v>
      </c>
      <c r="B84" s="2">
        <v>44883</v>
      </c>
      <c r="C84" s="1" t="s">
        <v>208</v>
      </c>
      <c r="D84" s="1" t="s">
        <v>209</v>
      </c>
      <c r="E84">
        <v>5</v>
      </c>
      <c r="F84" s="4">
        <v>1241.1300000000001</v>
      </c>
      <c r="G84" s="3">
        <v>0.1</v>
      </c>
      <c r="H84" s="4">
        <v>220.65</v>
      </c>
      <c r="I84" t="str">
        <f>VLOOKUP(orders__17[[#This Row],[Customer_ID]],customers__2[#All],3,0)</f>
        <v>North</v>
      </c>
      <c r="J84" t="str">
        <f>VLOOKUP(orders__17[[#This Row],[Customer_ID]],customers__2[#All],4,0)</f>
        <v>Home Office</v>
      </c>
      <c r="K84" t="str">
        <f>VLOOKUP(orders__17[[#This Row],[Product_ID]],products[#All],3,0)</f>
        <v>Office Supplies</v>
      </c>
      <c r="L84" s="1" t="str">
        <f>VLOOKUP(orders__17[[#This Row],[Product_ID]],products[#All],4,0)</f>
        <v>Paper</v>
      </c>
      <c r="M84" s="1" t="str">
        <f>VLOOKUP(orders__17[[#This Row],[Order_ID]],returns[#All],2,0)</f>
        <v>No</v>
      </c>
    </row>
    <row r="85" spans="1:13" x14ac:dyDescent="0.3">
      <c r="A85" s="1" t="s">
        <v>210</v>
      </c>
      <c r="B85" s="2">
        <v>44639</v>
      </c>
      <c r="C85" s="1" t="s">
        <v>192</v>
      </c>
      <c r="D85" s="1" t="s">
        <v>211</v>
      </c>
      <c r="E85">
        <v>5</v>
      </c>
      <c r="F85" s="4">
        <v>1079.79</v>
      </c>
      <c r="G85" s="3">
        <v>0.3</v>
      </c>
      <c r="H85" s="4">
        <v>217.12</v>
      </c>
      <c r="I85" t="str">
        <f>VLOOKUP(orders__17[[#This Row],[Customer_ID]],customers__2[#All],3,0)</f>
        <v>South</v>
      </c>
      <c r="J85" t="str">
        <f>VLOOKUP(orders__17[[#This Row],[Customer_ID]],customers__2[#All],4,0)</f>
        <v>Corporate</v>
      </c>
      <c r="K85" t="str">
        <f>VLOOKUP(orders__17[[#This Row],[Product_ID]],products[#All],3,0)</f>
        <v>Office Supplies</v>
      </c>
      <c r="L85" s="1" t="str">
        <f>VLOOKUP(orders__17[[#This Row],[Product_ID]],products[#All],4,0)</f>
        <v>Binder</v>
      </c>
      <c r="M85" s="1" t="str">
        <f>VLOOKUP(orders__17[[#This Row],[Order_ID]],returns[#All],2,0)</f>
        <v>No</v>
      </c>
    </row>
    <row r="86" spans="1:13" x14ac:dyDescent="0.3">
      <c r="A86" s="1" t="s">
        <v>212</v>
      </c>
      <c r="B86" s="2">
        <v>45273</v>
      </c>
      <c r="C86" s="1" t="s">
        <v>213</v>
      </c>
      <c r="D86" s="1" t="s">
        <v>177</v>
      </c>
      <c r="E86">
        <v>1</v>
      </c>
      <c r="F86" s="4">
        <v>1846.84</v>
      </c>
      <c r="G86" s="3">
        <v>0</v>
      </c>
      <c r="H86" s="4">
        <v>305.14</v>
      </c>
      <c r="I86" t="str">
        <f>VLOOKUP(orders__17[[#This Row],[Customer_ID]],customers__2[#All],3,0)</f>
        <v>East</v>
      </c>
      <c r="J86" t="str">
        <f>VLOOKUP(orders__17[[#This Row],[Customer_ID]],customers__2[#All],4,0)</f>
        <v>Corporate</v>
      </c>
      <c r="K86" t="str">
        <f>VLOOKUP(orders__17[[#This Row],[Product_ID]],products[#All],3,0)</f>
        <v>Furniture</v>
      </c>
      <c r="L86" s="1" t="str">
        <f>VLOOKUP(orders__17[[#This Row],[Product_ID]],products[#All],4,0)</f>
        <v>Table</v>
      </c>
      <c r="M86" s="1" t="str">
        <f>VLOOKUP(orders__17[[#This Row],[Order_ID]],returns[#All],2,0)</f>
        <v>No</v>
      </c>
    </row>
    <row r="87" spans="1:13" x14ac:dyDescent="0.3">
      <c r="A87" s="1" t="s">
        <v>214</v>
      </c>
      <c r="B87" s="2">
        <v>45204</v>
      </c>
      <c r="C87" s="1" t="s">
        <v>138</v>
      </c>
      <c r="D87" s="1" t="s">
        <v>215</v>
      </c>
      <c r="E87">
        <v>1</v>
      </c>
      <c r="F87" s="4">
        <v>1044.23</v>
      </c>
      <c r="G87" s="3">
        <v>0.2</v>
      </c>
      <c r="H87" s="4">
        <v>268.55</v>
      </c>
      <c r="I87" t="str">
        <f>VLOOKUP(orders__17[[#This Row],[Customer_ID]],customers__2[#All],3,0)</f>
        <v>West</v>
      </c>
      <c r="J87" t="str">
        <f>VLOOKUP(orders__17[[#This Row],[Customer_ID]],customers__2[#All],4,0)</f>
        <v>Consumer</v>
      </c>
      <c r="K87" t="str">
        <f>VLOOKUP(orders__17[[#This Row],[Product_ID]],products[#All],3,0)</f>
        <v>Furniture</v>
      </c>
      <c r="L87" s="1" t="str">
        <f>VLOOKUP(orders__17[[#This Row],[Product_ID]],products[#All],4,0)</f>
        <v>Table</v>
      </c>
      <c r="M87" s="1" t="str">
        <f>VLOOKUP(orders__17[[#This Row],[Order_ID]],returns[#All],2,0)</f>
        <v>No</v>
      </c>
    </row>
    <row r="88" spans="1:13" x14ac:dyDescent="0.3">
      <c r="A88" s="1" t="s">
        <v>216</v>
      </c>
      <c r="B88" s="2">
        <v>44953</v>
      </c>
      <c r="C88" s="1" t="s">
        <v>217</v>
      </c>
      <c r="D88" s="1" t="s">
        <v>218</v>
      </c>
      <c r="E88">
        <v>1</v>
      </c>
      <c r="F88" s="4">
        <v>1985.1</v>
      </c>
      <c r="G88" s="3">
        <v>0</v>
      </c>
      <c r="H88" s="4">
        <v>510.95</v>
      </c>
      <c r="I88" t="str">
        <f>VLOOKUP(orders__17[[#This Row],[Customer_ID]],customers__2[#All],3,0)</f>
        <v>East</v>
      </c>
      <c r="J88" t="str">
        <f>VLOOKUP(orders__17[[#This Row],[Customer_ID]],customers__2[#All],4,0)</f>
        <v>Corporate</v>
      </c>
      <c r="K88" t="str">
        <f>VLOOKUP(orders__17[[#This Row],[Product_ID]],products[#All],3,0)</f>
        <v>Office Supplies</v>
      </c>
      <c r="L88" s="1" t="str">
        <f>VLOOKUP(orders__17[[#This Row],[Product_ID]],products[#All],4,0)</f>
        <v>Storage</v>
      </c>
      <c r="M88" s="1" t="str">
        <f>VLOOKUP(orders__17[[#This Row],[Order_ID]],returns[#All],2,0)</f>
        <v>No</v>
      </c>
    </row>
    <row r="89" spans="1:13" x14ac:dyDescent="0.3">
      <c r="A89" s="1" t="s">
        <v>219</v>
      </c>
      <c r="B89" s="2">
        <v>44730</v>
      </c>
      <c r="C89" s="1" t="s">
        <v>220</v>
      </c>
      <c r="D89" s="1" t="s">
        <v>221</v>
      </c>
      <c r="E89">
        <v>1</v>
      </c>
      <c r="F89" s="4">
        <v>1717.71</v>
      </c>
      <c r="G89" s="3">
        <v>0.2</v>
      </c>
      <c r="H89" s="4">
        <v>390.52</v>
      </c>
      <c r="I89" t="str">
        <f>VLOOKUP(orders__17[[#This Row],[Customer_ID]],customers__2[#All],3,0)</f>
        <v>West</v>
      </c>
      <c r="J89" t="str">
        <f>VLOOKUP(orders__17[[#This Row],[Customer_ID]],customers__2[#All],4,0)</f>
        <v>Corporate</v>
      </c>
      <c r="K89" t="str">
        <f>VLOOKUP(orders__17[[#This Row],[Product_ID]],products[#All],3,0)</f>
        <v>Technology</v>
      </c>
      <c r="L89" s="1" t="str">
        <f>VLOOKUP(orders__17[[#This Row],[Product_ID]],products[#All],4,0)</f>
        <v>Laptop</v>
      </c>
      <c r="M89" s="1" t="str">
        <f>VLOOKUP(orders__17[[#This Row],[Order_ID]],returns[#All],2,0)</f>
        <v>No</v>
      </c>
    </row>
    <row r="90" spans="1:13" x14ac:dyDescent="0.3">
      <c r="A90" s="1" t="s">
        <v>222</v>
      </c>
      <c r="B90" s="2">
        <v>44637</v>
      </c>
      <c r="C90" s="1" t="s">
        <v>223</v>
      </c>
      <c r="D90" s="1" t="s">
        <v>19</v>
      </c>
      <c r="E90">
        <v>4</v>
      </c>
      <c r="F90" s="4">
        <v>496.17</v>
      </c>
      <c r="G90" s="3">
        <v>0.1</v>
      </c>
      <c r="H90" s="4">
        <v>37.880000000000003</v>
      </c>
      <c r="I90" t="str">
        <f>VLOOKUP(orders__17[[#This Row],[Customer_ID]],customers__2[#All],3,0)</f>
        <v>East</v>
      </c>
      <c r="J90" t="str">
        <f>VLOOKUP(orders__17[[#This Row],[Customer_ID]],customers__2[#All],4,0)</f>
        <v>Home Office</v>
      </c>
      <c r="K90" t="str">
        <f>VLOOKUP(orders__17[[#This Row],[Product_ID]],products[#All],3,0)</f>
        <v>Office Supplies</v>
      </c>
      <c r="L90" s="1" t="str">
        <f>VLOOKUP(orders__17[[#This Row],[Product_ID]],products[#All],4,0)</f>
        <v>Pen</v>
      </c>
      <c r="M90" s="1" t="str">
        <f>VLOOKUP(orders__17[[#This Row],[Order_ID]],returns[#All],2,0)</f>
        <v>No</v>
      </c>
    </row>
    <row r="91" spans="1:13" x14ac:dyDescent="0.3">
      <c r="A91" s="1" t="s">
        <v>224</v>
      </c>
      <c r="B91" s="2">
        <v>44997</v>
      </c>
      <c r="C91" s="1" t="s">
        <v>225</v>
      </c>
      <c r="D91" s="1" t="s">
        <v>226</v>
      </c>
      <c r="E91">
        <v>3</v>
      </c>
      <c r="F91" s="4">
        <v>1868.13</v>
      </c>
      <c r="G91" s="3">
        <v>0</v>
      </c>
      <c r="H91" s="4">
        <v>485.18</v>
      </c>
      <c r="I91" t="str">
        <f>VLOOKUP(orders__17[[#This Row],[Customer_ID]],customers__2[#All],3,0)</f>
        <v>North</v>
      </c>
      <c r="J91" t="str">
        <f>VLOOKUP(orders__17[[#This Row],[Customer_ID]],customers__2[#All],4,0)</f>
        <v>Consumer</v>
      </c>
      <c r="K91" t="str">
        <f>VLOOKUP(orders__17[[#This Row],[Product_ID]],products[#All],3,0)</f>
        <v>Technology</v>
      </c>
      <c r="L91" s="1" t="str">
        <f>VLOOKUP(orders__17[[#This Row],[Product_ID]],products[#All],4,0)</f>
        <v>Laptop</v>
      </c>
      <c r="M91" s="1" t="str">
        <f>VLOOKUP(orders__17[[#This Row],[Order_ID]],returns[#All],2,0)</f>
        <v>No</v>
      </c>
    </row>
    <row r="92" spans="1:13" x14ac:dyDescent="0.3">
      <c r="A92" s="1" t="s">
        <v>227</v>
      </c>
      <c r="B92" s="2">
        <v>45449</v>
      </c>
      <c r="C92" s="1" t="s">
        <v>228</v>
      </c>
      <c r="D92" s="1" t="s">
        <v>226</v>
      </c>
      <c r="E92">
        <v>3</v>
      </c>
      <c r="F92" s="4">
        <v>321.10000000000002</v>
      </c>
      <c r="G92" s="3">
        <v>0.1</v>
      </c>
      <c r="H92" s="4">
        <v>69.92</v>
      </c>
      <c r="I92" t="str">
        <f>VLOOKUP(orders__17[[#This Row],[Customer_ID]],customers__2[#All],3,0)</f>
        <v>North</v>
      </c>
      <c r="J92" t="str">
        <f>VLOOKUP(orders__17[[#This Row],[Customer_ID]],customers__2[#All],4,0)</f>
        <v>Consumer</v>
      </c>
      <c r="K92" t="str">
        <f>VLOOKUP(orders__17[[#This Row],[Product_ID]],products[#All],3,0)</f>
        <v>Technology</v>
      </c>
      <c r="L92" s="1" t="str">
        <f>VLOOKUP(orders__17[[#This Row],[Product_ID]],products[#All],4,0)</f>
        <v>Laptop</v>
      </c>
      <c r="M92" s="1" t="str">
        <f>VLOOKUP(orders__17[[#This Row],[Order_ID]],returns[#All],2,0)</f>
        <v>Yes</v>
      </c>
    </row>
    <row r="93" spans="1:13" x14ac:dyDescent="0.3">
      <c r="A93" s="1" t="s">
        <v>229</v>
      </c>
      <c r="B93" s="2">
        <v>44586</v>
      </c>
      <c r="C93" s="1" t="s">
        <v>129</v>
      </c>
      <c r="D93" s="1" t="s">
        <v>43</v>
      </c>
      <c r="E93">
        <v>1</v>
      </c>
      <c r="F93" s="4">
        <v>1653.15</v>
      </c>
      <c r="G93" s="3">
        <v>0.3</v>
      </c>
      <c r="H93" s="4">
        <v>370.73</v>
      </c>
      <c r="I93" t="str">
        <f>VLOOKUP(orders__17[[#This Row],[Customer_ID]],customers__2[#All],3,0)</f>
        <v>South</v>
      </c>
      <c r="J93" t="str">
        <f>VLOOKUP(orders__17[[#This Row],[Customer_ID]],customers__2[#All],4,0)</f>
        <v>Corporate</v>
      </c>
      <c r="K93" t="str">
        <f>VLOOKUP(orders__17[[#This Row],[Product_ID]],products[#All],3,0)</f>
        <v>Technology</v>
      </c>
      <c r="L93" s="1" t="str">
        <f>VLOOKUP(orders__17[[#This Row],[Product_ID]],products[#All],4,0)</f>
        <v>Tablet</v>
      </c>
      <c r="M93" s="1" t="str">
        <f>VLOOKUP(orders__17[[#This Row],[Order_ID]],returns[#All],2,0)</f>
        <v>Yes</v>
      </c>
    </row>
    <row r="94" spans="1:13" x14ac:dyDescent="0.3">
      <c r="A94" s="1" t="s">
        <v>230</v>
      </c>
      <c r="B94" s="2">
        <v>45050</v>
      </c>
      <c r="C94" s="1" t="s">
        <v>231</v>
      </c>
      <c r="D94" s="1" t="s">
        <v>122</v>
      </c>
      <c r="E94">
        <v>3</v>
      </c>
      <c r="F94" s="4">
        <v>823.18</v>
      </c>
      <c r="G94" s="3">
        <v>0.2</v>
      </c>
      <c r="H94" s="4">
        <v>115.86</v>
      </c>
      <c r="I94" t="str">
        <f>VLOOKUP(orders__17[[#This Row],[Customer_ID]],customers__2[#All],3,0)</f>
        <v>South</v>
      </c>
      <c r="J94" t="str">
        <f>VLOOKUP(orders__17[[#This Row],[Customer_ID]],customers__2[#All],4,0)</f>
        <v>Consumer</v>
      </c>
      <c r="K94" t="str">
        <f>VLOOKUP(orders__17[[#This Row],[Product_ID]],products[#All],3,0)</f>
        <v>Office Supplies</v>
      </c>
      <c r="L94" s="1" t="str">
        <f>VLOOKUP(orders__17[[#This Row],[Product_ID]],products[#All],4,0)</f>
        <v>Storage</v>
      </c>
      <c r="M94" s="1" t="str">
        <f>VLOOKUP(orders__17[[#This Row],[Order_ID]],returns[#All],2,0)</f>
        <v>No</v>
      </c>
    </row>
    <row r="95" spans="1:13" x14ac:dyDescent="0.3">
      <c r="A95" s="1" t="s">
        <v>232</v>
      </c>
      <c r="B95" s="2">
        <v>45145</v>
      </c>
      <c r="C95" s="1" t="s">
        <v>233</v>
      </c>
      <c r="D95" s="1" t="s">
        <v>234</v>
      </c>
      <c r="E95">
        <v>3</v>
      </c>
      <c r="F95" s="4">
        <v>1768.15</v>
      </c>
      <c r="G95" s="3">
        <v>0.2</v>
      </c>
      <c r="H95" s="4">
        <v>477.08</v>
      </c>
      <c r="I95" t="str">
        <f>VLOOKUP(orders__17[[#This Row],[Customer_ID]],customers__2[#All],3,0)</f>
        <v>South</v>
      </c>
      <c r="J95" t="str">
        <f>VLOOKUP(orders__17[[#This Row],[Customer_ID]],customers__2[#All],4,0)</f>
        <v>Home Office</v>
      </c>
      <c r="K95" t="str">
        <f>VLOOKUP(orders__17[[#This Row],[Product_ID]],products[#All],3,0)</f>
        <v>Furniture</v>
      </c>
      <c r="L95" s="1" t="str">
        <f>VLOOKUP(orders__17[[#This Row],[Product_ID]],products[#All],4,0)</f>
        <v>Shelf</v>
      </c>
      <c r="M95" s="1" t="str">
        <f>VLOOKUP(orders__17[[#This Row],[Order_ID]],returns[#All],2,0)</f>
        <v>No</v>
      </c>
    </row>
    <row r="96" spans="1:13" x14ac:dyDescent="0.3">
      <c r="A96" s="1" t="s">
        <v>235</v>
      </c>
      <c r="B96" s="2">
        <v>44979</v>
      </c>
      <c r="C96" s="1" t="s">
        <v>74</v>
      </c>
      <c r="D96" s="1" t="s">
        <v>16</v>
      </c>
      <c r="E96">
        <v>1</v>
      </c>
      <c r="F96" s="4">
        <v>1749.31</v>
      </c>
      <c r="G96" s="3">
        <v>0.1</v>
      </c>
      <c r="H96" s="4">
        <v>404.69</v>
      </c>
      <c r="I96" t="str">
        <f>VLOOKUP(orders__17[[#This Row],[Customer_ID]],customers__2[#All],3,0)</f>
        <v>North</v>
      </c>
      <c r="J96" t="str">
        <f>VLOOKUP(orders__17[[#This Row],[Customer_ID]],customers__2[#All],4,0)</f>
        <v>Consumer</v>
      </c>
      <c r="K96" t="str">
        <f>VLOOKUP(orders__17[[#This Row],[Product_ID]],products[#All],3,0)</f>
        <v>Technology</v>
      </c>
      <c r="L96" s="1" t="str">
        <f>VLOOKUP(orders__17[[#This Row],[Product_ID]],products[#All],4,0)</f>
        <v>Laptop</v>
      </c>
      <c r="M96" s="1" t="str">
        <f>VLOOKUP(orders__17[[#This Row],[Order_ID]],returns[#All],2,0)</f>
        <v>No</v>
      </c>
    </row>
    <row r="97" spans="1:13" x14ac:dyDescent="0.3">
      <c r="A97" s="1" t="s">
        <v>236</v>
      </c>
      <c r="B97" s="2">
        <v>45411</v>
      </c>
      <c r="C97" s="1" t="s">
        <v>9</v>
      </c>
      <c r="D97" s="1" t="s">
        <v>218</v>
      </c>
      <c r="E97">
        <v>3</v>
      </c>
      <c r="F97" s="4">
        <v>1631.26</v>
      </c>
      <c r="G97" s="3">
        <v>0.3</v>
      </c>
      <c r="H97" s="4">
        <v>127.48</v>
      </c>
      <c r="I97" t="str">
        <f>VLOOKUP(orders__17[[#This Row],[Customer_ID]],customers__2[#All],3,0)</f>
        <v>East</v>
      </c>
      <c r="J97" t="str">
        <f>VLOOKUP(orders__17[[#This Row],[Customer_ID]],customers__2[#All],4,0)</f>
        <v>Consumer</v>
      </c>
      <c r="K97" t="str">
        <f>VLOOKUP(orders__17[[#This Row],[Product_ID]],products[#All],3,0)</f>
        <v>Office Supplies</v>
      </c>
      <c r="L97" s="1" t="str">
        <f>VLOOKUP(orders__17[[#This Row],[Product_ID]],products[#All],4,0)</f>
        <v>Storage</v>
      </c>
      <c r="M97" s="1" t="str">
        <f>VLOOKUP(orders__17[[#This Row],[Order_ID]],returns[#All],2,0)</f>
        <v>Yes</v>
      </c>
    </row>
    <row r="98" spans="1:13" x14ac:dyDescent="0.3">
      <c r="A98" s="1" t="s">
        <v>237</v>
      </c>
      <c r="B98" s="2">
        <v>45051</v>
      </c>
      <c r="C98" s="1" t="s">
        <v>238</v>
      </c>
      <c r="D98" s="1" t="s">
        <v>239</v>
      </c>
      <c r="E98">
        <v>5</v>
      </c>
      <c r="F98" s="4">
        <v>1601.06</v>
      </c>
      <c r="G98" s="3">
        <v>0</v>
      </c>
      <c r="H98" s="4">
        <v>243.27</v>
      </c>
      <c r="I98" t="str">
        <f>VLOOKUP(orders__17[[#This Row],[Customer_ID]],customers__2[#All],3,0)</f>
        <v>West</v>
      </c>
      <c r="J98" t="str">
        <f>VLOOKUP(orders__17[[#This Row],[Customer_ID]],customers__2[#All],4,0)</f>
        <v>Corporate</v>
      </c>
      <c r="K98" t="str">
        <f>VLOOKUP(orders__17[[#This Row],[Product_ID]],products[#All],3,0)</f>
        <v>Furniture</v>
      </c>
      <c r="L98" s="1" t="str">
        <f>VLOOKUP(orders__17[[#This Row],[Product_ID]],products[#All],4,0)</f>
        <v>Shelf</v>
      </c>
      <c r="M98" s="1" t="str">
        <f>VLOOKUP(orders__17[[#This Row],[Order_ID]],returns[#All],2,0)</f>
        <v>Yes</v>
      </c>
    </row>
    <row r="99" spans="1:13" x14ac:dyDescent="0.3">
      <c r="A99" s="1" t="s">
        <v>240</v>
      </c>
      <c r="B99" s="2">
        <v>45103</v>
      </c>
      <c r="C99" s="1" t="s">
        <v>15</v>
      </c>
      <c r="D99" s="1" t="s">
        <v>218</v>
      </c>
      <c r="E99">
        <v>2</v>
      </c>
      <c r="F99" s="4">
        <v>678.89</v>
      </c>
      <c r="G99" s="3">
        <v>0</v>
      </c>
      <c r="H99" s="4">
        <v>184.38</v>
      </c>
      <c r="I99" t="str">
        <f>VLOOKUP(orders__17[[#This Row],[Customer_ID]],customers__2[#All],3,0)</f>
        <v>West</v>
      </c>
      <c r="J99" t="str">
        <f>VLOOKUP(orders__17[[#This Row],[Customer_ID]],customers__2[#All],4,0)</f>
        <v>Corporate</v>
      </c>
      <c r="K99" t="str">
        <f>VLOOKUP(orders__17[[#This Row],[Product_ID]],products[#All],3,0)</f>
        <v>Office Supplies</v>
      </c>
      <c r="L99" s="1" t="str">
        <f>VLOOKUP(orders__17[[#This Row],[Product_ID]],products[#All],4,0)</f>
        <v>Storage</v>
      </c>
      <c r="M99" s="1" t="str">
        <f>VLOOKUP(orders__17[[#This Row],[Order_ID]],returns[#All],2,0)</f>
        <v>No</v>
      </c>
    </row>
    <row r="100" spans="1:13" x14ac:dyDescent="0.3">
      <c r="A100" s="1" t="s">
        <v>241</v>
      </c>
      <c r="B100" s="2">
        <v>45371</v>
      </c>
      <c r="C100" s="1" t="s">
        <v>158</v>
      </c>
      <c r="D100" s="1" t="s">
        <v>242</v>
      </c>
      <c r="E100">
        <v>2</v>
      </c>
      <c r="F100" s="4">
        <v>253.75</v>
      </c>
      <c r="G100" s="3">
        <v>0.2</v>
      </c>
      <c r="H100" s="4">
        <v>15.68</v>
      </c>
      <c r="I100" t="str">
        <f>VLOOKUP(orders__17[[#This Row],[Customer_ID]],customers__2[#All],3,0)</f>
        <v>West</v>
      </c>
      <c r="J100" t="str">
        <f>VLOOKUP(orders__17[[#This Row],[Customer_ID]],customers__2[#All],4,0)</f>
        <v>Corporate</v>
      </c>
      <c r="K100" t="str">
        <f>VLOOKUP(orders__17[[#This Row],[Product_ID]],products[#All],3,0)</f>
        <v>Technology</v>
      </c>
      <c r="L100" s="1" t="str">
        <f>VLOOKUP(orders__17[[#This Row],[Product_ID]],products[#All],4,0)</f>
        <v>Phone</v>
      </c>
      <c r="M100" s="1" t="str">
        <f>VLOOKUP(orders__17[[#This Row],[Order_ID]],returns[#All],2,0)</f>
        <v>No</v>
      </c>
    </row>
    <row r="101" spans="1:13" x14ac:dyDescent="0.3">
      <c r="A101" s="1" t="s">
        <v>243</v>
      </c>
      <c r="B101" s="2">
        <v>44617</v>
      </c>
      <c r="C101" s="1" t="s">
        <v>244</v>
      </c>
      <c r="D101" s="1" t="s">
        <v>100</v>
      </c>
      <c r="E101">
        <v>1</v>
      </c>
      <c r="F101" s="4">
        <v>865.66</v>
      </c>
      <c r="G101" s="3">
        <v>0.1</v>
      </c>
      <c r="H101" s="4">
        <v>251.35</v>
      </c>
      <c r="I101" t="str">
        <f>VLOOKUP(orders__17[[#This Row],[Customer_ID]],customers__2[#All],3,0)</f>
        <v>South</v>
      </c>
      <c r="J101" t="str">
        <f>VLOOKUP(orders__17[[#This Row],[Customer_ID]],customers__2[#All],4,0)</f>
        <v>Corporate</v>
      </c>
      <c r="K101" t="str">
        <f>VLOOKUP(orders__17[[#This Row],[Product_ID]],products[#All],3,0)</f>
        <v>Technology</v>
      </c>
      <c r="L101" s="1" t="str">
        <f>VLOOKUP(orders__17[[#This Row],[Product_ID]],products[#All],4,0)</f>
        <v>Laptop</v>
      </c>
      <c r="M101" s="1" t="str">
        <f>VLOOKUP(orders__17[[#This Row],[Order_ID]],returns[#All],2,0)</f>
        <v>No</v>
      </c>
    </row>
    <row r="102" spans="1:13" x14ac:dyDescent="0.3">
      <c r="A102" s="1" t="s">
        <v>245</v>
      </c>
      <c r="B102" s="2">
        <v>45453</v>
      </c>
      <c r="C102" s="1" t="s">
        <v>246</v>
      </c>
      <c r="D102" s="1" t="s">
        <v>161</v>
      </c>
      <c r="E102">
        <v>4</v>
      </c>
      <c r="F102" s="4">
        <v>429.7</v>
      </c>
      <c r="G102" s="3">
        <v>0.1</v>
      </c>
      <c r="H102" s="4">
        <v>94.44</v>
      </c>
      <c r="I102" t="str">
        <f>VLOOKUP(orders__17[[#This Row],[Customer_ID]],customers__2[#All],3,0)</f>
        <v>West</v>
      </c>
      <c r="J102" t="str">
        <f>VLOOKUP(orders__17[[#This Row],[Customer_ID]],customers__2[#All],4,0)</f>
        <v>Home Office</v>
      </c>
      <c r="K102" t="str">
        <f>VLOOKUP(orders__17[[#This Row],[Product_ID]],products[#All],3,0)</f>
        <v>Office Supplies</v>
      </c>
      <c r="L102" s="1" t="str">
        <f>VLOOKUP(orders__17[[#This Row],[Product_ID]],products[#All],4,0)</f>
        <v>Binder</v>
      </c>
      <c r="M102" s="1" t="str">
        <f>VLOOKUP(orders__17[[#This Row],[Order_ID]],returns[#All],2,0)</f>
        <v>No</v>
      </c>
    </row>
    <row r="103" spans="1:13" x14ac:dyDescent="0.3">
      <c r="A103" s="1" t="s">
        <v>247</v>
      </c>
      <c r="B103" s="2">
        <v>44624</v>
      </c>
      <c r="C103" s="1" t="s">
        <v>248</v>
      </c>
      <c r="D103" s="1" t="s">
        <v>249</v>
      </c>
      <c r="E103">
        <v>1</v>
      </c>
      <c r="F103" s="4">
        <v>1420.41</v>
      </c>
      <c r="G103" s="3">
        <v>0</v>
      </c>
      <c r="H103" s="4">
        <v>295.22000000000003</v>
      </c>
      <c r="I103" t="str">
        <f>VLOOKUP(orders__17[[#This Row],[Customer_ID]],customers__2[#All],3,0)</f>
        <v>East</v>
      </c>
      <c r="J103" t="str">
        <f>VLOOKUP(orders__17[[#This Row],[Customer_ID]],customers__2[#All],4,0)</f>
        <v>Corporate</v>
      </c>
      <c r="K103" t="str">
        <f>VLOOKUP(orders__17[[#This Row],[Product_ID]],products[#All],3,0)</f>
        <v>Office Supplies</v>
      </c>
      <c r="L103" s="1" t="str">
        <f>VLOOKUP(orders__17[[#This Row],[Product_ID]],products[#All],4,0)</f>
        <v>Paper</v>
      </c>
      <c r="M103" s="1" t="str">
        <f>VLOOKUP(orders__17[[#This Row],[Order_ID]],returns[#All],2,0)</f>
        <v>No</v>
      </c>
    </row>
    <row r="104" spans="1:13" x14ac:dyDescent="0.3">
      <c r="A104" s="1" t="s">
        <v>250</v>
      </c>
      <c r="B104" s="2">
        <v>45089</v>
      </c>
      <c r="C104" s="1" t="s">
        <v>134</v>
      </c>
      <c r="D104" s="1" t="s">
        <v>130</v>
      </c>
      <c r="E104">
        <v>4</v>
      </c>
      <c r="F104" s="4">
        <v>757.59</v>
      </c>
      <c r="G104" s="3">
        <v>0.3</v>
      </c>
      <c r="H104" s="4">
        <v>89.12</v>
      </c>
      <c r="I104" t="str">
        <f>VLOOKUP(orders__17[[#This Row],[Customer_ID]],customers__2[#All],3,0)</f>
        <v>West</v>
      </c>
      <c r="J104" t="str">
        <f>VLOOKUP(orders__17[[#This Row],[Customer_ID]],customers__2[#All],4,0)</f>
        <v>Home Office</v>
      </c>
      <c r="K104" t="str">
        <f>VLOOKUP(orders__17[[#This Row],[Product_ID]],products[#All],3,0)</f>
        <v>Furniture</v>
      </c>
      <c r="L104" s="1" t="str">
        <f>VLOOKUP(orders__17[[#This Row],[Product_ID]],products[#All],4,0)</f>
        <v>Desk</v>
      </c>
      <c r="M104" s="1" t="str">
        <f>VLOOKUP(orders__17[[#This Row],[Order_ID]],returns[#All],2,0)</f>
        <v>No</v>
      </c>
    </row>
    <row r="105" spans="1:13" x14ac:dyDescent="0.3">
      <c r="A105" s="1" t="s">
        <v>251</v>
      </c>
      <c r="B105" s="2">
        <v>44588</v>
      </c>
      <c r="C105" s="1" t="s">
        <v>252</v>
      </c>
      <c r="D105" s="1" t="s">
        <v>253</v>
      </c>
      <c r="E105">
        <v>2</v>
      </c>
      <c r="F105" s="4">
        <v>1953.66</v>
      </c>
      <c r="G105" s="3">
        <v>0.3</v>
      </c>
      <c r="H105" s="4">
        <v>219.2</v>
      </c>
      <c r="I105" t="str">
        <f>VLOOKUP(orders__17[[#This Row],[Customer_ID]],customers__2[#All],3,0)</f>
        <v>North</v>
      </c>
      <c r="J105" t="str">
        <f>VLOOKUP(orders__17[[#This Row],[Customer_ID]],customers__2[#All],4,0)</f>
        <v>Home Office</v>
      </c>
      <c r="K105" t="str">
        <f>VLOOKUP(orders__17[[#This Row],[Product_ID]],products[#All],3,0)</f>
        <v>Technology</v>
      </c>
      <c r="L105" s="1" t="str">
        <f>VLOOKUP(orders__17[[#This Row],[Product_ID]],products[#All],4,0)</f>
        <v>Accessories</v>
      </c>
      <c r="M105" s="1" t="str">
        <f>VLOOKUP(orders__17[[#This Row],[Order_ID]],returns[#All],2,0)</f>
        <v>No</v>
      </c>
    </row>
    <row r="106" spans="1:13" x14ac:dyDescent="0.3">
      <c r="A106" s="1" t="s">
        <v>254</v>
      </c>
      <c r="B106" s="2">
        <v>44630</v>
      </c>
      <c r="C106" s="1" t="s">
        <v>192</v>
      </c>
      <c r="D106" s="1" t="s">
        <v>67</v>
      </c>
      <c r="E106">
        <v>1</v>
      </c>
      <c r="F106" s="4">
        <v>1317.85</v>
      </c>
      <c r="G106" s="3">
        <v>0</v>
      </c>
      <c r="H106" s="4">
        <v>376.27</v>
      </c>
      <c r="I106" t="str">
        <f>VLOOKUP(orders__17[[#This Row],[Customer_ID]],customers__2[#All],3,0)</f>
        <v>South</v>
      </c>
      <c r="J106" t="str">
        <f>VLOOKUP(orders__17[[#This Row],[Customer_ID]],customers__2[#All],4,0)</f>
        <v>Corporate</v>
      </c>
      <c r="K106" t="str">
        <f>VLOOKUP(orders__17[[#This Row],[Product_ID]],products[#All],3,0)</f>
        <v>Furniture</v>
      </c>
      <c r="L106" s="1" t="str">
        <f>VLOOKUP(orders__17[[#This Row],[Product_ID]],products[#All],4,0)</f>
        <v>Chair</v>
      </c>
      <c r="M106" s="1" t="str">
        <f>VLOOKUP(orders__17[[#This Row],[Order_ID]],returns[#All],2,0)</f>
        <v>No</v>
      </c>
    </row>
    <row r="107" spans="1:13" x14ac:dyDescent="0.3">
      <c r="A107" s="1" t="s">
        <v>255</v>
      </c>
      <c r="B107" s="2">
        <v>45163</v>
      </c>
      <c r="C107" s="1" t="s">
        <v>124</v>
      </c>
      <c r="D107" s="1" t="s">
        <v>256</v>
      </c>
      <c r="E107">
        <v>5</v>
      </c>
      <c r="F107" s="4">
        <v>1662.71</v>
      </c>
      <c r="G107" s="3">
        <v>0</v>
      </c>
      <c r="H107" s="4">
        <v>207.12</v>
      </c>
      <c r="I107" t="str">
        <f>VLOOKUP(orders__17[[#This Row],[Customer_ID]],customers__2[#All],3,0)</f>
        <v>North</v>
      </c>
      <c r="J107" t="str">
        <f>VLOOKUP(orders__17[[#This Row],[Customer_ID]],customers__2[#All],4,0)</f>
        <v>Consumer</v>
      </c>
      <c r="K107" t="str">
        <f>VLOOKUP(orders__17[[#This Row],[Product_ID]],products[#All],3,0)</f>
        <v>Office Supplies</v>
      </c>
      <c r="L107" s="1" t="str">
        <f>VLOOKUP(orders__17[[#This Row],[Product_ID]],products[#All],4,0)</f>
        <v>Pen</v>
      </c>
      <c r="M107" s="1" t="str">
        <f>VLOOKUP(orders__17[[#This Row],[Order_ID]],returns[#All],2,0)</f>
        <v>No</v>
      </c>
    </row>
    <row r="108" spans="1:13" x14ac:dyDescent="0.3">
      <c r="A108" s="1" t="s">
        <v>257</v>
      </c>
      <c r="B108" s="2">
        <v>45011</v>
      </c>
      <c r="C108" s="1" t="s">
        <v>27</v>
      </c>
      <c r="D108" s="1" t="s">
        <v>258</v>
      </c>
      <c r="E108">
        <v>3</v>
      </c>
      <c r="F108" s="4">
        <v>351.8</v>
      </c>
      <c r="G108" s="3">
        <v>0.1</v>
      </c>
      <c r="H108" s="4">
        <v>85.8</v>
      </c>
      <c r="I108" t="str">
        <f>VLOOKUP(orders__17[[#This Row],[Customer_ID]],customers__2[#All],3,0)</f>
        <v>North</v>
      </c>
      <c r="J108" t="str">
        <f>VLOOKUP(orders__17[[#This Row],[Customer_ID]],customers__2[#All],4,0)</f>
        <v>Consumer</v>
      </c>
      <c r="K108" t="str">
        <f>VLOOKUP(orders__17[[#This Row],[Product_ID]],products[#All],3,0)</f>
        <v>Technology</v>
      </c>
      <c r="L108" s="1" t="str">
        <f>VLOOKUP(orders__17[[#This Row],[Product_ID]],products[#All],4,0)</f>
        <v>Phone</v>
      </c>
      <c r="M108" s="1" t="str">
        <f>VLOOKUP(orders__17[[#This Row],[Order_ID]],returns[#All],2,0)</f>
        <v>No</v>
      </c>
    </row>
    <row r="109" spans="1:13" x14ac:dyDescent="0.3">
      <c r="A109" s="1" t="s">
        <v>259</v>
      </c>
      <c r="B109" s="2">
        <v>44635</v>
      </c>
      <c r="C109" s="1" t="s">
        <v>260</v>
      </c>
      <c r="D109" s="1" t="s">
        <v>161</v>
      </c>
      <c r="E109">
        <v>4</v>
      </c>
      <c r="F109" s="4">
        <v>1737.83</v>
      </c>
      <c r="G109" s="3">
        <v>0.3</v>
      </c>
      <c r="H109" s="4">
        <v>257.69</v>
      </c>
      <c r="I109" t="str">
        <f>VLOOKUP(orders__17[[#This Row],[Customer_ID]],customers__2[#All],3,0)</f>
        <v>East</v>
      </c>
      <c r="J109" t="str">
        <f>VLOOKUP(orders__17[[#This Row],[Customer_ID]],customers__2[#All],4,0)</f>
        <v>Consumer</v>
      </c>
      <c r="K109" t="str">
        <f>VLOOKUP(orders__17[[#This Row],[Product_ID]],products[#All],3,0)</f>
        <v>Office Supplies</v>
      </c>
      <c r="L109" s="1" t="str">
        <f>VLOOKUP(orders__17[[#This Row],[Product_ID]],products[#All],4,0)</f>
        <v>Binder</v>
      </c>
      <c r="M109" s="1" t="str">
        <f>VLOOKUP(orders__17[[#This Row],[Order_ID]],returns[#All],2,0)</f>
        <v>Yes</v>
      </c>
    </row>
    <row r="110" spans="1:13" x14ac:dyDescent="0.3">
      <c r="A110" s="1" t="s">
        <v>261</v>
      </c>
      <c r="B110" s="2">
        <v>45258</v>
      </c>
      <c r="C110" s="1" t="s">
        <v>262</v>
      </c>
      <c r="D110" s="1" t="s">
        <v>263</v>
      </c>
      <c r="E110">
        <v>3</v>
      </c>
      <c r="F110" s="4">
        <v>1853.24</v>
      </c>
      <c r="G110" s="3">
        <v>0</v>
      </c>
      <c r="H110" s="4">
        <v>157.18</v>
      </c>
      <c r="I110" t="str">
        <f>VLOOKUP(orders__17[[#This Row],[Customer_ID]],customers__2[#All],3,0)</f>
        <v>South</v>
      </c>
      <c r="J110" t="str">
        <f>VLOOKUP(orders__17[[#This Row],[Customer_ID]],customers__2[#All],4,0)</f>
        <v>Corporate</v>
      </c>
      <c r="K110" t="str">
        <f>VLOOKUP(orders__17[[#This Row],[Product_ID]],products[#All],3,0)</f>
        <v>Office Supplies</v>
      </c>
      <c r="L110" s="1" t="str">
        <f>VLOOKUP(orders__17[[#This Row],[Product_ID]],products[#All],4,0)</f>
        <v>Storage</v>
      </c>
      <c r="M110" s="1" t="str">
        <f>VLOOKUP(orders__17[[#This Row],[Order_ID]],returns[#All],2,0)</f>
        <v>No</v>
      </c>
    </row>
    <row r="111" spans="1:13" x14ac:dyDescent="0.3">
      <c r="A111" s="1" t="s">
        <v>264</v>
      </c>
      <c r="B111" s="2">
        <v>45153</v>
      </c>
      <c r="C111" s="1" t="s">
        <v>265</v>
      </c>
      <c r="D111" s="1" t="s">
        <v>16</v>
      </c>
      <c r="E111">
        <v>3</v>
      </c>
      <c r="F111" s="4">
        <v>1025.42</v>
      </c>
      <c r="G111" s="3">
        <v>0</v>
      </c>
      <c r="H111" s="4">
        <v>54.02</v>
      </c>
      <c r="I111" t="str">
        <f>VLOOKUP(orders__17[[#This Row],[Customer_ID]],customers__2[#All],3,0)</f>
        <v>East</v>
      </c>
      <c r="J111" t="str">
        <f>VLOOKUP(orders__17[[#This Row],[Customer_ID]],customers__2[#All],4,0)</f>
        <v>Consumer</v>
      </c>
      <c r="K111" t="str">
        <f>VLOOKUP(orders__17[[#This Row],[Product_ID]],products[#All],3,0)</f>
        <v>Technology</v>
      </c>
      <c r="L111" s="1" t="str">
        <f>VLOOKUP(orders__17[[#This Row],[Product_ID]],products[#All],4,0)</f>
        <v>Laptop</v>
      </c>
      <c r="M111" s="1" t="str">
        <f>VLOOKUP(orders__17[[#This Row],[Order_ID]],returns[#All],2,0)</f>
        <v>No</v>
      </c>
    </row>
    <row r="112" spans="1:13" x14ac:dyDescent="0.3">
      <c r="A112" s="1" t="s">
        <v>266</v>
      </c>
      <c r="B112" s="2">
        <v>44883</v>
      </c>
      <c r="C112" s="1" t="s">
        <v>36</v>
      </c>
      <c r="D112" s="1" t="s">
        <v>16</v>
      </c>
      <c r="E112">
        <v>1</v>
      </c>
      <c r="F112" s="4">
        <v>1251.8800000000001</v>
      </c>
      <c r="G112" s="3">
        <v>0.2</v>
      </c>
      <c r="H112" s="4">
        <v>232.93</v>
      </c>
      <c r="I112" t="str">
        <f>VLOOKUP(orders__17[[#This Row],[Customer_ID]],customers__2[#All],3,0)</f>
        <v>North</v>
      </c>
      <c r="J112" t="str">
        <f>VLOOKUP(orders__17[[#This Row],[Customer_ID]],customers__2[#All],4,0)</f>
        <v>Consumer</v>
      </c>
      <c r="K112" t="str">
        <f>VLOOKUP(orders__17[[#This Row],[Product_ID]],products[#All],3,0)</f>
        <v>Technology</v>
      </c>
      <c r="L112" s="1" t="str">
        <f>VLOOKUP(orders__17[[#This Row],[Product_ID]],products[#All],4,0)</f>
        <v>Laptop</v>
      </c>
      <c r="M112" s="1" t="str">
        <f>VLOOKUP(orders__17[[#This Row],[Order_ID]],returns[#All],2,0)</f>
        <v>No</v>
      </c>
    </row>
    <row r="113" spans="1:13" x14ac:dyDescent="0.3">
      <c r="A113" s="1" t="s">
        <v>267</v>
      </c>
      <c r="B113" s="2">
        <v>44946</v>
      </c>
      <c r="C113" s="1" t="s">
        <v>268</v>
      </c>
      <c r="D113" s="1" t="s">
        <v>269</v>
      </c>
      <c r="E113">
        <v>3</v>
      </c>
      <c r="F113" s="4">
        <v>1553.14</v>
      </c>
      <c r="G113" s="3">
        <v>0</v>
      </c>
      <c r="H113" s="4">
        <v>456.54</v>
      </c>
      <c r="I113" t="str">
        <f>VLOOKUP(orders__17[[#This Row],[Customer_ID]],customers__2[#All],3,0)</f>
        <v>East</v>
      </c>
      <c r="J113" t="str">
        <f>VLOOKUP(orders__17[[#This Row],[Customer_ID]],customers__2[#All],4,0)</f>
        <v>Consumer</v>
      </c>
      <c r="K113" t="str">
        <f>VLOOKUP(orders__17[[#This Row],[Product_ID]],products[#All],3,0)</f>
        <v>Office Supplies</v>
      </c>
      <c r="L113" s="1" t="str">
        <f>VLOOKUP(orders__17[[#This Row],[Product_ID]],products[#All],4,0)</f>
        <v>Pen</v>
      </c>
      <c r="M113" s="1" t="str">
        <f>VLOOKUP(orders__17[[#This Row],[Order_ID]],returns[#All],2,0)</f>
        <v>Yes</v>
      </c>
    </row>
    <row r="114" spans="1:13" x14ac:dyDescent="0.3">
      <c r="A114" s="1" t="s">
        <v>270</v>
      </c>
      <c r="B114" s="2">
        <v>45415</v>
      </c>
      <c r="C114" s="1" t="s">
        <v>271</v>
      </c>
      <c r="D114" s="1" t="s">
        <v>180</v>
      </c>
      <c r="E114">
        <v>5</v>
      </c>
      <c r="F114" s="4">
        <v>432.19</v>
      </c>
      <c r="G114" s="3">
        <v>0</v>
      </c>
      <c r="H114" s="4">
        <v>61.49</v>
      </c>
      <c r="I114" t="str">
        <f>VLOOKUP(orders__17[[#This Row],[Customer_ID]],customers__2[#All],3,0)</f>
        <v>East</v>
      </c>
      <c r="J114" t="str">
        <f>VLOOKUP(orders__17[[#This Row],[Customer_ID]],customers__2[#All],4,0)</f>
        <v>Corporate</v>
      </c>
      <c r="K114" t="str">
        <f>VLOOKUP(orders__17[[#This Row],[Product_ID]],products[#All],3,0)</f>
        <v>Furniture</v>
      </c>
      <c r="L114" s="1" t="str">
        <f>VLOOKUP(orders__17[[#This Row],[Product_ID]],products[#All],4,0)</f>
        <v>Chair</v>
      </c>
      <c r="M114" s="1" t="str">
        <f>VLOOKUP(orders__17[[#This Row],[Order_ID]],returns[#All],2,0)</f>
        <v>No</v>
      </c>
    </row>
    <row r="115" spans="1:13" x14ac:dyDescent="0.3">
      <c r="A115" s="1" t="s">
        <v>272</v>
      </c>
      <c r="B115" s="2">
        <v>44592</v>
      </c>
      <c r="C115" s="1" t="s">
        <v>273</v>
      </c>
      <c r="D115" s="1" t="s">
        <v>40</v>
      </c>
      <c r="E115">
        <v>3</v>
      </c>
      <c r="F115" s="4">
        <v>1054.8800000000001</v>
      </c>
      <c r="G115" s="3">
        <v>0.3</v>
      </c>
      <c r="H115" s="4">
        <v>146.94</v>
      </c>
      <c r="I115" t="str">
        <f>VLOOKUP(orders__17[[#This Row],[Customer_ID]],customers__2[#All],3,0)</f>
        <v>North</v>
      </c>
      <c r="J115" t="str">
        <f>VLOOKUP(orders__17[[#This Row],[Customer_ID]],customers__2[#All],4,0)</f>
        <v>Corporate</v>
      </c>
      <c r="K115" t="str">
        <f>VLOOKUP(orders__17[[#This Row],[Product_ID]],products[#All],3,0)</f>
        <v>Office Supplies</v>
      </c>
      <c r="L115" s="1" t="str">
        <f>VLOOKUP(orders__17[[#This Row],[Product_ID]],products[#All],4,0)</f>
        <v>Storage</v>
      </c>
      <c r="M115" s="1" t="str">
        <f>VLOOKUP(orders__17[[#This Row],[Order_ID]],returns[#All],2,0)</f>
        <v>No</v>
      </c>
    </row>
    <row r="116" spans="1:13" x14ac:dyDescent="0.3">
      <c r="A116" s="1" t="s">
        <v>274</v>
      </c>
      <c r="B116" s="2">
        <v>45039</v>
      </c>
      <c r="C116" s="1" t="s">
        <v>91</v>
      </c>
      <c r="D116" s="1" t="s">
        <v>275</v>
      </c>
      <c r="E116">
        <v>1</v>
      </c>
      <c r="F116" s="4">
        <v>857.46</v>
      </c>
      <c r="G116" s="3">
        <v>0.1</v>
      </c>
      <c r="H116" s="4">
        <v>116.63</v>
      </c>
      <c r="I116" t="str">
        <f>VLOOKUP(orders__17[[#This Row],[Customer_ID]],customers__2[#All],3,0)</f>
        <v>South</v>
      </c>
      <c r="J116" t="str">
        <f>VLOOKUP(orders__17[[#This Row],[Customer_ID]],customers__2[#All],4,0)</f>
        <v>Home Office</v>
      </c>
      <c r="K116" t="str">
        <f>VLOOKUP(orders__17[[#This Row],[Product_ID]],products[#All],3,0)</f>
        <v>Furniture</v>
      </c>
      <c r="L116" s="1" t="str">
        <f>VLOOKUP(orders__17[[#This Row],[Product_ID]],products[#All],4,0)</f>
        <v>Table</v>
      </c>
      <c r="M116" s="1" t="str">
        <f>VLOOKUP(orders__17[[#This Row],[Order_ID]],returns[#All],2,0)</f>
        <v>No</v>
      </c>
    </row>
    <row r="117" spans="1:13" x14ac:dyDescent="0.3">
      <c r="A117" s="1" t="s">
        <v>276</v>
      </c>
      <c r="B117" s="2">
        <v>44769</v>
      </c>
      <c r="C117" s="1" t="s">
        <v>277</v>
      </c>
      <c r="D117" s="1" t="s">
        <v>278</v>
      </c>
      <c r="E117">
        <v>5</v>
      </c>
      <c r="F117" s="4">
        <v>378.11</v>
      </c>
      <c r="G117" s="3">
        <v>0.3</v>
      </c>
      <c r="H117" s="4">
        <v>68.11</v>
      </c>
      <c r="I117" t="str">
        <f>VLOOKUP(orders__17[[#This Row],[Customer_ID]],customers__2[#All],3,0)</f>
        <v>North</v>
      </c>
      <c r="J117" t="str">
        <f>VLOOKUP(orders__17[[#This Row],[Customer_ID]],customers__2[#All],4,0)</f>
        <v>Corporate</v>
      </c>
      <c r="K117" t="str">
        <f>VLOOKUP(orders__17[[#This Row],[Product_ID]],products[#All],3,0)</f>
        <v>Office Supplies</v>
      </c>
      <c r="L117" s="1" t="str">
        <f>VLOOKUP(orders__17[[#This Row],[Product_ID]],products[#All],4,0)</f>
        <v>Pen</v>
      </c>
      <c r="M117" s="1" t="str">
        <f>VLOOKUP(orders__17[[#This Row],[Order_ID]],returns[#All],2,0)</f>
        <v>No</v>
      </c>
    </row>
    <row r="118" spans="1:13" x14ac:dyDescent="0.3">
      <c r="A118" s="1" t="s">
        <v>279</v>
      </c>
      <c r="B118" s="2">
        <v>45350</v>
      </c>
      <c r="C118" s="1" t="s">
        <v>280</v>
      </c>
      <c r="D118" s="1" t="s">
        <v>156</v>
      </c>
      <c r="E118">
        <v>2</v>
      </c>
      <c r="F118" s="4">
        <v>798.32</v>
      </c>
      <c r="G118" s="3">
        <v>0.1</v>
      </c>
      <c r="H118" s="4">
        <v>127.86</v>
      </c>
      <c r="I118" t="str">
        <f>VLOOKUP(orders__17[[#This Row],[Customer_ID]],customers__2[#All],3,0)</f>
        <v>East</v>
      </c>
      <c r="J118" t="str">
        <f>VLOOKUP(orders__17[[#This Row],[Customer_ID]],customers__2[#All],4,0)</f>
        <v>Corporate</v>
      </c>
      <c r="K118" t="str">
        <f>VLOOKUP(orders__17[[#This Row],[Product_ID]],products[#All],3,0)</f>
        <v>Furniture</v>
      </c>
      <c r="L118" s="1" t="str">
        <f>VLOOKUP(orders__17[[#This Row],[Product_ID]],products[#All],4,0)</f>
        <v>Desk</v>
      </c>
      <c r="M118" s="1" t="str">
        <f>VLOOKUP(orders__17[[#This Row],[Order_ID]],returns[#All],2,0)</f>
        <v>No</v>
      </c>
    </row>
    <row r="119" spans="1:13" x14ac:dyDescent="0.3">
      <c r="A119" s="1" t="s">
        <v>281</v>
      </c>
      <c r="B119" s="2">
        <v>45082</v>
      </c>
      <c r="C119" s="1" t="s">
        <v>282</v>
      </c>
      <c r="D119" s="1" t="s">
        <v>283</v>
      </c>
      <c r="E119">
        <v>3</v>
      </c>
      <c r="F119" s="4">
        <v>229.53</v>
      </c>
      <c r="G119" s="3">
        <v>0.2</v>
      </c>
      <c r="H119" s="4">
        <v>61.97</v>
      </c>
      <c r="I119" t="str">
        <f>VLOOKUP(orders__17[[#This Row],[Customer_ID]],customers__2[#All],3,0)</f>
        <v>South</v>
      </c>
      <c r="J119" t="str">
        <f>VLOOKUP(orders__17[[#This Row],[Customer_ID]],customers__2[#All],4,0)</f>
        <v>Home Office</v>
      </c>
      <c r="K119" t="str">
        <f>VLOOKUP(orders__17[[#This Row],[Product_ID]],products[#All],3,0)</f>
        <v>Furniture</v>
      </c>
      <c r="L119" s="1" t="str">
        <f>VLOOKUP(orders__17[[#This Row],[Product_ID]],products[#All],4,0)</f>
        <v>Chair</v>
      </c>
      <c r="M119" s="1" t="str">
        <f>VLOOKUP(orders__17[[#This Row],[Order_ID]],returns[#All],2,0)</f>
        <v>No</v>
      </c>
    </row>
    <row r="120" spans="1:13" x14ac:dyDescent="0.3">
      <c r="A120" s="1" t="s">
        <v>284</v>
      </c>
      <c r="B120" s="2">
        <v>44740</v>
      </c>
      <c r="C120" s="1" t="s">
        <v>285</v>
      </c>
      <c r="D120" s="1" t="s">
        <v>283</v>
      </c>
      <c r="E120">
        <v>1</v>
      </c>
      <c r="F120" s="4">
        <v>149.04</v>
      </c>
      <c r="G120" s="3">
        <v>0</v>
      </c>
      <c r="H120" s="4">
        <v>26.29</v>
      </c>
      <c r="I120" t="str">
        <f>VLOOKUP(orders__17[[#This Row],[Customer_ID]],customers__2[#All],3,0)</f>
        <v>South</v>
      </c>
      <c r="J120" t="str">
        <f>VLOOKUP(orders__17[[#This Row],[Customer_ID]],customers__2[#All],4,0)</f>
        <v>Corporate</v>
      </c>
      <c r="K120" t="str">
        <f>VLOOKUP(orders__17[[#This Row],[Product_ID]],products[#All],3,0)</f>
        <v>Furniture</v>
      </c>
      <c r="L120" s="1" t="str">
        <f>VLOOKUP(orders__17[[#This Row],[Product_ID]],products[#All],4,0)</f>
        <v>Chair</v>
      </c>
      <c r="M120" s="1" t="str">
        <f>VLOOKUP(orders__17[[#This Row],[Order_ID]],returns[#All],2,0)</f>
        <v>No</v>
      </c>
    </row>
    <row r="121" spans="1:13" x14ac:dyDescent="0.3">
      <c r="A121" s="1" t="s">
        <v>286</v>
      </c>
      <c r="B121" s="2">
        <v>44678</v>
      </c>
      <c r="C121" s="1" t="s">
        <v>287</v>
      </c>
      <c r="D121" s="1" t="s">
        <v>288</v>
      </c>
      <c r="E121">
        <v>2</v>
      </c>
      <c r="F121" s="4">
        <v>356.82</v>
      </c>
      <c r="G121" s="3">
        <v>0.2</v>
      </c>
      <c r="H121" s="4">
        <v>63.14</v>
      </c>
      <c r="I121" t="str">
        <f>VLOOKUP(orders__17[[#This Row],[Customer_ID]],customers__2[#All],3,0)</f>
        <v>South</v>
      </c>
      <c r="J121" t="str">
        <f>VLOOKUP(orders__17[[#This Row],[Customer_ID]],customers__2[#All],4,0)</f>
        <v>Consumer</v>
      </c>
      <c r="K121" t="str">
        <f>VLOOKUP(orders__17[[#This Row],[Product_ID]],products[#All],3,0)</f>
        <v>Furniture</v>
      </c>
      <c r="L121" s="1" t="str">
        <f>VLOOKUP(orders__17[[#This Row],[Product_ID]],products[#All],4,0)</f>
        <v>Chair</v>
      </c>
      <c r="M121" s="1" t="str">
        <f>VLOOKUP(orders__17[[#This Row],[Order_ID]],returns[#All],2,0)</f>
        <v>No</v>
      </c>
    </row>
    <row r="122" spans="1:13" x14ac:dyDescent="0.3">
      <c r="A122" s="1" t="s">
        <v>289</v>
      </c>
      <c r="B122" s="2">
        <v>45206</v>
      </c>
      <c r="C122" s="1" t="s">
        <v>290</v>
      </c>
      <c r="D122" s="1" t="s">
        <v>147</v>
      </c>
      <c r="E122">
        <v>2</v>
      </c>
      <c r="F122" s="4">
        <v>1929.92</v>
      </c>
      <c r="G122" s="3">
        <v>0.1</v>
      </c>
      <c r="H122" s="4">
        <v>163.26</v>
      </c>
      <c r="I122" t="str">
        <f>VLOOKUP(orders__17[[#This Row],[Customer_ID]],customers__2[#All],3,0)</f>
        <v>East</v>
      </c>
      <c r="J122" t="str">
        <f>VLOOKUP(orders__17[[#This Row],[Customer_ID]],customers__2[#All],4,0)</f>
        <v>Home Office</v>
      </c>
      <c r="K122" t="str">
        <f>VLOOKUP(orders__17[[#This Row],[Product_ID]],products[#All],3,0)</f>
        <v>Technology</v>
      </c>
      <c r="L122" s="1" t="str">
        <f>VLOOKUP(orders__17[[#This Row],[Product_ID]],products[#All],4,0)</f>
        <v>Laptop</v>
      </c>
      <c r="M122" s="1" t="str">
        <f>VLOOKUP(orders__17[[#This Row],[Order_ID]],returns[#All],2,0)</f>
        <v>No</v>
      </c>
    </row>
    <row r="123" spans="1:13" x14ac:dyDescent="0.3">
      <c r="A123" s="1" t="s">
        <v>291</v>
      </c>
      <c r="B123" s="2">
        <v>45301</v>
      </c>
      <c r="C123" s="1" t="s">
        <v>292</v>
      </c>
      <c r="D123" s="1" t="s">
        <v>221</v>
      </c>
      <c r="E123">
        <v>4</v>
      </c>
      <c r="F123" s="4">
        <v>1144.1099999999999</v>
      </c>
      <c r="G123" s="3">
        <v>0.3</v>
      </c>
      <c r="H123" s="4">
        <v>338.3</v>
      </c>
      <c r="I123" t="str">
        <f>VLOOKUP(orders__17[[#This Row],[Customer_ID]],customers__2[#All],3,0)</f>
        <v>North</v>
      </c>
      <c r="J123" t="str">
        <f>VLOOKUP(orders__17[[#This Row],[Customer_ID]],customers__2[#All],4,0)</f>
        <v>Consumer</v>
      </c>
      <c r="K123" t="str">
        <f>VLOOKUP(orders__17[[#This Row],[Product_ID]],products[#All],3,0)</f>
        <v>Technology</v>
      </c>
      <c r="L123" s="1" t="str">
        <f>VLOOKUP(orders__17[[#This Row],[Product_ID]],products[#All],4,0)</f>
        <v>Laptop</v>
      </c>
      <c r="M123" s="1" t="str">
        <f>VLOOKUP(orders__17[[#This Row],[Order_ID]],returns[#All],2,0)</f>
        <v>No</v>
      </c>
    </row>
    <row r="124" spans="1:13" x14ac:dyDescent="0.3">
      <c r="A124" s="1" t="s">
        <v>293</v>
      </c>
      <c r="B124" s="2">
        <v>44911</v>
      </c>
      <c r="C124" s="1" t="s">
        <v>169</v>
      </c>
      <c r="D124" s="1" t="s">
        <v>294</v>
      </c>
      <c r="E124">
        <v>5</v>
      </c>
      <c r="F124" s="4">
        <v>1935.06</v>
      </c>
      <c r="G124" s="3">
        <v>0.3</v>
      </c>
      <c r="H124" s="4">
        <v>217.68</v>
      </c>
      <c r="I124" t="str">
        <f>VLOOKUP(orders__17[[#This Row],[Customer_ID]],customers__2[#All],3,0)</f>
        <v>East</v>
      </c>
      <c r="J124" t="str">
        <f>VLOOKUP(orders__17[[#This Row],[Customer_ID]],customers__2[#All],4,0)</f>
        <v>Home Office</v>
      </c>
      <c r="K124" t="str">
        <f>VLOOKUP(orders__17[[#This Row],[Product_ID]],products[#All],3,0)</f>
        <v>Technology</v>
      </c>
      <c r="L124" s="1" t="str">
        <f>VLOOKUP(orders__17[[#This Row],[Product_ID]],products[#All],4,0)</f>
        <v>Tablet</v>
      </c>
      <c r="M124" s="1" t="str">
        <f>VLOOKUP(orders__17[[#This Row],[Order_ID]],returns[#All],2,0)</f>
        <v>No</v>
      </c>
    </row>
    <row r="125" spans="1:13" x14ac:dyDescent="0.3">
      <c r="A125" s="1" t="s">
        <v>295</v>
      </c>
      <c r="B125" s="2">
        <v>45222</v>
      </c>
      <c r="C125" s="1" t="s">
        <v>172</v>
      </c>
      <c r="D125" s="1" t="s">
        <v>296</v>
      </c>
      <c r="E125">
        <v>3</v>
      </c>
      <c r="F125" s="4">
        <v>921.75</v>
      </c>
      <c r="G125" s="3">
        <v>0.2</v>
      </c>
      <c r="H125" s="4">
        <v>62.99</v>
      </c>
      <c r="I125" t="str">
        <f>VLOOKUP(orders__17[[#This Row],[Customer_ID]],customers__2[#All],3,0)</f>
        <v>East</v>
      </c>
      <c r="J125" t="str">
        <f>VLOOKUP(orders__17[[#This Row],[Customer_ID]],customers__2[#All],4,0)</f>
        <v>Home Office</v>
      </c>
      <c r="K125" t="str">
        <f>VLOOKUP(orders__17[[#This Row],[Product_ID]],products[#All],3,0)</f>
        <v>Technology</v>
      </c>
      <c r="L125" s="1" t="str">
        <f>VLOOKUP(orders__17[[#This Row],[Product_ID]],products[#All],4,0)</f>
        <v>Accessories</v>
      </c>
      <c r="M125" s="1" t="str">
        <f>VLOOKUP(orders__17[[#This Row],[Order_ID]],returns[#All],2,0)</f>
        <v>No</v>
      </c>
    </row>
    <row r="126" spans="1:13" x14ac:dyDescent="0.3">
      <c r="A126" s="1" t="s">
        <v>297</v>
      </c>
      <c r="B126" s="2">
        <v>45459</v>
      </c>
      <c r="C126" s="1" t="s">
        <v>118</v>
      </c>
      <c r="D126" s="1" t="s">
        <v>209</v>
      </c>
      <c r="E126">
        <v>1</v>
      </c>
      <c r="F126" s="4">
        <v>692.45</v>
      </c>
      <c r="G126" s="3">
        <v>0.1</v>
      </c>
      <c r="H126" s="4">
        <v>149.41999999999999</v>
      </c>
      <c r="I126" t="str">
        <f>VLOOKUP(orders__17[[#This Row],[Customer_ID]],customers__2[#All],3,0)</f>
        <v>North</v>
      </c>
      <c r="J126" t="str">
        <f>VLOOKUP(orders__17[[#This Row],[Customer_ID]],customers__2[#All],4,0)</f>
        <v>Consumer</v>
      </c>
      <c r="K126" t="str">
        <f>VLOOKUP(orders__17[[#This Row],[Product_ID]],products[#All],3,0)</f>
        <v>Office Supplies</v>
      </c>
      <c r="L126" s="1" t="str">
        <f>VLOOKUP(orders__17[[#This Row],[Product_ID]],products[#All],4,0)</f>
        <v>Paper</v>
      </c>
      <c r="M126" s="1" t="str">
        <f>VLOOKUP(orders__17[[#This Row],[Order_ID]],returns[#All],2,0)</f>
        <v>No</v>
      </c>
    </row>
    <row r="127" spans="1:13" x14ac:dyDescent="0.3">
      <c r="A127" s="1" t="s">
        <v>298</v>
      </c>
      <c r="B127" s="2">
        <v>45289</v>
      </c>
      <c r="C127" s="1" t="s">
        <v>220</v>
      </c>
      <c r="D127" s="1" t="s">
        <v>239</v>
      </c>
      <c r="E127">
        <v>4</v>
      </c>
      <c r="F127" s="4">
        <v>1061.67</v>
      </c>
      <c r="G127" s="3">
        <v>0.2</v>
      </c>
      <c r="H127" s="4">
        <v>211.1</v>
      </c>
      <c r="I127" t="str">
        <f>VLOOKUP(orders__17[[#This Row],[Customer_ID]],customers__2[#All],3,0)</f>
        <v>West</v>
      </c>
      <c r="J127" t="str">
        <f>VLOOKUP(orders__17[[#This Row],[Customer_ID]],customers__2[#All],4,0)</f>
        <v>Corporate</v>
      </c>
      <c r="K127" t="str">
        <f>VLOOKUP(orders__17[[#This Row],[Product_ID]],products[#All],3,0)</f>
        <v>Furniture</v>
      </c>
      <c r="L127" s="1" t="str">
        <f>VLOOKUP(orders__17[[#This Row],[Product_ID]],products[#All],4,0)</f>
        <v>Shelf</v>
      </c>
      <c r="M127" s="1" t="str">
        <f>VLOOKUP(orders__17[[#This Row],[Order_ID]],returns[#All],2,0)</f>
        <v>No</v>
      </c>
    </row>
    <row r="128" spans="1:13" x14ac:dyDescent="0.3">
      <c r="A128" s="1" t="s">
        <v>299</v>
      </c>
      <c r="B128" s="2">
        <v>44690</v>
      </c>
      <c r="C128" s="1" t="s">
        <v>300</v>
      </c>
      <c r="D128" s="1" t="s">
        <v>301</v>
      </c>
      <c r="E128">
        <v>5</v>
      </c>
      <c r="F128" s="4">
        <v>935.07</v>
      </c>
      <c r="G128" s="3">
        <v>0.2</v>
      </c>
      <c r="H128" s="4">
        <v>143.80000000000001</v>
      </c>
      <c r="I128" t="str">
        <f>VLOOKUP(orders__17[[#This Row],[Customer_ID]],customers__2[#All],3,0)</f>
        <v>East</v>
      </c>
      <c r="J128" t="str">
        <f>VLOOKUP(orders__17[[#This Row],[Customer_ID]],customers__2[#All],4,0)</f>
        <v>Home Office</v>
      </c>
      <c r="K128" t="str">
        <f>VLOOKUP(orders__17[[#This Row],[Product_ID]],products[#All],3,0)</f>
        <v>Furniture</v>
      </c>
      <c r="L128" s="1" t="str">
        <f>VLOOKUP(orders__17[[#This Row],[Product_ID]],products[#All],4,0)</f>
        <v>Table</v>
      </c>
      <c r="M128" s="1" t="str">
        <f>VLOOKUP(orders__17[[#This Row],[Order_ID]],returns[#All],2,0)</f>
        <v>No</v>
      </c>
    </row>
    <row r="129" spans="1:13" x14ac:dyDescent="0.3">
      <c r="A129" s="1" t="s">
        <v>302</v>
      </c>
      <c r="B129" s="2">
        <v>45426</v>
      </c>
      <c r="C129" s="1" t="s">
        <v>238</v>
      </c>
      <c r="D129" s="1" t="s">
        <v>209</v>
      </c>
      <c r="E129">
        <v>4</v>
      </c>
      <c r="F129" s="4">
        <v>300.76</v>
      </c>
      <c r="G129" s="3">
        <v>0</v>
      </c>
      <c r="H129" s="4">
        <v>46.78</v>
      </c>
      <c r="I129" t="str">
        <f>VLOOKUP(orders__17[[#This Row],[Customer_ID]],customers__2[#All],3,0)</f>
        <v>West</v>
      </c>
      <c r="J129" t="str">
        <f>VLOOKUP(orders__17[[#This Row],[Customer_ID]],customers__2[#All],4,0)</f>
        <v>Corporate</v>
      </c>
      <c r="K129" t="str">
        <f>VLOOKUP(orders__17[[#This Row],[Product_ID]],products[#All],3,0)</f>
        <v>Office Supplies</v>
      </c>
      <c r="L129" s="1" t="str">
        <f>VLOOKUP(orders__17[[#This Row],[Product_ID]],products[#All],4,0)</f>
        <v>Paper</v>
      </c>
      <c r="M129" s="1" t="str">
        <f>VLOOKUP(orders__17[[#This Row],[Order_ID]],returns[#All],2,0)</f>
        <v>No</v>
      </c>
    </row>
    <row r="130" spans="1:13" x14ac:dyDescent="0.3">
      <c r="A130" s="1" t="s">
        <v>303</v>
      </c>
      <c r="B130" s="2">
        <v>44982</v>
      </c>
      <c r="C130" s="1" t="s">
        <v>33</v>
      </c>
      <c r="D130" s="1" t="s">
        <v>304</v>
      </c>
      <c r="E130">
        <v>5</v>
      </c>
      <c r="F130" s="4">
        <v>1317.57</v>
      </c>
      <c r="G130" s="3">
        <v>0.2</v>
      </c>
      <c r="H130" s="4">
        <v>324.47000000000003</v>
      </c>
      <c r="I130" t="str">
        <f>VLOOKUP(orders__17[[#This Row],[Customer_ID]],customers__2[#All],3,0)</f>
        <v>East</v>
      </c>
      <c r="J130" t="str">
        <f>VLOOKUP(orders__17[[#This Row],[Customer_ID]],customers__2[#All],4,0)</f>
        <v>Home Office</v>
      </c>
      <c r="K130" t="str">
        <f>VLOOKUP(orders__17[[#This Row],[Product_ID]],products[#All],3,0)</f>
        <v>Technology</v>
      </c>
      <c r="L130" s="1" t="str">
        <f>VLOOKUP(orders__17[[#This Row],[Product_ID]],products[#All],4,0)</f>
        <v>Accessories</v>
      </c>
      <c r="M130" s="1" t="str">
        <f>VLOOKUP(orders__17[[#This Row],[Order_ID]],returns[#All],2,0)</f>
        <v>No</v>
      </c>
    </row>
    <row r="131" spans="1:13" x14ac:dyDescent="0.3">
      <c r="A131" s="1" t="s">
        <v>305</v>
      </c>
      <c r="B131" s="2">
        <v>45260</v>
      </c>
      <c r="C131" s="1" t="s">
        <v>306</v>
      </c>
      <c r="D131" s="1" t="s">
        <v>75</v>
      </c>
      <c r="E131">
        <v>5</v>
      </c>
      <c r="F131" s="4">
        <v>510.47</v>
      </c>
      <c r="G131" s="3">
        <v>0</v>
      </c>
      <c r="H131" s="4">
        <v>50.5</v>
      </c>
      <c r="I131" t="str">
        <f>VLOOKUP(orders__17[[#This Row],[Customer_ID]],customers__2[#All],3,0)</f>
        <v>North</v>
      </c>
      <c r="J131" t="str">
        <f>VLOOKUP(orders__17[[#This Row],[Customer_ID]],customers__2[#All],4,0)</f>
        <v>Consumer</v>
      </c>
      <c r="K131" t="str">
        <f>VLOOKUP(orders__17[[#This Row],[Product_ID]],products[#All],3,0)</f>
        <v>Technology</v>
      </c>
      <c r="L131" s="1" t="str">
        <f>VLOOKUP(orders__17[[#This Row],[Product_ID]],products[#All],4,0)</f>
        <v>Tablet</v>
      </c>
      <c r="M131" s="1" t="str">
        <f>VLOOKUP(orders__17[[#This Row],[Order_ID]],returns[#All],2,0)</f>
        <v>No</v>
      </c>
    </row>
    <row r="132" spans="1:13" x14ac:dyDescent="0.3">
      <c r="A132" s="1" t="s">
        <v>307</v>
      </c>
      <c r="B132" s="2">
        <v>44918</v>
      </c>
      <c r="C132" s="1" t="s">
        <v>308</v>
      </c>
      <c r="D132" s="1" t="s">
        <v>309</v>
      </c>
      <c r="E132">
        <v>3</v>
      </c>
      <c r="F132" s="4">
        <v>1277.22</v>
      </c>
      <c r="G132" s="3">
        <v>0</v>
      </c>
      <c r="H132" s="4">
        <v>325.77</v>
      </c>
      <c r="I132" t="str">
        <f>VLOOKUP(orders__17[[#This Row],[Customer_ID]],customers__2[#All],3,0)</f>
        <v>North</v>
      </c>
      <c r="J132" t="str">
        <f>VLOOKUP(orders__17[[#This Row],[Customer_ID]],customers__2[#All],4,0)</f>
        <v>Home Office</v>
      </c>
      <c r="K132" t="str">
        <f>VLOOKUP(orders__17[[#This Row],[Product_ID]],products[#All],3,0)</f>
        <v>Office Supplies</v>
      </c>
      <c r="L132" s="1" t="str">
        <f>VLOOKUP(orders__17[[#This Row],[Product_ID]],products[#All],4,0)</f>
        <v>Pen</v>
      </c>
      <c r="M132" s="1" t="str">
        <f>VLOOKUP(orders__17[[#This Row],[Order_ID]],returns[#All],2,0)</f>
        <v>No</v>
      </c>
    </row>
    <row r="133" spans="1:13" x14ac:dyDescent="0.3">
      <c r="A133" s="1" t="s">
        <v>310</v>
      </c>
      <c r="B133" s="2">
        <v>45389</v>
      </c>
      <c r="C133" s="1" t="s">
        <v>121</v>
      </c>
      <c r="D133" s="1" t="s">
        <v>119</v>
      </c>
      <c r="E133">
        <v>5</v>
      </c>
      <c r="F133" s="4">
        <v>1335.38</v>
      </c>
      <c r="G133" s="3">
        <v>0.3</v>
      </c>
      <c r="H133" s="4">
        <v>283.35000000000002</v>
      </c>
      <c r="I133" t="str">
        <f>VLOOKUP(orders__17[[#This Row],[Customer_ID]],customers__2[#All],3,0)</f>
        <v>East</v>
      </c>
      <c r="J133" t="str">
        <f>VLOOKUP(orders__17[[#This Row],[Customer_ID]],customers__2[#All],4,0)</f>
        <v>Corporate</v>
      </c>
      <c r="K133" t="str">
        <f>VLOOKUP(orders__17[[#This Row],[Product_ID]],products[#All],3,0)</f>
        <v>Technology</v>
      </c>
      <c r="L133" s="1" t="str">
        <f>VLOOKUP(orders__17[[#This Row],[Product_ID]],products[#All],4,0)</f>
        <v>Tablet</v>
      </c>
      <c r="M133" s="1" t="str">
        <f>VLOOKUP(orders__17[[#This Row],[Order_ID]],returns[#All],2,0)</f>
        <v>No</v>
      </c>
    </row>
    <row r="134" spans="1:13" x14ac:dyDescent="0.3">
      <c r="A134" s="1" t="s">
        <v>311</v>
      </c>
      <c r="B134" s="2">
        <v>45293</v>
      </c>
      <c r="C134" s="1" t="s">
        <v>277</v>
      </c>
      <c r="D134" s="1" t="s">
        <v>75</v>
      </c>
      <c r="E134">
        <v>4</v>
      </c>
      <c r="F134" s="4">
        <v>388.85</v>
      </c>
      <c r="G134" s="3">
        <v>0</v>
      </c>
      <c r="H134" s="4">
        <v>60.17</v>
      </c>
      <c r="I134" t="str">
        <f>VLOOKUP(orders__17[[#This Row],[Customer_ID]],customers__2[#All],3,0)</f>
        <v>North</v>
      </c>
      <c r="J134" t="str">
        <f>VLOOKUP(orders__17[[#This Row],[Customer_ID]],customers__2[#All],4,0)</f>
        <v>Corporate</v>
      </c>
      <c r="K134" t="str">
        <f>VLOOKUP(orders__17[[#This Row],[Product_ID]],products[#All],3,0)</f>
        <v>Technology</v>
      </c>
      <c r="L134" s="1" t="str">
        <f>VLOOKUP(orders__17[[#This Row],[Product_ID]],products[#All],4,0)</f>
        <v>Tablet</v>
      </c>
      <c r="M134" s="1" t="str">
        <f>VLOOKUP(orders__17[[#This Row],[Order_ID]],returns[#All],2,0)</f>
        <v>Yes</v>
      </c>
    </row>
    <row r="135" spans="1:13" x14ac:dyDescent="0.3">
      <c r="A135" s="1" t="s">
        <v>312</v>
      </c>
      <c r="B135" s="2">
        <v>44953</v>
      </c>
      <c r="C135" s="1" t="s">
        <v>313</v>
      </c>
      <c r="D135" s="1" t="s">
        <v>314</v>
      </c>
      <c r="E135">
        <v>5</v>
      </c>
      <c r="F135" s="4">
        <v>216.56</v>
      </c>
      <c r="G135" s="3">
        <v>0</v>
      </c>
      <c r="H135" s="4">
        <v>35.630000000000003</v>
      </c>
      <c r="I135" t="str">
        <f>VLOOKUP(orders__17[[#This Row],[Customer_ID]],customers__2[#All],3,0)</f>
        <v>West</v>
      </c>
      <c r="J135" t="str">
        <f>VLOOKUP(orders__17[[#This Row],[Customer_ID]],customers__2[#All],4,0)</f>
        <v>Home Office</v>
      </c>
      <c r="K135" t="str">
        <f>VLOOKUP(orders__17[[#This Row],[Product_ID]],products[#All],3,0)</f>
        <v>Office Supplies</v>
      </c>
      <c r="L135" s="1" t="str">
        <f>VLOOKUP(orders__17[[#This Row],[Product_ID]],products[#All],4,0)</f>
        <v>Paper</v>
      </c>
      <c r="M135" s="1" t="str">
        <f>VLOOKUP(orders__17[[#This Row],[Order_ID]],returns[#All],2,0)</f>
        <v>No</v>
      </c>
    </row>
    <row r="136" spans="1:13" x14ac:dyDescent="0.3">
      <c r="A136" s="1" t="s">
        <v>315</v>
      </c>
      <c r="B136" s="2">
        <v>44956</v>
      </c>
      <c r="C136" s="1" t="s">
        <v>316</v>
      </c>
      <c r="D136" s="1" t="s">
        <v>48</v>
      </c>
      <c r="E136">
        <v>3</v>
      </c>
      <c r="F136" s="4">
        <v>1583.45</v>
      </c>
      <c r="G136" s="3">
        <v>0.3</v>
      </c>
      <c r="H136" s="4">
        <v>180.77</v>
      </c>
      <c r="I136" t="str">
        <f>VLOOKUP(orders__17[[#This Row],[Customer_ID]],customers__2[#All],3,0)</f>
        <v>South</v>
      </c>
      <c r="J136" t="str">
        <f>VLOOKUP(orders__17[[#This Row],[Customer_ID]],customers__2[#All],4,0)</f>
        <v>Home Office</v>
      </c>
      <c r="K136" t="str">
        <f>VLOOKUP(orders__17[[#This Row],[Product_ID]],products[#All],3,0)</f>
        <v>Office Supplies</v>
      </c>
      <c r="L136" s="1" t="str">
        <f>VLOOKUP(orders__17[[#This Row],[Product_ID]],products[#All],4,0)</f>
        <v>Pen</v>
      </c>
      <c r="M136" s="1" t="str">
        <f>VLOOKUP(orders__17[[#This Row],[Order_ID]],returns[#All],2,0)</f>
        <v>No</v>
      </c>
    </row>
    <row r="137" spans="1:13" x14ac:dyDescent="0.3">
      <c r="A137" s="1" t="s">
        <v>317</v>
      </c>
      <c r="B137" s="2">
        <v>45397</v>
      </c>
      <c r="C137" s="1" t="s">
        <v>287</v>
      </c>
      <c r="D137" s="1" t="s">
        <v>116</v>
      </c>
      <c r="E137">
        <v>3</v>
      </c>
      <c r="F137" s="4">
        <v>973.62</v>
      </c>
      <c r="G137" s="3">
        <v>0.2</v>
      </c>
      <c r="H137" s="4">
        <v>231.75</v>
      </c>
      <c r="I137" t="str">
        <f>VLOOKUP(orders__17[[#This Row],[Customer_ID]],customers__2[#All],3,0)</f>
        <v>South</v>
      </c>
      <c r="J137" t="str">
        <f>VLOOKUP(orders__17[[#This Row],[Customer_ID]],customers__2[#All],4,0)</f>
        <v>Consumer</v>
      </c>
      <c r="K137" t="str">
        <f>VLOOKUP(orders__17[[#This Row],[Product_ID]],products[#All],3,0)</f>
        <v>Furniture</v>
      </c>
      <c r="L137" s="1" t="str">
        <f>VLOOKUP(orders__17[[#This Row],[Product_ID]],products[#All],4,0)</f>
        <v>Shelf</v>
      </c>
      <c r="M137" s="1" t="str">
        <f>VLOOKUP(orders__17[[#This Row],[Order_ID]],returns[#All],2,0)</f>
        <v>No</v>
      </c>
    </row>
    <row r="138" spans="1:13" x14ac:dyDescent="0.3">
      <c r="A138" s="1" t="s">
        <v>318</v>
      </c>
      <c r="B138" s="2">
        <v>44724</v>
      </c>
      <c r="C138" s="1" t="s">
        <v>319</v>
      </c>
      <c r="D138" s="1" t="s">
        <v>67</v>
      </c>
      <c r="E138">
        <v>4</v>
      </c>
      <c r="F138" s="4">
        <v>210.51</v>
      </c>
      <c r="G138" s="3">
        <v>0.1</v>
      </c>
      <c r="H138" s="4">
        <v>37.520000000000003</v>
      </c>
      <c r="I138" t="str">
        <f>VLOOKUP(orders__17[[#This Row],[Customer_ID]],customers__2[#All],3,0)</f>
        <v>East</v>
      </c>
      <c r="J138" t="str">
        <f>VLOOKUP(orders__17[[#This Row],[Customer_ID]],customers__2[#All],4,0)</f>
        <v>Consumer</v>
      </c>
      <c r="K138" t="str">
        <f>VLOOKUP(orders__17[[#This Row],[Product_ID]],products[#All],3,0)</f>
        <v>Furniture</v>
      </c>
      <c r="L138" s="1" t="str">
        <f>VLOOKUP(orders__17[[#This Row],[Product_ID]],products[#All],4,0)</f>
        <v>Chair</v>
      </c>
      <c r="M138" s="1" t="str">
        <f>VLOOKUP(orders__17[[#This Row],[Order_ID]],returns[#All],2,0)</f>
        <v>No</v>
      </c>
    </row>
    <row r="139" spans="1:13" x14ac:dyDescent="0.3">
      <c r="A139" s="1" t="s">
        <v>320</v>
      </c>
      <c r="B139" s="2">
        <v>45051</v>
      </c>
      <c r="C139" s="1" t="s">
        <v>321</v>
      </c>
      <c r="D139" s="1" t="s">
        <v>141</v>
      </c>
      <c r="E139">
        <v>2</v>
      </c>
      <c r="F139" s="4">
        <v>1990.25</v>
      </c>
      <c r="G139" s="3">
        <v>0.1</v>
      </c>
      <c r="H139" s="4">
        <v>259.16000000000003</v>
      </c>
      <c r="I139" t="str">
        <f>VLOOKUP(orders__17[[#This Row],[Customer_ID]],customers__2[#All],3,0)</f>
        <v>South</v>
      </c>
      <c r="J139" t="str">
        <f>VLOOKUP(orders__17[[#This Row],[Customer_ID]],customers__2[#All],4,0)</f>
        <v>Corporate</v>
      </c>
      <c r="K139" t="str">
        <f>VLOOKUP(orders__17[[#This Row],[Product_ID]],products[#All],3,0)</f>
        <v>Technology</v>
      </c>
      <c r="L139" s="1" t="str">
        <f>VLOOKUP(orders__17[[#This Row],[Product_ID]],products[#All],4,0)</f>
        <v>Phone</v>
      </c>
      <c r="M139" s="1" t="str">
        <f>VLOOKUP(orders__17[[#This Row],[Order_ID]],returns[#All],2,0)</f>
        <v>No</v>
      </c>
    </row>
    <row r="140" spans="1:13" x14ac:dyDescent="0.3">
      <c r="A140" s="1" t="s">
        <v>322</v>
      </c>
      <c r="B140" s="2">
        <v>45430</v>
      </c>
      <c r="C140" s="1" t="s">
        <v>47</v>
      </c>
      <c r="D140" s="1" t="s">
        <v>323</v>
      </c>
      <c r="E140">
        <v>2</v>
      </c>
      <c r="F140" s="4">
        <v>209.78</v>
      </c>
      <c r="G140" s="3">
        <v>0.1</v>
      </c>
      <c r="H140" s="4">
        <v>41.75</v>
      </c>
      <c r="I140" t="str">
        <f>VLOOKUP(orders__17[[#This Row],[Customer_ID]],customers__2[#All],3,0)</f>
        <v>West</v>
      </c>
      <c r="J140" t="str">
        <f>VLOOKUP(orders__17[[#This Row],[Customer_ID]],customers__2[#All],4,0)</f>
        <v>Consumer</v>
      </c>
      <c r="K140" t="str">
        <f>VLOOKUP(orders__17[[#This Row],[Product_ID]],products[#All],3,0)</f>
        <v>Technology</v>
      </c>
      <c r="L140" s="1" t="str">
        <f>VLOOKUP(orders__17[[#This Row],[Product_ID]],products[#All],4,0)</f>
        <v>Tablet</v>
      </c>
      <c r="M140" s="1" t="str">
        <f>VLOOKUP(orders__17[[#This Row],[Order_ID]],returns[#All],2,0)</f>
        <v>Yes</v>
      </c>
    </row>
    <row r="141" spans="1:13" x14ac:dyDescent="0.3">
      <c r="A141" s="1" t="s">
        <v>324</v>
      </c>
      <c r="B141" s="2">
        <v>45285</v>
      </c>
      <c r="C141" s="1" t="s">
        <v>325</v>
      </c>
      <c r="D141" s="1" t="s">
        <v>61</v>
      </c>
      <c r="E141">
        <v>5</v>
      </c>
      <c r="F141" s="4">
        <v>1420.57</v>
      </c>
      <c r="G141" s="3">
        <v>0.2</v>
      </c>
      <c r="H141" s="4">
        <v>424.66</v>
      </c>
      <c r="I141" t="str">
        <f>VLOOKUP(orders__17[[#This Row],[Customer_ID]],customers__2[#All],3,0)</f>
        <v>North</v>
      </c>
      <c r="J141" t="str">
        <f>VLOOKUP(orders__17[[#This Row],[Customer_ID]],customers__2[#All],4,0)</f>
        <v>Corporate</v>
      </c>
      <c r="K141" t="str">
        <f>VLOOKUP(orders__17[[#This Row],[Product_ID]],products[#All],3,0)</f>
        <v>Office Supplies</v>
      </c>
      <c r="L141" s="1" t="str">
        <f>VLOOKUP(orders__17[[#This Row],[Product_ID]],products[#All],4,0)</f>
        <v>Binder</v>
      </c>
      <c r="M141" s="1" t="str">
        <f>VLOOKUP(orders__17[[#This Row],[Order_ID]],returns[#All],2,0)</f>
        <v>No</v>
      </c>
    </row>
    <row r="142" spans="1:13" x14ac:dyDescent="0.3">
      <c r="A142" s="1" t="s">
        <v>326</v>
      </c>
      <c r="B142" s="2">
        <v>45357</v>
      </c>
      <c r="C142" s="1" t="s">
        <v>280</v>
      </c>
      <c r="D142" s="1" t="s">
        <v>209</v>
      </c>
      <c r="E142">
        <v>1</v>
      </c>
      <c r="F142" s="4">
        <v>1968.99</v>
      </c>
      <c r="G142" s="3">
        <v>0</v>
      </c>
      <c r="H142" s="4">
        <v>312.70999999999998</v>
      </c>
      <c r="I142" t="str">
        <f>VLOOKUP(orders__17[[#This Row],[Customer_ID]],customers__2[#All],3,0)</f>
        <v>East</v>
      </c>
      <c r="J142" t="str">
        <f>VLOOKUP(orders__17[[#This Row],[Customer_ID]],customers__2[#All],4,0)</f>
        <v>Corporate</v>
      </c>
      <c r="K142" t="str">
        <f>VLOOKUP(orders__17[[#This Row],[Product_ID]],products[#All],3,0)</f>
        <v>Office Supplies</v>
      </c>
      <c r="L142" s="1" t="str">
        <f>VLOOKUP(orders__17[[#This Row],[Product_ID]],products[#All],4,0)</f>
        <v>Paper</v>
      </c>
      <c r="M142" s="1" t="str">
        <f>VLOOKUP(orders__17[[#This Row],[Order_ID]],returns[#All],2,0)</f>
        <v>No</v>
      </c>
    </row>
    <row r="143" spans="1:13" x14ac:dyDescent="0.3">
      <c r="A143" s="1" t="s">
        <v>327</v>
      </c>
      <c r="B143" s="2">
        <v>45385</v>
      </c>
      <c r="C143" s="1" t="s">
        <v>328</v>
      </c>
      <c r="D143" s="1" t="s">
        <v>314</v>
      </c>
      <c r="E143">
        <v>5</v>
      </c>
      <c r="F143" s="4">
        <v>554.44000000000005</v>
      </c>
      <c r="G143" s="3">
        <v>0.1</v>
      </c>
      <c r="H143" s="4">
        <v>155.34</v>
      </c>
      <c r="I143" t="str">
        <f>VLOOKUP(orders__17[[#This Row],[Customer_ID]],customers__2[#All],3,0)</f>
        <v>South</v>
      </c>
      <c r="J143" t="str">
        <f>VLOOKUP(orders__17[[#This Row],[Customer_ID]],customers__2[#All],4,0)</f>
        <v>Corporate</v>
      </c>
      <c r="K143" t="str">
        <f>VLOOKUP(orders__17[[#This Row],[Product_ID]],products[#All],3,0)</f>
        <v>Office Supplies</v>
      </c>
      <c r="L143" s="1" t="str">
        <f>VLOOKUP(orders__17[[#This Row],[Product_ID]],products[#All],4,0)</f>
        <v>Paper</v>
      </c>
      <c r="M143" s="1" t="str">
        <f>VLOOKUP(orders__17[[#This Row],[Order_ID]],returns[#All],2,0)</f>
        <v>No</v>
      </c>
    </row>
    <row r="144" spans="1:13" x14ac:dyDescent="0.3">
      <c r="A144" s="1" t="s">
        <v>329</v>
      </c>
      <c r="B144" s="2">
        <v>44705</v>
      </c>
      <c r="C144" s="1" t="s">
        <v>330</v>
      </c>
      <c r="D144" s="1" t="s">
        <v>89</v>
      </c>
      <c r="E144">
        <v>4</v>
      </c>
      <c r="F144" s="4">
        <v>370.27</v>
      </c>
      <c r="G144" s="3">
        <v>0.2</v>
      </c>
      <c r="H144" s="4">
        <v>50.45</v>
      </c>
      <c r="I144" t="str">
        <f>VLOOKUP(orders__17[[#This Row],[Customer_ID]],customers__2[#All],3,0)</f>
        <v>South</v>
      </c>
      <c r="J144" t="str">
        <f>VLOOKUP(orders__17[[#This Row],[Customer_ID]],customers__2[#All],4,0)</f>
        <v>Consumer</v>
      </c>
      <c r="K144" t="str">
        <f>VLOOKUP(orders__17[[#This Row],[Product_ID]],products[#All],3,0)</f>
        <v>Technology</v>
      </c>
      <c r="L144" s="1" t="str">
        <f>VLOOKUP(orders__17[[#This Row],[Product_ID]],products[#All],4,0)</f>
        <v>Phone</v>
      </c>
      <c r="M144" s="1" t="str">
        <f>VLOOKUP(orders__17[[#This Row],[Order_ID]],returns[#All],2,0)</f>
        <v>No</v>
      </c>
    </row>
    <row r="145" spans="1:13" x14ac:dyDescent="0.3">
      <c r="A145" s="1" t="s">
        <v>331</v>
      </c>
      <c r="B145" s="2">
        <v>44646</v>
      </c>
      <c r="C145" s="1" t="s">
        <v>332</v>
      </c>
      <c r="D145" s="1" t="s">
        <v>170</v>
      </c>
      <c r="E145">
        <v>4</v>
      </c>
      <c r="F145" s="4">
        <v>330.63</v>
      </c>
      <c r="G145" s="3">
        <v>0</v>
      </c>
      <c r="H145" s="4">
        <v>21.06</v>
      </c>
      <c r="I145" t="str">
        <f>VLOOKUP(orders__17[[#This Row],[Customer_ID]],customers__2[#All],3,0)</f>
        <v>North</v>
      </c>
      <c r="J145" t="str">
        <f>VLOOKUP(orders__17[[#This Row],[Customer_ID]],customers__2[#All],4,0)</f>
        <v>Home Office</v>
      </c>
      <c r="K145" t="str">
        <f>VLOOKUP(orders__17[[#This Row],[Product_ID]],products[#All],3,0)</f>
        <v>Furniture</v>
      </c>
      <c r="L145" s="1" t="str">
        <f>VLOOKUP(orders__17[[#This Row],[Product_ID]],products[#All],4,0)</f>
        <v>Shelf</v>
      </c>
      <c r="M145" s="1" t="str">
        <f>VLOOKUP(orders__17[[#This Row],[Order_ID]],returns[#All],2,0)</f>
        <v>Yes</v>
      </c>
    </row>
    <row r="146" spans="1:13" x14ac:dyDescent="0.3">
      <c r="A146" s="1" t="s">
        <v>333</v>
      </c>
      <c r="B146" s="2">
        <v>44829</v>
      </c>
      <c r="C146" s="1" t="s">
        <v>334</v>
      </c>
      <c r="D146" s="1" t="s">
        <v>239</v>
      </c>
      <c r="E146">
        <v>4</v>
      </c>
      <c r="F146" s="4">
        <v>676.22</v>
      </c>
      <c r="G146" s="3">
        <v>0.3</v>
      </c>
      <c r="H146" s="4">
        <v>68.34</v>
      </c>
      <c r="I146" t="str">
        <f>VLOOKUP(orders__17[[#This Row],[Customer_ID]],customers__2[#All],3,0)</f>
        <v>East</v>
      </c>
      <c r="J146" t="str">
        <f>VLOOKUP(orders__17[[#This Row],[Customer_ID]],customers__2[#All],4,0)</f>
        <v>Consumer</v>
      </c>
      <c r="K146" t="str">
        <f>VLOOKUP(orders__17[[#This Row],[Product_ID]],products[#All],3,0)</f>
        <v>Furniture</v>
      </c>
      <c r="L146" s="1" t="str">
        <f>VLOOKUP(orders__17[[#This Row],[Product_ID]],products[#All],4,0)</f>
        <v>Shelf</v>
      </c>
      <c r="M146" s="1" t="str">
        <f>VLOOKUP(orders__17[[#This Row],[Order_ID]],returns[#All],2,0)</f>
        <v>No</v>
      </c>
    </row>
    <row r="147" spans="1:13" x14ac:dyDescent="0.3">
      <c r="A147" s="1" t="s">
        <v>335</v>
      </c>
      <c r="B147" s="2">
        <v>45351</v>
      </c>
      <c r="C147" s="1" t="s">
        <v>336</v>
      </c>
      <c r="D147" s="1" t="s">
        <v>22</v>
      </c>
      <c r="E147">
        <v>4</v>
      </c>
      <c r="F147" s="4">
        <v>291.99</v>
      </c>
      <c r="G147" s="3">
        <v>0.1</v>
      </c>
      <c r="H147" s="4">
        <v>45.16</v>
      </c>
      <c r="I147" t="str">
        <f>VLOOKUP(orders__17[[#This Row],[Customer_ID]],customers__2[#All],3,0)</f>
        <v>South</v>
      </c>
      <c r="J147" t="str">
        <f>VLOOKUP(orders__17[[#This Row],[Customer_ID]],customers__2[#All],4,0)</f>
        <v>Consumer</v>
      </c>
      <c r="K147" t="str">
        <f>VLOOKUP(orders__17[[#This Row],[Product_ID]],products[#All],3,0)</f>
        <v>Furniture</v>
      </c>
      <c r="L147" s="1" t="str">
        <f>VLOOKUP(orders__17[[#This Row],[Product_ID]],products[#All],4,0)</f>
        <v>Chair</v>
      </c>
      <c r="M147" s="1" t="str">
        <f>VLOOKUP(orders__17[[#This Row],[Order_ID]],returns[#All],2,0)</f>
        <v>No</v>
      </c>
    </row>
    <row r="148" spans="1:13" x14ac:dyDescent="0.3">
      <c r="A148" s="1" t="s">
        <v>337</v>
      </c>
      <c r="B148" s="2">
        <v>44864</v>
      </c>
      <c r="C148" s="1" t="s">
        <v>338</v>
      </c>
      <c r="D148" s="1" t="s">
        <v>37</v>
      </c>
      <c r="E148">
        <v>4</v>
      </c>
      <c r="F148" s="4">
        <v>1415.11</v>
      </c>
      <c r="G148" s="3">
        <v>0</v>
      </c>
      <c r="H148" s="4">
        <v>148.46</v>
      </c>
      <c r="I148" t="str">
        <f>VLOOKUP(orders__17[[#This Row],[Customer_ID]],customers__2[#All],3,0)</f>
        <v>East</v>
      </c>
      <c r="J148" t="str">
        <f>VLOOKUP(orders__17[[#This Row],[Customer_ID]],customers__2[#All],4,0)</f>
        <v>Corporate</v>
      </c>
      <c r="K148" t="str">
        <f>VLOOKUP(orders__17[[#This Row],[Product_ID]],products[#All],3,0)</f>
        <v>Furniture</v>
      </c>
      <c r="L148" s="1" t="str">
        <f>VLOOKUP(orders__17[[#This Row],[Product_ID]],products[#All],4,0)</f>
        <v>Desk</v>
      </c>
      <c r="M148" s="1" t="str">
        <f>VLOOKUP(orders__17[[#This Row],[Order_ID]],returns[#All],2,0)</f>
        <v>No</v>
      </c>
    </row>
    <row r="149" spans="1:13" x14ac:dyDescent="0.3">
      <c r="A149" s="1" t="s">
        <v>339</v>
      </c>
      <c r="B149" s="2">
        <v>45310</v>
      </c>
      <c r="C149" s="1" t="s">
        <v>158</v>
      </c>
      <c r="D149" s="1" t="s">
        <v>72</v>
      </c>
      <c r="E149">
        <v>3</v>
      </c>
      <c r="F149" s="4">
        <v>218.35</v>
      </c>
      <c r="G149" s="3">
        <v>0.1</v>
      </c>
      <c r="H149" s="4">
        <v>10.93</v>
      </c>
      <c r="I149" t="str">
        <f>VLOOKUP(orders__17[[#This Row],[Customer_ID]],customers__2[#All],3,0)</f>
        <v>West</v>
      </c>
      <c r="J149" t="str">
        <f>VLOOKUP(orders__17[[#This Row],[Customer_ID]],customers__2[#All],4,0)</f>
        <v>Corporate</v>
      </c>
      <c r="K149" t="str">
        <f>VLOOKUP(orders__17[[#This Row],[Product_ID]],products[#All],3,0)</f>
        <v>Furniture</v>
      </c>
      <c r="L149" s="1" t="str">
        <f>VLOOKUP(orders__17[[#This Row],[Product_ID]],products[#All],4,0)</f>
        <v>Chair</v>
      </c>
      <c r="M149" s="1" t="str">
        <f>VLOOKUP(orders__17[[#This Row],[Order_ID]],returns[#All],2,0)</f>
        <v>Yes</v>
      </c>
    </row>
    <row r="150" spans="1:13" x14ac:dyDescent="0.3">
      <c r="A150" s="1" t="s">
        <v>340</v>
      </c>
      <c r="B150" s="2">
        <v>44711</v>
      </c>
      <c r="C150" s="1" t="s">
        <v>321</v>
      </c>
      <c r="D150" s="1" t="s">
        <v>341</v>
      </c>
      <c r="E150">
        <v>2</v>
      </c>
      <c r="F150" s="4">
        <v>1067.9000000000001</v>
      </c>
      <c r="G150" s="3">
        <v>0.1</v>
      </c>
      <c r="H150" s="4">
        <v>297.68</v>
      </c>
      <c r="I150" t="str">
        <f>VLOOKUP(orders__17[[#This Row],[Customer_ID]],customers__2[#All],3,0)</f>
        <v>South</v>
      </c>
      <c r="J150" t="str">
        <f>VLOOKUP(orders__17[[#This Row],[Customer_ID]],customers__2[#All],4,0)</f>
        <v>Corporate</v>
      </c>
      <c r="K150" t="str">
        <f>VLOOKUP(orders__17[[#This Row],[Product_ID]],products[#All],3,0)</f>
        <v>Technology</v>
      </c>
      <c r="L150" s="1" t="str">
        <f>VLOOKUP(orders__17[[#This Row],[Product_ID]],products[#All],4,0)</f>
        <v>Phone</v>
      </c>
      <c r="M150" s="1" t="str">
        <f>VLOOKUP(orders__17[[#This Row],[Order_ID]],returns[#All],2,0)</f>
        <v>No</v>
      </c>
    </row>
    <row r="151" spans="1:13" x14ac:dyDescent="0.3">
      <c r="A151" s="1" t="s">
        <v>342</v>
      </c>
      <c r="B151" s="2">
        <v>45160</v>
      </c>
      <c r="C151" s="1" t="s">
        <v>24</v>
      </c>
      <c r="D151" s="1" t="s">
        <v>242</v>
      </c>
      <c r="E151">
        <v>4</v>
      </c>
      <c r="F151" s="4">
        <v>1993.72</v>
      </c>
      <c r="G151" s="3">
        <v>0.1</v>
      </c>
      <c r="H151" s="4">
        <v>520.29999999999995</v>
      </c>
      <c r="I151" t="str">
        <f>VLOOKUP(orders__17[[#This Row],[Customer_ID]],customers__2[#All],3,0)</f>
        <v>North</v>
      </c>
      <c r="J151" t="str">
        <f>VLOOKUP(orders__17[[#This Row],[Customer_ID]],customers__2[#All],4,0)</f>
        <v>Consumer</v>
      </c>
      <c r="K151" t="str">
        <f>VLOOKUP(orders__17[[#This Row],[Product_ID]],products[#All],3,0)</f>
        <v>Technology</v>
      </c>
      <c r="L151" s="1" t="str">
        <f>VLOOKUP(orders__17[[#This Row],[Product_ID]],products[#All],4,0)</f>
        <v>Phone</v>
      </c>
      <c r="M151" s="1" t="str">
        <f>VLOOKUP(orders__17[[#This Row],[Order_ID]],returns[#All],2,0)</f>
        <v>Yes</v>
      </c>
    </row>
    <row r="152" spans="1:13" x14ac:dyDescent="0.3">
      <c r="A152" s="1" t="s">
        <v>343</v>
      </c>
      <c r="B152" s="2">
        <v>45380</v>
      </c>
      <c r="C152" s="1" t="s">
        <v>344</v>
      </c>
      <c r="D152" s="1" t="s">
        <v>301</v>
      </c>
      <c r="E152">
        <v>1</v>
      </c>
      <c r="F152" s="4">
        <v>1646.54</v>
      </c>
      <c r="G152" s="3">
        <v>0</v>
      </c>
      <c r="H152" s="4">
        <v>387.88</v>
      </c>
      <c r="I152" t="str">
        <f>VLOOKUP(orders__17[[#This Row],[Customer_ID]],customers__2[#All],3,0)</f>
        <v>North</v>
      </c>
      <c r="J152" t="str">
        <f>VLOOKUP(orders__17[[#This Row],[Customer_ID]],customers__2[#All],4,0)</f>
        <v>Home Office</v>
      </c>
      <c r="K152" t="str">
        <f>VLOOKUP(orders__17[[#This Row],[Product_ID]],products[#All],3,0)</f>
        <v>Furniture</v>
      </c>
      <c r="L152" s="1" t="str">
        <f>VLOOKUP(orders__17[[#This Row],[Product_ID]],products[#All],4,0)</f>
        <v>Table</v>
      </c>
      <c r="M152" s="1" t="str">
        <f>VLOOKUP(orders__17[[#This Row],[Order_ID]],returns[#All],2,0)</f>
        <v>No</v>
      </c>
    </row>
    <row r="153" spans="1:13" x14ac:dyDescent="0.3">
      <c r="A153" s="1" t="s">
        <v>345</v>
      </c>
      <c r="B153" s="2">
        <v>45325</v>
      </c>
      <c r="C153" s="1" t="s">
        <v>94</v>
      </c>
      <c r="D153" s="1" t="s">
        <v>31</v>
      </c>
      <c r="E153">
        <v>1</v>
      </c>
      <c r="F153" s="4">
        <v>1268.92</v>
      </c>
      <c r="G153" s="3">
        <v>0.2</v>
      </c>
      <c r="H153" s="4">
        <v>116.68</v>
      </c>
      <c r="I153" t="str">
        <f>VLOOKUP(orders__17[[#This Row],[Customer_ID]],customers__2[#All],3,0)</f>
        <v>North</v>
      </c>
      <c r="J153" t="str">
        <f>VLOOKUP(orders__17[[#This Row],[Customer_ID]],customers__2[#All],4,0)</f>
        <v>Home Office</v>
      </c>
      <c r="K153" t="str">
        <f>VLOOKUP(orders__17[[#This Row],[Product_ID]],products[#All],3,0)</f>
        <v>Furniture</v>
      </c>
      <c r="L153" s="1" t="str">
        <f>VLOOKUP(orders__17[[#This Row],[Product_ID]],products[#All],4,0)</f>
        <v>Chair</v>
      </c>
      <c r="M153" s="1" t="str">
        <f>VLOOKUP(orders__17[[#This Row],[Order_ID]],returns[#All],2,0)</f>
        <v>No</v>
      </c>
    </row>
    <row r="154" spans="1:13" x14ac:dyDescent="0.3">
      <c r="A154" s="1" t="s">
        <v>346</v>
      </c>
      <c r="B154" s="2">
        <v>44602</v>
      </c>
      <c r="C154" s="1" t="s">
        <v>347</v>
      </c>
      <c r="D154" s="1" t="s">
        <v>341</v>
      </c>
      <c r="E154">
        <v>1</v>
      </c>
      <c r="F154" s="4">
        <v>681.88</v>
      </c>
      <c r="G154" s="3">
        <v>0</v>
      </c>
      <c r="H154" s="4">
        <v>54.61</v>
      </c>
      <c r="I154" t="str">
        <f>VLOOKUP(orders__17[[#This Row],[Customer_ID]],customers__2[#All],3,0)</f>
        <v>South</v>
      </c>
      <c r="J154" t="str">
        <f>VLOOKUP(orders__17[[#This Row],[Customer_ID]],customers__2[#All],4,0)</f>
        <v>Home Office</v>
      </c>
      <c r="K154" t="str">
        <f>VLOOKUP(orders__17[[#This Row],[Product_ID]],products[#All],3,0)</f>
        <v>Technology</v>
      </c>
      <c r="L154" s="1" t="str">
        <f>VLOOKUP(orders__17[[#This Row],[Product_ID]],products[#All],4,0)</f>
        <v>Phone</v>
      </c>
      <c r="M154" s="1" t="str">
        <f>VLOOKUP(orders__17[[#This Row],[Order_ID]],returns[#All],2,0)</f>
        <v>No</v>
      </c>
    </row>
    <row r="155" spans="1:13" x14ac:dyDescent="0.3">
      <c r="A155" s="1" t="s">
        <v>348</v>
      </c>
      <c r="B155" s="2">
        <v>44688</v>
      </c>
      <c r="C155" s="1" t="s">
        <v>262</v>
      </c>
      <c r="D155" s="1" t="s">
        <v>64</v>
      </c>
      <c r="E155">
        <v>1</v>
      </c>
      <c r="F155" s="4">
        <v>1285.4000000000001</v>
      </c>
      <c r="G155" s="3">
        <v>0.1</v>
      </c>
      <c r="H155" s="4">
        <v>85.99</v>
      </c>
      <c r="I155" t="str">
        <f>VLOOKUP(orders__17[[#This Row],[Customer_ID]],customers__2[#All],3,0)</f>
        <v>South</v>
      </c>
      <c r="J155" t="str">
        <f>VLOOKUP(orders__17[[#This Row],[Customer_ID]],customers__2[#All],4,0)</f>
        <v>Corporate</v>
      </c>
      <c r="K155" t="str">
        <f>VLOOKUP(orders__17[[#This Row],[Product_ID]],products[#All],3,0)</f>
        <v>Office Supplies</v>
      </c>
      <c r="L155" s="1" t="str">
        <f>VLOOKUP(orders__17[[#This Row],[Product_ID]],products[#All],4,0)</f>
        <v>Storage</v>
      </c>
      <c r="M155" s="1" t="str">
        <f>VLOOKUP(orders__17[[#This Row],[Order_ID]],returns[#All],2,0)</f>
        <v>No</v>
      </c>
    </row>
    <row r="156" spans="1:13" x14ac:dyDescent="0.3">
      <c r="A156" s="1" t="s">
        <v>349</v>
      </c>
      <c r="B156" s="2">
        <v>45232</v>
      </c>
      <c r="C156" s="1" t="s">
        <v>350</v>
      </c>
      <c r="D156" s="1" t="s">
        <v>288</v>
      </c>
      <c r="E156">
        <v>3</v>
      </c>
      <c r="F156" s="4">
        <v>1101.3800000000001</v>
      </c>
      <c r="G156" s="3">
        <v>0</v>
      </c>
      <c r="H156" s="4">
        <v>254.43</v>
      </c>
      <c r="I156" t="str">
        <f>VLOOKUP(orders__17[[#This Row],[Customer_ID]],customers__2[#All],3,0)</f>
        <v>West</v>
      </c>
      <c r="J156" t="str">
        <f>VLOOKUP(orders__17[[#This Row],[Customer_ID]],customers__2[#All],4,0)</f>
        <v>Corporate</v>
      </c>
      <c r="K156" t="str">
        <f>VLOOKUP(orders__17[[#This Row],[Product_ID]],products[#All],3,0)</f>
        <v>Furniture</v>
      </c>
      <c r="L156" s="1" t="str">
        <f>VLOOKUP(orders__17[[#This Row],[Product_ID]],products[#All],4,0)</f>
        <v>Chair</v>
      </c>
      <c r="M156" s="1" t="str">
        <f>VLOOKUP(orders__17[[#This Row],[Order_ID]],returns[#All],2,0)</f>
        <v>No</v>
      </c>
    </row>
    <row r="157" spans="1:13" x14ac:dyDescent="0.3">
      <c r="A157" s="1" t="s">
        <v>351</v>
      </c>
      <c r="B157" s="2">
        <v>45123</v>
      </c>
      <c r="C157" s="1" t="s">
        <v>347</v>
      </c>
      <c r="D157" s="1" t="s">
        <v>161</v>
      </c>
      <c r="E157">
        <v>1</v>
      </c>
      <c r="F157" s="4">
        <v>909.56</v>
      </c>
      <c r="G157" s="3">
        <v>0.3</v>
      </c>
      <c r="H157" s="4">
        <v>256.68</v>
      </c>
      <c r="I157" t="str">
        <f>VLOOKUP(orders__17[[#This Row],[Customer_ID]],customers__2[#All],3,0)</f>
        <v>South</v>
      </c>
      <c r="J157" t="str">
        <f>VLOOKUP(orders__17[[#This Row],[Customer_ID]],customers__2[#All],4,0)</f>
        <v>Home Office</v>
      </c>
      <c r="K157" t="str">
        <f>VLOOKUP(orders__17[[#This Row],[Product_ID]],products[#All],3,0)</f>
        <v>Office Supplies</v>
      </c>
      <c r="L157" s="1" t="str">
        <f>VLOOKUP(orders__17[[#This Row],[Product_ID]],products[#All],4,0)</f>
        <v>Binder</v>
      </c>
      <c r="M157" s="1" t="str">
        <f>VLOOKUP(orders__17[[#This Row],[Order_ID]],returns[#All],2,0)</f>
        <v>No</v>
      </c>
    </row>
    <row r="158" spans="1:13" x14ac:dyDescent="0.3">
      <c r="A158" s="1" t="s">
        <v>352</v>
      </c>
      <c r="B158" s="2">
        <v>44926</v>
      </c>
      <c r="C158" s="1" t="s">
        <v>353</v>
      </c>
      <c r="D158" s="1" t="s">
        <v>92</v>
      </c>
      <c r="E158">
        <v>4</v>
      </c>
      <c r="F158" s="4">
        <v>348.35</v>
      </c>
      <c r="G158" s="3">
        <v>0.2</v>
      </c>
      <c r="H158" s="4">
        <v>54.91</v>
      </c>
      <c r="I158" t="str">
        <f>VLOOKUP(orders__17[[#This Row],[Customer_ID]],customers__2[#All],3,0)</f>
        <v>East</v>
      </c>
      <c r="J158" t="str">
        <f>VLOOKUP(orders__17[[#This Row],[Customer_ID]],customers__2[#All],4,0)</f>
        <v>Home Office</v>
      </c>
      <c r="K158" t="str">
        <f>VLOOKUP(orders__17[[#This Row],[Product_ID]],products[#All],3,0)</f>
        <v>Furniture</v>
      </c>
      <c r="L158" s="1" t="str">
        <f>VLOOKUP(orders__17[[#This Row],[Product_ID]],products[#All],4,0)</f>
        <v>Shelf</v>
      </c>
      <c r="M158" s="1" t="str">
        <f>VLOOKUP(orders__17[[#This Row],[Order_ID]],returns[#All],2,0)</f>
        <v>Yes</v>
      </c>
    </row>
    <row r="159" spans="1:13" x14ac:dyDescent="0.3">
      <c r="A159" s="1" t="s">
        <v>354</v>
      </c>
      <c r="B159" s="2">
        <v>44750</v>
      </c>
      <c r="C159" s="1" t="s">
        <v>355</v>
      </c>
      <c r="D159" s="1" t="s">
        <v>253</v>
      </c>
      <c r="E159">
        <v>5</v>
      </c>
      <c r="F159" s="4">
        <v>1784.55</v>
      </c>
      <c r="G159" s="3">
        <v>0</v>
      </c>
      <c r="H159" s="4">
        <v>142.38</v>
      </c>
      <c r="I159" t="str">
        <f>VLOOKUP(orders__17[[#This Row],[Customer_ID]],customers__2[#All],3,0)</f>
        <v>South</v>
      </c>
      <c r="J159" t="str">
        <f>VLOOKUP(orders__17[[#This Row],[Customer_ID]],customers__2[#All],4,0)</f>
        <v>Home Office</v>
      </c>
      <c r="K159" t="str">
        <f>VLOOKUP(orders__17[[#This Row],[Product_ID]],products[#All],3,0)</f>
        <v>Technology</v>
      </c>
      <c r="L159" s="1" t="str">
        <f>VLOOKUP(orders__17[[#This Row],[Product_ID]],products[#All],4,0)</f>
        <v>Accessories</v>
      </c>
      <c r="M159" s="1" t="str">
        <f>VLOOKUP(orders__17[[#This Row],[Order_ID]],returns[#All],2,0)</f>
        <v>No</v>
      </c>
    </row>
    <row r="160" spans="1:13" x14ac:dyDescent="0.3">
      <c r="A160" s="1" t="s">
        <v>356</v>
      </c>
      <c r="B160" s="2">
        <v>45278</v>
      </c>
      <c r="C160" s="1" t="s">
        <v>69</v>
      </c>
      <c r="D160" s="1" t="s">
        <v>22</v>
      </c>
      <c r="E160">
        <v>1</v>
      </c>
      <c r="F160" s="4">
        <v>954.59</v>
      </c>
      <c r="G160" s="3">
        <v>0.3</v>
      </c>
      <c r="H160" s="4">
        <v>170.01</v>
      </c>
      <c r="I160" t="str">
        <f>VLOOKUP(orders__17[[#This Row],[Customer_ID]],customers__2[#All],3,0)</f>
        <v>West</v>
      </c>
      <c r="J160" t="str">
        <f>VLOOKUP(orders__17[[#This Row],[Customer_ID]],customers__2[#All],4,0)</f>
        <v>Corporate</v>
      </c>
      <c r="K160" t="str">
        <f>VLOOKUP(orders__17[[#This Row],[Product_ID]],products[#All],3,0)</f>
        <v>Furniture</v>
      </c>
      <c r="L160" s="1" t="str">
        <f>VLOOKUP(orders__17[[#This Row],[Product_ID]],products[#All],4,0)</f>
        <v>Chair</v>
      </c>
      <c r="M160" s="1" t="str">
        <f>VLOOKUP(orders__17[[#This Row],[Order_ID]],returns[#All],2,0)</f>
        <v>No</v>
      </c>
    </row>
    <row r="161" spans="1:13" x14ac:dyDescent="0.3">
      <c r="A161" s="1" t="s">
        <v>357</v>
      </c>
      <c r="B161" s="2">
        <v>44708</v>
      </c>
      <c r="C161" s="1" t="s">
        <v>192</v>
      </c>
      <c r="D161" s="1" t="s">
        <v>296</v>
      </c>
      <c r="E161">
        <v>3</v>
      </c>
      <c r="F161" s="4">
        <v>469.78</v>
      </c>
      <c r="G161" s="3">
        <v>0.2</v>
      </c>
      <c r="H161" s="4">
        <v>64.459999999999994</v>
      </c>
      <c r="I161" t="str">
        <f>VLOOKUP(orders__17[[#This Row],[Customer_ID]],customers__2[#All],3,0)</f>
        <v>South</v>
      </c>
      <c r="J161" t="str">
        <f>VLOOKUP(orders__17[[#This Row],[Customer_ID]],customers__2[#All],4,0)</f>
        <v>Corporate</v>
      </c>
      <c r="K161" t="str">
        <f>VLOOKUP(orders__17[[#This Row],[Product_ID]],products[#All],3,0)</f>
        <v>Technology</v>
      </c>
      <c r="L161" s="1" t="str">
        <f>VLOOKUP(orders__17[[#This Row],[Product_ID]],products[#All],4,0)</f>
        <v>Accessories</v>
      </c>
      <c r="M161" s="1" t="str">
        <f>VLOOKUP(orders__17[[#This Row],[Order_ID]],returns[#All],2,0)</f>
        <v>Yes</v>
      </c>
    </row>
    <row r="162" spans="1:13" x14ac:dyDescent="0.3">
      <c r="A162" s="1" t="s">
        <v>358</v>
      </c>
      <c r="B162" s="2">
        <v>45125</v>
      </c>
      <c r="C162" s="1" t="s">
        <v>50</v>
      </c>
      <c r="D162" s="1" t="s">
        <v>296</v>
      </c>
      <c r="E162">
        <v>3</v>
      </c>
      <c r="F162" s="4">
        <v>798.74</v>
      </c>
      <c r="G162" s="3">
        <v>0.3</v>
      </c>
      <c r="H162" s="4">
        <v>114.78</v>
      </c>
      <c r="I162" t="str">
        <f>VLOOKUP(orders__17[[#This Row],[Customer_ID]],customers__2[#All],3,0)</f>
        <v>East</v>
      </c>
      <c r="J162" t="str">
        <f>VLOOKUP(orders__17[[#This Row],[Customer_ID]],customers__2[#All],4,0)</f>
        <v>Corporate</v>
      </c>
      <c r="K162" t="str">
        <f>VLOOKUP(orders__17[[#This Row],[Product_ID]],products[#All],3,0)</f>
        <v>Technology</v>
      </c>
      <c r="L162" s="1" t="str">
        <f>VLOOKUP(orders__17[[#This Row],[Product_ID]],products[#All],4,0)</f>
        <v>Accessories</v>
      </c>
      <c r="M162" s="1" t="str">
        <f>VLOOKUP(orders__17[[#This Row],[Order_ID]],returns[#All],2,0)</f>
        <v>No</v>
      </c>
    </row>
    <row r="163" spans="1:13" x14ac:dyDescent="0.3">
      <c r="A163" s="1" t="s">
        <v>359</v>
      </c>
      <c r="B163" s="2">
        <v>45156</v>
      </c>
      <c r="C163" s="1" t="s">
        <v>360</v>
      </c>
      <c r="D163" s="1" t="s">
        <v>361</v>
      </c>
      <c r="E163">
        <v>1</v>
      </c>
      <c r="F163" s="4">
        <v>886.85</v>
      </c>
      <c r="G163" s="3">
        <v>0.2</v>
      </c>
      <c r="H163" s="4">
        <v>182.1</v>
      </c>
      <c r="I163" t="str">
        <f>VLOOKUP(orders__17[[#This Row],[Customer_ID]],customers__2[#All],3,0)</f>
        <v>South</v>
      </c>
      <c r="J163" t="str">
        <f>VLOOKUP(orders__17[[#This Row],[Customer_ID]],customers__2[#All],4,0)</f>
        <v>Home Office</v>
      </c>
      <c r="K163" t="str">
        <f>VLOOKUP(orders__17[[#This Row],[Product_ID]],products[#All],3,0)</f>
        <v>Furniture</v>
      </c>
      <c r="L163" s="1" t="str">
        <f>VLOOKUP(orders__17[[#This Row],[Product_ID]],products[#All],4,0)</f>
        <v>Shelf</v>
      </c>
      <c r="M163" s="1" t="str">
        <f>VLOOKUP(orders__17[[#This Row],[Order_ID]],returns[#All],2,0)</f>
        <v>No</v>
      </c>
    </row>
    <row r="164" spans="1:13" x14ac:dyDescent="0.3">
      <c r="A164" s="1" t="s">
        <v>362</v>
      </c>
      <c r="B164" s="2">
        <v>45247</v>
      </c>
      <c r="C164" s="1" t="s">
        <v>115</v>
      </c>
      <c r="D164" s="1" t="s">
        <v>242</v>
      </c>
      <c r="E164">
        <v>5</v>
      </c>
      <c r="F164" s="4">
        <v>1672.32</v>
      </c>
      <c r="G164" s="3">
        <v>0</v>
      </c>
      <c r="H164" s="4">
        <v>384.1</v>
      </c>
      <c r="I164" t="str">
        <f>VLOOKUP(orders__17[[#This Row],[Customer_ID]],customers__2[#All],3,0)</f>
        <v>South</v>
      </c>
      <c r="J164" t="str">
        <f>VLOOKUP(orders__17[[#This Row],[Customer_ID]],customers__2[#All],4,0)</f>
        <v>Consumer</v>
      </c>
      <c r="K164" t="str">
        <f>VLOOKUP(orders__17[[#This Row],[Product_ID]],products[#All],3,0)</f>
        <v>Technology</v>
      </c>
      <c r="L164" s="1" t="str">
        <f>VLOOKUP(orders__17[[#This Row],[Product_ID]],products[#All],4,0)</f>
        <v>Phone</v>
      </c>
      <c r="M164" s="1" t="str">
        <f>VLOOKUP(orders__17[[#This Row],[Order_ID]],returns[#All],2,0)</f>
        <v>Yes</v>
      </c>
    </row>
    <row r="165" spans="1:13" x14ac:dyDescent="0.3">
      <c r="A165" s="1" t="s">
        <v>363</v>
      </c>
      <c r="B165" s="2">
        <v>45355</v>
      </c>
      <c r="C165" s="1" t="s">
        <v>332</v>
      </c>
      <c r="D165" s="1" t="s">
        <v>364</v>
      </c>
      <c r="E165">
        <v>1</v>
      </c>
      <c r="F165" s="4">
        <v>1493.87</v>
      </c>
      <c r="G165" s="3">
        <v>0.3</v>
      </c>
      <c r="H165" s="4">
        <v>116</v>
      </c>
      <c r="I165" t="str">
        <f>VLOOKUP(orders__17[[#This Row],[Customer_ID]],customers__2[#All],3,0)</f>
        <v>North</v>
      </c>
      <c r="J165" t="str">
        <f>VLOOKUP(orders__17[[#This Row],[Customer_ID]],customers__2[#All],4,0)</f>
        <v>Home Office</v>
      </c>
      <c r="K165" t="str">
        <f>VLOOKUP(orders__17[[#This Row],[Product_ID]],products[#All],3,0)</f>
        <v>Technology</v>
      </c>
      <c r="L165" s="1" t="str">
        <f>VLOOKUP(orders__17[[#This Row],[Product_ID]],products[#All],4,0)</f>
        <v>Accessories</v>
      </c>
      <c r="M165" s="1" t="str">
        <f>VLOOKUP(orders__17[[#This Row],[Order_ID]],returns[#All],2,0)</f>
        <v>Yes</v>
      </c>
    </row>
    <row r="166" spans="1:13" x14ac:dyDescent="0.3">
      <c r="A166" s="1" t="s">
        <v>365</v>
      </c>
      <c r="B166" s="2">
        <v>45450</v>
      </c>
      <c r="C166" s="1" t="s">
        <v>99</v>
      </c>
      <c r="D166" s="1" t="s">
        <v>163</v>
      </c>
      <c r="E166">
        <v>3</v>
      </c>
      <c r="F166" s="4">
        <v>1561.68</v>
      </c>
      <c r="G166" s="3">
        <v>0.1</v>
      </c>
      <c r="H166" s="4">
        <v>91.98</v>
      </c>
      <c r="I166" t="str">
        <f>VLOOKUP(orders__17[[#This Row],[Customer_ID]],customers__2[#All],3,0)</f>
        <v>East</v>
      </c>
      <c r="J166" t="str">
        <f>VLOOKUP(orders__17[[#This Row],[Customer_ID]],customers__2[#All],4,0)</f>
        <v>Corporate</v>
      </c>
      <c r="K166" t="str">
        <f>VLOOKUP(orders__17[[#This Row],[Product_ID]],products[#All],3,0)</f>
        <v>Furniture</v>
      </c>
      <c r="L166" s="1" t="str">
        <f>VLOOKUP(orders__17[[#This Row],[Product_ID]],products[#All],4,0)</f>
        <v>Table</v>
      </c>
      <c r="M166" s="1" t="str">
        <f>VLOOKUP(orders__17[[#This Row],[Order_ID]],returns[#All],2,0)</f>
        <v>No</v>
      </c>
    </row>
    <row r="167" spans="1:13" x14ac:dyDescent="0.3">
      <c r="A167" s="1" t="s">
        <v>366</v>
      </c>
      <c r="B167" s="2">
        <v>44732</v>
      </c>
      <c r="C167" s="1" t="s">
        <v>367</v>
      </c>
      <c r="D167" s="1" t="s">
        <v>186</v>
      </c>
      <c r="E167">
        <v>2</v>
      </c>
      <c r="F167" s="4">
        <v>120.96</v>
      </c>
      <c r="G167" s="3">
        <v>0.3</v>
      </c>
      <c r="H167" s="4">
        <v>36.119999999999997</v>
      </c>
      <c r="I167" t="str">
        <f>VLOOKUP(orders__17[[#This Row],[Customer_ID]],customers__2[#All],3,0)</f>
        <v>South</v>
      </c>
      <c r="J167" t="str">
        <f>VLOOKUP(orders__17[[#This Row],[Customer_ID]],customers__2[#All],4,0)</f>
        <v>Home Office</v>
      </c>
      <c r="K167" t="str">
        <f>VLOOKUP(orders__17[[#This Row],[Product_ID]],products[#All],3,0)</f>
        <v>Technology</v>
      </c>
      <c r="L167" s="1" t="str">
        <f>VLOOKUP(orders__17[[#This Row],[Product_ID]],products[#All],4,0)</f>
        <v>Laptop</v>
      </c>
      <c r="M167" s="1" t="str">
        <f>VLOOKUP(orders__17[[#This Row],[Order_ID]],returns[#All],2,0)</f>
        <v>No</v>
      </c>
    </row>
    <row r="168" spans="1:13" x14ac:dyDescent="0.3">
      <c r="A168" s="1" t="s">
        <v>368</v>
      </c>
      <c r="B168" s="2">
        <v>45461</v>
      </c>
      <c r="C168" s="1" t="s">
        <v>233</v>
      </c>
      <c r="D168" s="1" t="s">
        <v>369</v>
      </c>
      <c r="E168">
        <v>4</v>
      </c>
      <c r="F168" s="4">
        <v>890.69</v>
      </c>
      <c r="G168" s="3">
        <v>0.2</v>
      </c>
      <c r="H168" s="4">
        <v>96.36</v>
      </c>
      <c r="I168" t="str">
        <f>VLOOKUP(orders__17[[#This Row],[Customer_ID]],customers__2[#All],3,0)</f>
        <v>South</v>
      </c>
      <c r="J168" t="str">
        <f>VLOOKUP(orders__17[[#This Row],[Customer_ID]],customers__2[#All],4,0)</f>
        <v>Home Office</v>
      </c>
      <c r="K168" t="str">
        <f>VLOOKUP(orders__17[[#This Row],[Product_ID]],products[#All],3,0)</f>
        <v>Technology</v>
      </c>
      <c r="L168" s="1" t="str">
        <f>VLOOKUP(orders__17[[#This Row],[Product_ID]],products[#All],4,0)</f>
        <v>Phone</v>
      </c>
      <c r="M168" s="1" t="str">
        <f>VLOOKUP(orders__17[[#This Row],[Order_ID]],returns[#All],2,0)</f>
        <v>No</v>
      </c>
    </row>
    <row r="169" spans="1:13" x14ac:dyDescent="0.3">
      <c r="A169" s="1" t="s">
        <v>370</v>
      </c>
      <c r="B169" s="2">
        <v>44704</v>
      </c>
      <c r="C169" s="1" t="s">
        <v>371</v>
      </c>
      <c r="D169" s="1" t="s">
        <v>372</v>
      </c>
      <c r="E169">
        <v>3</v>
      </c>
      <c r="F169" s="4">
        <v>1014.55</v>
      </c>
      <c r="G169" s="3">
        <v>0</v>
      </c>
      <c r="H169" s="4">
        <v>64.38</v>
      </c>
      <c r="I169" t="str">
        <f>VLOOKUP(orders__17[[#This Row],[Customer_ID]],customers__2[#All],3,0)</f>
        <v>East</v>
      </c>
      <c r="J169" t="str">
        <f>VLOOKUP(orders__17[[#This Row],[Customer_ID]],customers__2[#All],4,0)</f>
        <v>Corporate</v>
      </c>
      <c r="K169" t="str">
        <f>VLOOKUP(orders__17[[#This Row],[Product_ID]],products[#All],3,0)</f>
        <v>Furniture</v>
      </c>
      <c r="L169" s="1" t="str">
        <f>VLOOKUP(orders__17[[#This Row],[Product_ID]],products[#All],4,0)</f>
        <v>Shelf</v>
      </c>
      <c r="M169" s="1" t="str">
        <f>VLOOKUP(orders__17[[#This Row],[Order_ID]],returns[#All],2,0)</f>
        <v>No</v>
      </c>
    </row>
    <row r="170" spans="1:13" x14ac:dyDescent="0.3">
      <c r="A170" s="1" t="s">
        <v>373</v>
      </c>
      <c r="B170" s="2">
        <v>45095</v>
      </c>
      <c r="C170" s="1" t="s">
        <v>225</v>
      </c>
      <c r="D170" s="1" t="s">
        <v>209</v>
      </c>
      <c r="E170">
        <v>1</v>
      </c>
      <c r="F170" s="4">
        <v>136.47</v>
      </c>
      <c r="G170" s="3">
        <v>0.2</v>
      </c>
      <c r="H170" s="4">
        <v>13.3</v>
      </c>
      <c r="I170" t="str">
        <f>VLOOKUP(orders__17[[#This Row],[Customer_ID]],customers__2[#All],3,0)</f>
        <v>North</v>
      </c>
      <c r="J170" t="str">
        <f>VLOOKUP(orders__17[[#This Row],[Customer_ID]],customers__2[#All],4,0)</f>
        <v>Consumer</v>
      </c>
      <c r="K170" t="str">
        <f>VLOOKUP(orders__17[[#This Row],[Product_ID]],products[#All],3,0)</f>
        <v>Office Supplies</v>
      </c>
      <c r="L170" s="1" t="str">
        <f>VLOOKUP(orders__17[[#This Row],[Product_ID]],products[#All],4,0)</f>
        <v>Paper</v>
      </c>
      <c r="M170" s="1" t="str">
        <f>VLOOKUP(orders__17[[#This Row],[Order_ID]],returns[#All],2,0)</f>
        <v>No</v>
      </c>
    </row>
    <row r="171" spans="1:13" x14ac:dyDescent="0.3">
      <c r="A171" s="1" t="s">
        <v>374</v>
      </c>
      <c r="B171" s="2">
        <v>45330</v>
      </c>
      <c r="C171" s="1" t="s">
        <v>102</v>
      </c>
      <c r="D171" s="1" t="s">
        <v>116</v>
      </c>
      <c r="E171">
        <v>4</v>
      </c>
      <c r="F171" s="4">
        <v>593.65</v>
      </c>
      <c r="G171" s="3">
        <v>0.3</v>
      </c>
      <c r="H171" s="4">
        <v>35.46</v>
      </c>
      <c r="I171" t="str">
        <f>VLOOKUP(orders__17[[#This Row],[Customer_ID]],customers__2[#All],3,0)</f>
        <v>West</v>
      </c>
      <c r="J171" t="str">
        <f>VLOOKUP(orders__17[[#This Row],[Customer_ID]],customers__2[#All],4,0)</f>
        <v>Corporate</v>
      </c>
      <c r="K171" t="str">
        <f>VLOOKUP(orders__17[[#This Row],[Product_ID]],products[#All],3,0)</f>
        <v>Furniture</v>
      </c>
      <c r="L171" s="1" t="str">
        <f>VLOOKUP(orders__17[[#This Row],[Product_ID]],products[#All],4,0)</f>
        <v>Shelf</v>
      </c>
      <c r="M171" s="1" t="str">
        <f>VLOOKUP(orders__17[[#This Row],[Order_ID]],returns[#All],2,0)</f>
        <v>Yes</v>
      </c>
    </row>
    <row r="172" spans="1:13" x14ac:dyDescent="0.3">
      <c r="A172" s="1" t="s">
        <v>375</v>
      </c>
      <c r="B172" s="2">
        <v>45105</v>
      </c>
      <c r="C172" s="1" t="s">
        <v>39</v>
      </c>
      <c r="D172" s="1" t="s">
        <v>25</v>
      </c>
      <c r="E172">
        <v>1</v>
      </c>
      <c r="F172" s="4">
        <v>1544.55</v>
      </c>
      <c r="G172" s="3">
        <v>0.3</v>
      </c>
      <c r="H172" s="4">
        <v>228.52</v>
      </c>
      <c r="I172" t="str">
        <f>VLOOKUP(orders__17[[#This Row],[Customer_ID]],customers__2[#All],3,0)</f>
        <v>West</v>
      </c>
      <c r="J172" t="str">
        <f>VLOOKUP(orders__17[[#This Row],[Customer_ID]],customers__2[#All],4,0)</f>
        <v>Consumer</v>
      </c>
      <c r="K172" t="str">
        <f>VLOOKUP(orders__17[[#This Row],[Product_ID]],products[#All],3,0)</f>
        <v>Office Supplies</v>
      </c>
      <c r="L172" s="1" t="str">
        <f>VLOOKUP(orders__17[[#This Row],[Product_ID]],products[#All],4,0)</f>
        <v>Paper</v>
      </c>
      <c r="M172" s="1" t="str">
        <f>VLOOKUP(orders__17[[#This Row],[Order_ID]],returns[#All],2,0)</f>
        <v>No</v>
      </c>
    </row>
    <row r="173" spans="1:13" x14ac:dyDescent="0.3">
      <c r="A173" s="1" t="s">
        <v>376</v>
      </c>
      <c r="B173" s="2">
        <v>45343</v>
      </c>
      <c r="C173" s="1" t="s">
        <v>126</v>
      </c>
      <c r="D173" s="1" t="s">
        <v>22</v>
      </c>
      <c r="E173">
        <v>1</v>
      </c>
      <c r="F173" s="4">
        <v>360.51</v>
      </c>
      <c r="G173" s="3">
        <v>0.1</v>
      </c>
      <c r="H173" s="4">
        <v>90.34</v>
      </c>
      <c r="I173" t="str">
        <f>VLOOKUP(orders__17[[#This Row],[Customer_ID]],customers__2[#All],3,0)</f>
        <v>North</v>
      </c>
      <c r="J173" t="str">
        <f>VLOOKUP(orders__17[[#This Row],[Customer_ID]],customers__2[#All],4,0)</f>
        <v>Consumer</v>
      </c>
      <c r="K173" t="str">
        <f>VLOOKUP(orders__17[[#This Row],[Product_ID]],products[#All],3,0)</f>
        <v>Furniture</v>
      </c>
      <c r="L173" s="1" t="str">
        <f>VLOOKUP(orders__17[[#This Row],[Product_ID]],products[#All],4,0)</f>
        <v>Chair</v>
      </c>
      <c r="M173" s="1" t="str">
        <f>VLOOKUP(orders__17[[#This Row],[Order_ID]],returns[#All],2,0)</f>
        <v>No</v>
      </c>
    </row>
    <row r="174" spans="1:13" x14ac:dyDescent="0.3">
      <c r="A174" s="1" t="s">
        <v>377</v>
      </c>
      <c r="B174" s="2">
        <v>44608</v>
      </c>
      <c r="C174" s="1" t="s">
        <v>277</v>
      </c>
      <c r="D174" s="1" t="s">
        <v>378</v>
      </c>
      <c r="E174">
        <v>2</v>
      </c>
      <c r="F174" s="4">
        <v>1117.0899999999999</v>
      </c>
      <c r="G174" s="3">
        <v>0</v>
      </c>
      <c r="H174" s="4">
        <v>151.15</v>
      </c>
      <c r="I174" t="str">
        <f>VLOOKUP(orders__17[[#This Row],[Customer_ID]],customers__2[#All],3,0)</f>
        <v>North</v>
      </c>
      <c r="J174" t="str">
        <f>VLOOKUP(orders__17[[#This Row],[Customer_ID]],customers__2[#All],4,0)</f>
        <v>Corporate</v>
      </c>
      <c r="K174" t="str">
        <f>VLOOKUP(orders__17[[#This Row],[Product_ID]],products[#All],3,0)</f>
        <v>Office Supplies</v>
      </c>
      <c r="L174" s="1" t="str">
        <f>VLOOKUP(orders__17[[#This Row],[Product_ID]],products[#All],4,0)</f>
        <v>Paper</v>
      </c>
      <c r="M174" s="1" t="str">
        <f>VLOOKUP(orders__17[[#This Row],[Order_ID]],returns[#All],2,0)</f>
        <v>No</v>
      </c>
    </row>
    <row r="175" spans="1:13" x14ac:dyDescent="0.3">
      <c r="A175" s="1" t="s">
        <v>379</v>
      </c>
      <c r="B175" s="2">
        <v>45027</v>
      </c>
      <c r="C175" s="1" t="s">
        <v>380</v>
      </c>
      <c r="D175" s="1" t="s">
        <v>263</v>
      </c>
      <c r="E175">
        <v>4</v>
      </c>
      <c r="F175" s="4">
        <v>508.88</v>
      </c>
      <c r="G175" s="3">
        <v>0</v>
      </c>
      <c r="H175" s="4">
        <v>81.95</v>
      </c>
      <c r="I175" t="str">
        <f>VLOOKUP(orders__17[[#This Row],[Customer_ID]],customers__2[#All],3,0)</f>
        <v>South</v>
      </c>
      <c r="J175" t="str">
        <f>VLOOKUP(orders__17[[#This Row],[Customer_ID]],customers__2[#All],4,0)</f>
        <v>Home Office</v>
      </c>
      <c r="K175" t="str">
        <f>VLOOKUP(orders__17[[#This Row],[Product_ID]],products[#All],3,0)</f>
        <v>Office Supplies</v>
      </c>
      <c r="L175" s="1" t="str">
        <f>VLOOKUP(orders__17[[#This Row],[Product_ID]],products[#All],4,0)</f>
        <v>Storage</v>
      </c>
      <c r="M175" s="1" t="str">
        <f>VLOOKUP(orders__17[[#This Row],[Order_ID]],returns[#All],2,0)</f>
        <v>No</v>
      </c>
    </row>
    <row r="176" spans="1:13" x14ac:dyDescent="0.3">
      <c r="A176" s="1" t="s">
        <v>381</v>
      </c>
      <c r="B176" s="2">
        <v>45237</v>
      </c>
      <c r="C176" s="1" t="s">
        <v>179</v>
      </c>
      <c r="D176" s="1" t="s">
        <v>48</v>
      </c>
      <c r="E176">
        <v>4</v>
      </c>
      <c r="F176" s="4">
        <v>123.03</v>
      </c>
      <c r="G176" s="3">
        <v>0.3</v>
      </c>
      <c r="H176" s="4">
        <v>26.93</v>
      </c>
      <c r="I176" t="str">
        <f>VLOOKUP(orders__17[[#This Row],[Customer_ID]],customers__2[#All],3,0)</f>
        <v>North</v>
      </c>
      <c r="J176" t="str">
        <f>VLOOKUP(orders__17[[#This Row],[Customer_ID]],customers__2[#All],4,0)</f>
        <v>Consumer</v>
      </c>
      <c r="K176" t="str">
        <f>VLOOKUP(orders__17[[#This Row],[Product_ID]],products[#All],3,0)</f>
        <v>Office Supplies</v>
      </c>
      <c r="L176" s="1" t="str">
        <f>VLOOKUP(orders__17[[#This Row],[Product_ID]],products[#All],4,0)</f>
        <v>Pen</v>
      </c>
      <c r="M176" s="1" t="str">
        <f>VLOOKUP(orders__17[[#This Row],[Order_ID]],returns[#All],2,0)</f>
        <v>No</v>
      </c>
    </row>
    <row r="177" spans="1:13" x14ac:dyDescent="0.3">
      <c r="A177" s="1" t="s">
        <v>382</v>
      </c>
      <c r="B177" s="2">
        <v>44715</v>
      </c>
      <c r="C177" s="1" t="s">
        <v>344</v>
      </c>
      <c r="D177" s="1" t="s">
        <v>130</v>
      </c>
      <c r="E177">
        <v>2</v>
      </c>
      <c r="F177" s="4">
        <v>558.28</v>
      </c>
      <c r="G177" s="3">
        <v>0</v>
      </c>
      <c r="H177" s="4">
        <v>98.94</v>
      </c>
      <c r="I177" t="str">
        <f>VLOOKUP(orders__17[[#This Row],[Customer_ID]],customers__2[#All],3,0)</f>
        <v>North</v>
      </c>
      <c r="J177" t="str">
        <f>VLOOKUP(orders__17[[#This Row],[Customer_ID]],customers__2[#All],4,0)</f>
        <v>Home Office</v>
      </c>
      <c r="K177" t="str">
        <f>VLOOKUP(orders__17[[#This Row],[Product_ID]],products[#All],3,0)</f>
        <v>Furniture</v>
      </c>
      <c r="L177" s="1" t="str">
        <f>VLOOKUP(orders__17[[#This Row],[Product_ID]],products[#All],4,0)</f>
        <v>Desk</v>
      </c>
      <c r="M177" s="1" t="str">
        <f>VLOOKUP(orders__17[[#This Row],[Order_ID]],returns[#All],2,0)</f>
        <v>Yes</v>
      </c>
    </row>
    <row r="178" spans="1:13" x14ac:dyDescent="0.3">
      <c r="A178" s="1" t="s">
        <v>383</v>
      </c>
      <c r="B178" s="2">
        <v>44887</v>
      </c>
      <c r="C178" s="1" t="s">
        <v>384</v>
      </c>
      <c r="D178" s="1" t="s">
        <v>341</v>
      </c>
      <c r="E178">
        <v>3</v>
      </c>
      <c r="F178" s="4">
        <v>1954.16</v>
      </c>
      <c r="G178" s="3">
        <v>0.1</v>
      </c>
      <c r="H178" s="4">
        <v>518.55999999999995</v>
      </c>
      <c r="I178" t="str">
        <f>VLOOKUP(orders__17[[#This Row],[Customer_ID]],customers__2[#All],3,0)</f>
        <v>East</v>
      </c>
      <c r="J178" t="str">
        <f>VLOOKUP(orders__17[[#This Row],[Customer_ID]],customers__2[#All],4,0)</f>
        <v>Corporate</v>
      </c>
      <c r="K178" t="str">
        <f>VLOOKUP(orders__17[[#This Row],[Product_ID]],products[#All],3,0)</f>
        <v>Technology</v>
      </c>
      <c r="L178" s="1" t="str">
        <f>VLOOKUP(orders__17[[#This Row],[Product_ID]],products[#All],4,0)</f>
        <v>Phone</v>
      </c>
      <c r="M178" s="1" t="str">
        <f>VLOOKUP(orders__17[[#This Row],[Order_ID]],returns[#All],2,0)</f>
        <v>Yes</v>
      </c>
    </row>
    <row r="179" spans="1:13" x14ac:dyDescent="0.3">
      <c r="A179" s="1" t="s">
        <v>385</v>
      </c>
      <c r="B179" s="2">
        <v>44799</v>
      </c>
      <c r="C179" s="1" t="s">
        <v>165</v>
      </c>
      <c r="D179" s="1" t="s">
        <v>61</v>
      </c>
      <c r="E179">
        <v>1</v>
      </c>
      <c r="F179" s="4">
        <v>1622.92</v>
      </c>
      <c r="G179" s="3">
        <v>0.2</v>
      </c>
      <c r="H179" s="4">
        <v>432.52</v>
      </c>
      <c r="I179" t="str">
        <f>VLOOKUP(orders__17[[#This Row],[Customer_ID]],customers__2[#All],3,0)</f>
        <v>West</v>
      </c>
      <c r="J179" t="str">
        <f>VLOOKUP(orders__17[[#This Row],[Customer_ID]],customers__2[#All],4,0)</f>
        <v>Corporate</v>
      </c>
      <c r="K179" t="str">
        <f>VLOOKUP(orders__17[[#This Row],[Product_ID]],products[#All],3,0)</f>
        <v>Office Supplies</v>
      </c>
      <c r="L179" s="1" t="str">
        <f>VLOOKUP(orders__17[[#This Row],[Product_ID]],products[#All],4,0)</f>
        <v>Binder</v>
      </c>
      <c r="M179" s="1" t="str">
        <f>VLOOKUP(orders__17[[#This Row],[Order_ID]],returns[#All],2,0)</f>
        <v>No</v>
      </c>
    </row>
    <row r="180" spans="1:13" x14ac:dyDescent="0.3">
      <c r="A180" s="1" t="s">
        <v>386</v>
      </c>
      <c r="B180" s="2">
        <v>44590</v>
      </c>
      <c r="C180" s="1" t="s">
        <v>355</v>
      </c>
      <c r="D180" s="1" t="s">
        <v>195</v>
      </c>
      <c r="E180">
        <v>5</v>
      </c>
      <c r="F180" s="4">
        <v>1923.2</v>
      </c>
      <c r="G180" s="3">
        <v>0</v>
      </c>
      <c r="H180" s="4">
        <v>100.93</v>
      </c>
      <c r="I180" t="str">
        <f>VLOOKUP(orders__17[[#This Row],[Customer_ID]],customers__2[#All],3,0)</f>
        <v>South</v>
      </c>
      <c r="J180" t="str">
        <f>VLOOKUP(orders__17[[#This Row],[Customer_ID]],customers__2[#All],4,0)</f>
        <v>Home Office</v>
      </c>
      <c r="K180" t="str">
        <f>VLOOKUP(orders__17[[#This Row],[Product_ID]],products[#All],3,0)</f>
        <v>Furniture</v>
      </c>
      <c r="L180" s="1" t="str">
        <f>VLOOKUP(orders__17[[#This Row],[Product_ID]],products[#All],4,0)</f>
        <v>Chair</v>
      </c>
      <c r="M180" s="1" t="str">
        <f>VLOOKUP(orders__17[[#This Row],[Order_ID]],returns[#All],2,0)</f>
        <v>No</v>
      </c>
    </row>
    <row r="181" spans="1:13" x14ac:dyDescent="0.3">
      <c r="A181" s="1" t="s">
        <v>387</v>
      </c>
      <c r="B181" s="2">
        <v>45024</v>
      </c>
      <c r="C181" s="1" t="s">
        <v>388</v>
      </c>
      <c r="D181" s="1" t="s">
        <v>304</v>
      </c>
      <c r="E181">
        <v>1</v>
      </c>
      <c r="F181" s="4">
        <v>1026.92</v>
      </c>
      <c r="G181" s="3">
        <v>0.3</v>
      </c>
      <c r="H181" s="4">
        <v>251.09</v>
      </c>
      <c r="I181" t="str">
        <f>VLOOKUP(orders__17[[#This Row],[Customer_ID]],customers__2[#All],3,0)</f>
        <v>East</v>
      </c>
      <c r="J181" t="str">
        <f>VLOOKUP(orders__17[[#This Row],[Customer_ID]],customers__2[#All],4,0)</f>
        <v>Home Office</v>
      </c>
      <c r="K181" t="str">
        <f>VLOOKUP(orders__17[[#This Row],[Product_ID]],products[#All],3,0)</f>
        <v>Technology</v>
      </c>
      <c r="L181" s="1" t="str">
        <f>VLOOKUP(orders__17[[#This Row],[Product_ID]],products[#All],4,0)</f>
        <v>Accessories</v>
      </c>
      <c r="M181" s="1" t="str">
        <f>VLOOKUP(orders__17[[#This Row],[Order_ID]],returns[#All],2,0)</f>
        <v>No</v>
      </c>
    </row>
    <row r="182" spans="1:13" x14ac:dyDescent="0.3">
      <c r="A182" s="1" t="s">
        <v>389</v>
      </c>
      <c r="B182" s="2">
        <v>44866</v>
      </c>
      <c r="C182" s="1" t="s">
        <v>56</v>
      </c>
      <c r="D182" s="1" t="s">
        <v>89</v>
      </c>
      <c r="E182">
        <v>1</v>
      </c>
      <c r="F182" s="4">
        <v>308.5</v>
      </c>
      <c r="G182" s="3">
        <v>0.2</v>
      </c>
      <c r="H182" s="4">
        <v>50.96</v>
      </c>
      <c r="I182" t="str">
        <f>VLOOKUP(orders__17[[#This Row],[Customer_ID]],customers__2[#All],3,0)</f>
        <v>South</v>
      </c>
      <c r="J182" t="str">
        <f>VLOOKUP(orders__17[[#This Row],[Customer_ID]],customers__2[#All],4,0)</f>
        <v>Consumer</v>
      </c>
      <c r="K182" t="str">
        <f>VLOOKUP(orders__17[[#This Row],[Product_ID]],products[#All],3,0)</f>
        <v>Technology</v>
      </c>
      <c r="L182" s="1" t="str">
        <f>VLOOKUP(orders__17[[#This Row],[Product_ID]],products[#All],4,0)</f>
        <v>Phone</v>
      </c>
      <c r="M182" s="1" t="str">
        <f>VLOOKUP(orders__17[[#This Row],[Order_ID]],returns[#All],2,0)</f>
        <v>No</v>
      </c>
    </row>
    <row r="183" spans="1:13" x14ac:dyDescent="0.3">
      <c r="A183" s="1" t="s">
        <v>390</v>
      </c>
      <c r="B183" s="2">
        <v>45266</v>
      </c>
      <c r="C183" s="1" t="s">
        <v>391</v>
      </c>
      <c r="D183" s="1" t="s">
        <v>392</v>
      </c>
      <c r="E183">
        <v>3</v>
      </c>
      <c r="F183" s="4">
        <v>1141.1199999999999</v>
      </c>
      <c r="G183" s="3">
        <v>0.2</v>
      </c>
      <c r="H183" s="4">
        <v>339.15</v>
      </c>
      <c r="I183" t="str">
        <f>VLOOKUP(orders__17[[#This Row],[Customer_ID]],customers__2[#All],3,0)</f>
        <v>West</v>
      </c>
      <c r="J183" t="str">
        <f>VLOOKUP(orders__17[[#This Row],[Customer_ID]],customers__2[#All],4,0)</f>
        <v>Corporate</v>
      </c>
      <c r="K183" t="str">
        <f>VLOOKUP(orders__17[[#This Row],[Product_ID]],products[#All],3,0)</f>
        <v>Furniture</v>
      </c>
      <c r="L183" s="1" t="str">
        <f>VLOOKUP(orders__17[[#This Row],[Product_ID]],products[#All],4,0)</f>
        <v>Desk</v>
      </c>
      <c r="M183" s="1" t="str">
        <f>VLOOKUP(orders__17[[#This Row],[Order_ID]],returns[#All],2,0)</f>
        <v>No</v>
      </c>
    </row>
    <row r="184" spans="1:13" x14ac:dyDescent="0.3">
      <c r="A184" s="1" t="s">
        <v>393</v>
      </c>
      <c r="B184" s="2">
        <v>45116</v>
      </c>
      <c r="C184" s="1" t="s">
        <v>394</v>
      </c>
      <c r="D184" s="1" t="s">
        <v>226</v>
      </c>
      <c r="E184">
        <v>1</v>
      </c>
      <c r="F184" s="4">
        <v>963.32</v>
      </c>
      <c r="G184" s="3">
        <v>0.1</v>
      </c>
      <c r="H184" s="4">
        <v>164.54</v>
      </c>
      <c r="I184" t="str">
        <f>VLOOKUP(orders__17[[#This Row],[Customer_ID]],customers__2[#All],3,0)</f>
        <v>West</v>
      </c>
      <c r="J184" t="str">
        <f>VLOOKUP(orders__17[[#This Row],[Customer_ID]],customers__2[#All],4,0)</f>
        <v>Home Office</v>
      </c>
      <c r="K184" t="str">
        <f>VLOOKUP(orders__17[[#This Row],[Product_ID]],products[#All],3,0)</f>
        <v>Technology</v>
      </c>
      <c r="L184" s="1" t="str">
        <f>VLOOKUP(orders__17[[#This Row],[Product_ID]],products[#All],4,0)</f>
        <v>Laptop</v>
      </c>
      <c r="M184" s="1" t="str">
        <f>VLOOKUP(orders__17[[#This Row],[Order_ID]],returns[#All],2,0)</f>
        <v>No</v>
      </c>
    </row>
    <row r="185" spans="1:13" x14ac:dyDescent="0.3">
      <c r="A185" s="1" t="s">
        <v>395</v>
      </c>
      <c r="B185" s="2">
        <v>44592</v>
      </c>
      <c r="C185" s="1" t="s">
        <v>396</v>
      </c>
      <c r="D185" s="1" t="s">
        <v>397</v>
      </c>
      <c r="E185">
        <v>2</v>
      </c>
      <c r="F185" s="4">
        <v>1704.28</v>
      </c>
      <c r="G185" s="3">
        <v>0.3</v>
      </c>
      <c r="H185" s="4">
        <v>505.7</v>
      </c>
      <c r="I185" t="str">
        <f>VLOOKUP(orders__17[[#This Row],[Customer_ID]],customers__2[#All],3,0)</f>
        <v>West</v>
      </c>
      <c r="J185" t="str">
        <f>VLOOKUP(orders__17[[#This Row],[Customer_ID]],customers__2[#All],4,0)</f>
        <v>Home Office</v>
      </c>
      <c r="K185" t="str">
        <f>VLOOKUP(orders__17[[#This Row],[Product_ID]],products[#All],3,0)</f>
        <v>Office Supplies</v>
      </c>
      <c r="L185" s="1" t="str">
        <f>VLOOKUP(orders__17[[#This Row],[Product_ID]],products[#All],4,0)</f>
        <v>Pen</v>
      </c>
      <c r="M185" s="1" t="str">
        <f>VLOOKUP(orders__17[[#This Row],[Order_ID]],returns[#All],2,0)</f>
        <v>Yes</v>
      </c>
    </row>
    <row r="186" spans="1:13" x14ac:dyDescent="0.3">
      <c r="A186" s="1" t="s">
        <v>398</v>
      </c>
      <c r="B186" s="2">
        <v>44608</v>
      </c>
      <c r="C186" s="1" t="s">
        <v>96</v>
      </c>
      <c r="D186" s="1" t="s">
        <v>147</v>
      </c>
      <c r="E186">
        <v>2</v>
      </c>
      <c r="F186" s="4">
        <v>286.36</v>
      </c>
      <c r="G186" s="3">
        <v>0</v>
      </c>
      <c r="H186" s="4">
        <v>68.34</v>
      </c>
      <c r="I186" t="str">
        <f>VLOOKUP(orders__17[[#This Row],[Customer_ID]],customers__2[#All],3,0)</f>
        <v>West</v>
      </c>
      <c r="J186" t="str">
        <f>VLOOKUP(orders__17[[#This Row],[Customer_ID]],customers__2[#All],4,0)</f>
        <v>Corporate</v>
      </c>
      <c r="K186" t="str">
        <f>VLOOKUP(orders__17[[#This Row],[Product_ID]],products[#All],3,0)</f>
        <v>Technology</v>
      </c>
      <c r="L186" s="1" t="str">
        <f>VLOOKUP(orders__17[[#This Row],[Product_ID]],products[#All],4,0)</f>
        <v>Laptop</v>
      </c>
      <c r="M186" s="1" t="str">
        <f>VLOOKUP(orders__17[[#This Row],[Order_ID]],returns[#All],2,0)</f>
        <v>Yes</v>
      </c>
    </row>
    <row r="187" spans="1:13" x14ac:dyDescent="0.3">
      <c r="A187" s="1" t="s">
        <v>399</v>
      </c>
      <c r="B187" s="2">
        <v>44802</v>
      </c>
      <c r="C187" s="1" t="s">
        <v>104</v>
      </c>
      <c r="D187" s="1" t="s">
        <v>400</v>
      </c>
      <c r="E187">
        <v>4</v>
      </c>
      <c r="F187" s="4">
        <v>1027.6600000000001</v>
      </c>
      <c r="G187" s="3">
        <v>0.3</v>
      </c>
      <c r="H187" s="4">
        <v>115.25</v>
      </c>
      <c r="I187" t="str">
        <f>VLOOKUP(orders__17[[#This Row],[Customer_ID]],customers__2[#All],3,0)</f>
        <v>West</v>
      </c>
      <c r="J187" t="str">
        <f>VLOOKUP(orders__17[[#This Row],[Customer_ID]],customers__2[#All],4,0)</f>
        <v>Corporate</v>
      </c>
      <c r="K187" t="str">
        <f>VLOOKUP(orders__17[[#This Row],[Product_ID]],products[#All],3,0)</f>
        <v>Office Supplies</v>
      </c>
      <c r="L187" s="1" t="str">
        <f>VLOOKUP(orders__17[[#This Row],[Product_ID]],products[#All],4,0)</f>
        <v>Paper</v>
      </c>
      <c r="M187" s="1" t="str">
        <f>VLOOKUP(orders__17[[#This Row],[Order_ID]],returns[#All],2,0)</f>
        <v>No</v>
      </c>
    </row>
    <row r="188" spans="1:13" x14ac:dyDescent="0.3">
      <c r="A188" s="1" t="s">
        <v>401</v>
      </c>
      <c r="B188" s="2">
        <v>45051</v>
      </c>
      <c r="C188" s="1" t="s">
        <v>402</v>
      </c>
      <c r="D188" s="1" t="s">
        <v>122</v>
      </c>
      <c r="E188">
        <v>5</v>
      </c>
      <c r="F188" s="4">
        <v>385.09</v>
      </c>
      <c r="G188" s="3">
        <v>0.2</v>
      </c>
      <c r="H188" s="4">
        <v>71.09</v>
      </c>
      <c r="I188" t="str">
        <f>VLOOKUP(orders__17[[#This Row],[Customer_ID]],customers__2[#All],3,0)</f>
        <v>West</v>
      </c>
      <c r="J188" t="str">
        <f>VLOOKUP(orders__17[[#This Row],[Customer_ID]],customers__2[#All],4,0)</f>
        <v>Consumer</v>
      </c>
      <c r="K188" t="str">
        <f>VLOOKUP(orders__17[[#This Row],[Product_ID]],products[#All],3,0)</f>
        <v>Office Supplies</v>
      </c>
      <c r="L188" s="1" t="str">
        <f>VLOOKUP(orders__17[[#This Row],[Product_ID]],products[#All],4,0)</f>
        <v>Storage</v>
      </c>
      <c r="M188" s="1" t="str">
        <f>VLOOKUP(orders__17[[#This Row],[Order_ID]],returns[#All],2,0)</f>
        <v>No</v>
      </c>
    </row>
    <row r="189" spans="1:13" x14ac:dyDescent="0.3">
      <c r="A189" s="1" t="s">
        <v>403</v>
      </c>
      <c r="B189" s="2">
        <v>44625</v>
      </c>
      <c r="C189" s="1" t="s">
        <v>404</v>
      </c>
      <c r="D189" s="1" t="s">
        <v>211</v>
      </c>
      <c r="E189">
        <v>1</v>
      </c>
      <c r="F189" s="4">
        <v>716.88</v>
      </c>
      <c r="G189" s="3">
        <v>0.3</v>
      </c>
      <c r="H189" s="4">
        <v>213.65</v>
      </c>
      <c r="I189" t="str">
        <f>VLOOKUP(orders__17[[#This Row],[Customer_ID]],customers__2[#All],3,0)</f>
        <v>West</v>
      </c>
      <c r="J189" t="str">
        <f>VLOOKUP(orders__17[[#This Row],[Customer_ID]],customers__2[#All],4,0)</f>
        <v>Home Office</v>
      </c>
      <c r="K189" t="str">
        <f>VLOOKUP(orders__17[[#This Row],[Product_ID]],products[#All],3,0)</f>
        <v>Office Supplies</v>
      </c>
      <c r="L189" s="1" t="str">
        <f>VLOOKUP(orders__17[[#This Row],[Product_ID]],products[#All],4,0)</f>
        <v>Binder</v>
      </c>
      <c r="M189" s="1" t="str">
        <f>VLOOKUP(orders__17[[#This Row],[Order_ID]],returns[#All],2,0)</f>
        <v>No</v>
      </c>
    </row>
    <row r="190" spans="1:13" x14ac:dyDescent="0.3">
      <c r="A190" s="1" t="s">
        <v>405</v>
      </c>
      <c r="B190" s="2">
        <v>45062</v>
      </c>
      <c r="C190" s="1" t="s">
        <v>406</v>
      </c>
      <c r="D190" s="1" t="s">
        <v>72</v>
      </c>
      <c r="E190">
        <v>1</v>
      </c>
      <c r="F190" s="4">
        <v>1500.98</v>
      </c>
      <c r="G190" s="3">
        <v>0</v>
      </c>
      <c r="H190" s="4">
        <v>396.83</v>
      </c>
      <c r="I190" t="str">
        <f>VLOOKUP(orders__17[[#This Row],[Customer_ID]],customers__2[#All],3,0)</f>
        <v>East</v>
      </c>
      <c r="J190" t="str">
        <f>VLOOKUP(orders__17[[#This Row],[Customer_ID]],customers__2[#All],4,0)</f>
        <v>Home Office</v>
      </c>
      <c r="K190" t="str">
        <f>VLOOKUP(orders__17[[#This Row],[Product_ID]],products[#All],3,0)</f>
        <v>Furniture</v>
      </c>
      <c r="L190" s="1" t="str">
        <f>VLOOKUP(orders__17[[#This Row],[Product_ID]],products[#All],4,0)</f>
        <v>Chair</v>
      </c>
      <c r="M190" s="1" t="str">
        <f>VLOOKUP(orders__17[[#This Row],[Order_ID]],returns[#All],2,0)</f>
        <v>No</v>
      </c>
    </row>
    <row r="191" spans="1:13" x14ac:dyDescent="0.3">
      <c r="A191" s="1" t="s">
        <v>407</v>
      </c>
      <c r="B191" s="2">
        <v>45318</v>
      </c>
      <c r="C191" s="1" t="s">
        <v>36</v>
      </c>
      <c r="D191" s="1" t="s">
        <v>211</v>
      </c>
      <c r="E191">
        <v>3</v>
      </c>
      <c r="F191" s="4">
        <v>1004.43</v>
      </c>
      <c r="G191" s="3">
        <v>0</v>
      </c>
      <c r="H191" s="4">
        <v>74.67</v>
      </c>
      <c r="I191" t="str">
        <f>VLOOKUP(orders__17[[#This Row],[Customer_ID]],customers__2[#All],3,0)</f>
        <v>North</v>
      </c>
      <c r="J191" t="str">
        <f>VLOOKUP(orders__17[[#This Row],[Customer_ID]],customers__2[#All],4,0)</f>
        <v>Consumer</v>
      </c>
      <c r="K191" t="str">
        <f>VLOOKUP(orders__17[[#This Row],[Product_ID]],products[#All],3,0)</f>
        <v>Office Supplies</v>
      </c>
      <c r="L191" s="1" t="str">
        <f>VLOOKUP(orders__17[[#This Row],[Product_ID]],products[#All],4,0)</f>
        <v>Binder</v>
      </c>
      <c r="M191" s="1" t="str">
        <f>VLOOKUP(orders__17[[#This Row],[Order_ID]],returns[#All],2,0)</f>
        <v>No</v>
      </c>
    </row>
    <row r="192" spans="1:13" x14ac:dyDescent="0.3">
      <c r="A192" s="1" t="s">
        <v>408</v>
      </c>
      <c r="B192" s="2">
        <v>44933</v>
      </c>
      <c r="C192" s="1" t="s">
        <v>277</v>
      </c>
      <c r="D192" s="1" t="s">
        <v>188</v>
      </c>
      <c r="E192">
        <v>2</v>
      </c>
      <c r="F192" s="4">
        <v>814.19</v>
      </c>
      <c r="G192" s="3">
        <v>0.1</v>
      </c>
      <c r="H192" s="4">
        <v>184.49</v>
      </c>
      <c r="I192" t="str">
        <f>VLOOKUP(orders__17[[#This Row],[Customer_ID]],customers__2[#All],3,0)</f>
        <v>North</v>
      </c>
      <c r="J192" t="str">
        <f>VLOOKUP(orders__17[[#This Row],[Customer_ID]],customers__2[#All],4,0)</f>
        <v>Corporate</v>
      </c>
      <c r="K192" t="str">
        <f>VLOOKUP(orders__17[[#This Row],[Product_ID]],products[#All],3,0)</f>
        <v>Technology</v>
      </c>
      <c r="L192" s="1" t="str">
        <f>VLOOKUP(orders__17[[#This Row],[Product_ID]],products[#All],4,0)</f>
        <v>Laptop</v>
      </c>
      <c r="M192" s="1" t="str">
        <f>VLOOKUP(orders__17[[#This Row],[Order_ID]],returns[#All],2,0)</f>
        <v>No</v>
      </c>
    </row>
    <row r="193" spans="1:13" x14ac:dyDescent="0.3">
      <c r="A193" s="1" t="s">
        <v>409</v>
      </c>
      <c r="B193" s="2">
        <v>45276</v>
      </c>
      <c r="C193" s="1" t="s">
        <v>198</v>
      </c>
      <c r="D193" s="1" t="s">
        <v>201</v>
      </c>
      <c r="E193">
        <v>5</v>
      </c>
      <c r="F193" s="4">
        <v>849.5</v>
      </c>
      <c r="G193" s="3">
        <v>0</v>
      </c>
      <c r="H193" s="4">
        <v>115.87</v>
      </c>
      <c r="I193" t="str">
        <f>VLOOKUP(orders__17[[#This Row],[Customer_ID]],customers__2[#All],3,0)</f>
        <v>North</v>
      </c>
      <c r="J193" t="str">
        <f>VLOOKUP(orders__17[[#This Row],[Customer_ID]],customers__2[#All],4,0)</f>
        <v>Consumer</v>
      </c>
      <c r="K193" t="str">
        <f>VLOOKUP(orders__17[[#This Row],[Product_ID]],products[#All],3,0)</f>
        <v>Office Supplies</v>
      </c>
      <c r="L193" s="1" t="str">
        <f>VLOOKUP(orders__17[[#This Row],[Product_ID]],products[#All],4,0)</f>
        <v>Paper</v>
      </c>
      <c r="M193" s="1" t="str">
        <f>VLOOKUP(orders__17[[#This Row],[Order_ID]],returns[#All],2,0)</f>
        <v>No</v>
      </c>
    </row>
    <row r="194" spans="1:13" x14ac:dyDescent="0.3">
      <c r="A194" s="1" t="s">
        <v>410</v>
      </c>
      <c r="B194" s="2">
        <v>44803</v>
      </c>
      <c r="C194" s="1" t="s">
        <v>165</v>
      </c>
      <c r="D194" s="1" t="s">
        <v>294</v>
      </c>
      <c r="E194">
        <v>4</v>
      </c>
      <c r="F194" s="4">
        <v>972.95</v>
      </c>
      <c r="G194" s="3">
        <v>0</v>
      </c>
      <c r="H194" s="4">
        <v>50.35</v>
      </c>
      <c r="I194" t="str">
        <f>VLOOKUP(orders__17[[#This Row],[Customer_ID]],customers__2[#All],3,0)</f>
        <v>West</v>
      </c>
      <c r="J194" t="str">
        <f>VLOOKUP(orders__17[[#This Row],[Customer_ID]],customers__2[#All],4,0)</f>
        <v>Corporate</v>
      </c>
      <c r="K194" t="str">
        <f>VLOOKUP(orders__17[[#This Row],[Product_ID]],products[#All],3,0)</f>
        <v>Technology</v>
      </c>
      <c r="L194" s="1" t="str">
        <f>VLOOKUP(orders__17[[#This Row],[Product_ID]],products[#All],4,0)</f>
        <v>Tablet</v>
      </c>
      <c r="M194" s="1" t="str">
        <f>VLOOKUP(orders__17[[#This Row],[Order_ID]],returns[#All],2,0)</f>
        <v>Yes</v>
      </c>
    </row>
    <row r="195" spans="1:13" x14ac:dyDescent="0.3">
      <c r="A195" s="1" t="s">
        <v>411</v>
      </c>
      <c r="B195" s="2">
        <v>45344</v>
      </c>
      <c r="C195" s="1" t="s">
        <v>412</v>
      </c>
      <c r="D195" s="1" t="s">
        <v>288</v>
      </c>
      <c r="E195">
        <v>2</v>
      </c>
      <c r="F195" s="4">
        <v>1591.53</v>
      </c>
      <c r="G195" s="3">
        <v>0.3</v>
      </c>
      <c r="H195" s="4">
        <v>240.11</v>
      </c>
      <c r="I195" t="str">
        <f>VLOOKUP(orders__17[[#This Row],[Customer_ID]],customers__2[#All],3,0)</f>
        <v>North</v>
      </c>
      <c r="J195" t="str">
        <f>VLOOKUP(orders__17[[#This Row],[Customer_ID]],customers__2[#All],4,0)</f>
        <v>Consumer</v>
      </c>
      <c r="K195" t="str">
        <f>VLOOKUP(orders__17[[#This Row],[Product_ID]],products[#All],3,0)</f>
        <v>Furniture</v>
      </c>
      <c r="L195" s="1" t="str">
        <f>VLOOKUP(orders__17[[#This Row],[Product_ID]],products[#All],4,0)</f>
        <v>Chair</v>
      </c>
      <c r="M195" s="1" t="str">
        <f>VLOOKUP(orders__17[[#This Row],[Order_ID]],returns[#All],2,0)</f>
        <v>No</v>
      </c>
    </row>
    <row r="196" spans="1:13" x14ac:dyDescent="0.3">
      <c r="A196" s="1" t="s">
        <v>413</v>
      </c>
      <c r="B196" s="2">
        <v>44566</v>
      </c>
      <c r="C196" s="1" t="s">
        <v>332</v>
      </c>
      <c r="D196" s="1" t="s">
        <v>249</v>
      </c>
      <c r="E196">
        <v>4</v>
      </c>
      <c r="F196" s="4">
        <v>1794.96</v>
      </c>
      <c r="G196" s="3">
        <v>0.3</v>
      </c>
      <c r="H196" s="4">
        <v>195.09</v>
      </c>
      <c r="I196" t="str">
        <f>VLOOKUP(orders__17[[#This Row],[Customer_ID]],customers__2[#All],3,0)</f>
        <v>North</v>
      </c>
      <c r="J196" t="str">
        <f>VLOOKUP(orders__17[[#This Row],[Customer_ID]],customers__2[#All],4,0)</f>
        <v>Home Office</v>
      </c>
      <c r="K196" t="str">
        <f>VLOOKUP(orders__17[[#This Row],[Product_ID]],products[#All],3,0)</f>
        <v>Office Supplies</v>
      </c>
      <c r="L196" s="1" t="str">
        <f>VLOOKUP(orders__17[[#This Row],[Product_ID]],products[#All],4,0)</f>
        <v>Paper</v>
      </c>
      <c r="M196" s="1" t="str">
        <f>VLOOKUP(orders__17[[#This Row],[Order_ID]],returns[#All],2,0)</f>
        <v>No</v>
      </c>
    </row>
    <row r="197" spans="1:13" x14ac:dyDescent="0.3">
      <c r="A197" s="1" t="s">
        <v>414</v>
      </c>
      <c r="B197" s="2">
        <v>44628</v>
      </c>
      <c r="C197" s="1" t="s">
        <v>380</v>
      </c>
      <c r="D197" s="1" t="s">
        <v>369</v>
      </c>
      <c r="E197">
        <v>3</v>
      </c>
      <c r="F197" s="4">
        <v>1915.14</v>
      </c>
      <c r="G197" s="3">
        <v>0.2</v>
      </c>
      <c r="H197" s="4">
        <v>487.82</v>
      </c>
      <c r="I197" t="str">
        <f>VLOOKUP(orders__17[[#This Row],[Customer_ID]],customers__2[#All],3,0)</f>
        <v>South</v>
      </c>
      <c r="J197" t="str">
        <f>VLOOKUP(orders__17[[#This Row],[Customer_ID]],customers__2[#All],4,0)</f>
        <v>Home Office</v>
      </c>
      <c r="K197" t="str">
        <f>VLOOKUP(orders__17[[#This Row],[Product_ID]],products[#All],3,0)</f>
        <v>Technology</v>
      </c>
      <c r="L197" s="1" t="str">
        <f>VLOOKUP(orders__17[[#This Row],[Product_ID]],products[#All],4,0)</f>
        <v>Phone</v>
      </c>
      <c r="M197" s="1" t="str">
        <f>VLOOKUP(orders__17[[#This Row],[Order_ID]],returns[#All],2,0)</f>
        <v>Yes</v>
      </c>
    </row>
    <row r="198" spans="1:13" x14ac:dyDescent="0.3">
      <c r="A198" s="1" t="s">
        <v>415</v>
      </c>
      <c r="B198" s="2">
        <v>45354</v>
      </c>
      <c r="C198" s="1" t="s">
        <v>338</v>
      </c>
      <c r="D198" s="1" t="s">
        <v>141</v>
      </c>
      <c r="E198">
        <v>3</v>
      </c>
      <c r="F198" s="4">
        <v>1595.12</v>
      </c>
      <c r="G198" s="3">
        <v>0.1</v>
      </c>
      <c r="H198" s="4">
        <v>214.28</v>
      </c>
      <c r="I198" t="str">
        <f>VLOOKUP(orders__17[[#This Row],[Customer_ID]],customers__2[#All],3,0)</f>
        <v>East</v>
      </c>
      <c r="J198" t="str">
        <f>VLOOKUP(orders__17[[#This Row],[Customer_ID]],customers__2[#All],4,0)</f>
        <v>Corporate</v>
      </c>
      <c r="K198" t="str">
        <f>VLOOKUP(orders__17[[#This Row],[Product_ID]],products[#All],3,0)</f>
        <v>Technology</v>
      </c>
      <c r="L198" s="1" t="str">
        <f>VLOOKUP(orders__17[[#This Row],[Product_ID]],products[#All],4,0)</f>
        <v>Phone</v>
      </c>
      <c r="M198" s="1" t="str">
        <f>VLOOKUP(orders__17[[#This Row],[Order_ID]],returns[#All],2,0)</f>
        <v>No</v>
      </c>
    </row>
    <row r="199" spans="1:13" x14ac:dyDescent="0.3">
      <c r="A199" s="1" t="s">
        <v>416</v>
      </c>
      <c r="B199" s="2">
        <v>45071</v>
      </c>
      <c r="C199" s="1" t="s">
        <v>417</v>
      </c>
      <c r="D199" s="1" t="s">
        <v>45</v>
      </c>
      <c r="E199">
        <v>1</v>
      </c>
      <c r="F199" s="4">
        <v>699.27</v>
      </c>
      <c r="G199" s="3">
        <v>0.3</v>
      </c>
      <c r="H199" s="4">
        <v>179.63</v>
      </c>
      <c r="I199" t="str">
        <f>VLOOKUP(orders__17[[#This Row],[Customer_ID]],customers__2[#All],3,0)</f>
        <v>East</v>
      </c>
      <c r="J199" t="str">
        <f>VLOOKUP(orders__17[[#This Row],[Customer_ID]],customers__2[#All],4,0)</f>
        <v>Consumer</v>
      </c>
      <c r="K199" t="str">
        <f>VLOOKUP(orders__17[[#This Row],[Product_ID]],products[#All],3,0)</f>
        <v>Office Supplies</v>
      </c>
      <c r="L199" s="1" t="str">
        <f>VLOOKUP(orders__17[[#This Row],[Product_ID]],products[#All],4,0)</f>
        <v>Pen</v>
      </c>
      <c r="M199" s="1" t="str">
        <f>VLOOKUP(orders__17[[#This Row],[Order_ID]],returns[#All],2,0)</f>
        <v>No</v>
      </c>
    </row>
    <row r="200" spans="1:13" x14ac:dyDescent="0.3">
      <c r="A200" s="1" t="s">
        <v>418</v>
      </c>
      <c r="B200" s="2">
        <v>44863</v>
      </c>
      <c r="C200" s="1" t="s">
        <v>287</v>
      </c>
      <c r="D200" s="1" t="s">
        <v>10</v>
      </c>
      <c r="E200">
        <v>5</v>
      </c>
      <c r="F200" s="4">
        <v>1407.46</v>
      </c>
      <c r="G200" s="3">
        <v>0</v>
      </c>
      <c r="H200" s="4">
        <v>70.58</v>
      </c>
      <c r="I200" t="str">
        <f>VLOOKUP(orders__17[[#This Row],[Customer_ID]],customers__2[#All],3,0)</f>
        <v>South</v>
      </c>
      <c r="J200" t="str">
        <f>VLOOKUP(orders__17[[#This Row],[Customer_ID]],customers__2[#All],4,0)</f>
        <v>Consumer</v>
      </c>
      <c r="K200" t="str">
        <f>VLOOKUP(orders__17[[#This Row],[Product_ID]],products[#All],3,0)</f>
        <v>Technology</v>
      </c>
      <c r="L200" s="1" t="str">
        <f>VLOOKUP(orders__17[[#This Row],[Product_ID]],products[#All],4,0)</f>
        <v>Tablet</v>
      </c>
      <c r="M200" s="1" t="str">
        <f>VLOOKUP(orders__17[[#This Row],[Order_ID]],returns[#All],2,0)</f>
        <v>No</v>
      </c>
    </row>
    <row r="201" spans="1:13" x14ac:dyDescent="0.3">
      <c r="A201" s="1" t="s">
        <v>419</v>
      </c>
      <c r="B201" s="2">
        <v>44815</v>
      </c>
      <c r="C201" s="1" t="s">
        <v>420</v>
      </c>
      <c r="D201" s="1" t="s">
        <v>34</v>
      </c>
      <c r="E201">
        <v>4</v>
      </c>
      <c r="F201" s="4">
        <v>931.45</v>
      </c>
      <c r="G201" s="3">
        <v>0.2</v>
      </c>
      <c r="H201" s="4">
        <v>118.25</v>
      </c>
      <c r="I201" t="str">
        <f>VLOOKUP(orders__17[[#This Row],[Customer_ID]],customers__2[#All],3,0)</f>
        <v>West</v>
      </c>
      <c r="J201" t="str">
        <f>VLOOKUP(orders__17[[#This Row],[Customer_ID]],customers__2[#All],4,0)</f>
        <v>Home Office</v>
      </c>
      <c r="K201" t="str">
        <f>VLOOKUP(orders__17[[#This Row],[Product_ID]],products[#All],3,0)</f>
        <v>Furniture</v>
      </c>
      <c r="L201" s="1" t="str">
        <f>VLOOKUP(orders__17[[#This Row],[Product_ID]],products[#All],4,0)</f>
        <v>Table</v>
      </c>
      <c r="M201" s="1" t="str">
        <f>VLOOKUP(orders__17[[#This Row],[Order_ID]],returns[#All],2,0)</f>
        <v>No</v>
      </c>
    </row>
    <row r="202" spans="1:13" x14ac:dyDescent="0.3">
      <c r="A202" s="1" t="s">
        <v>421</v>
      </c>
      <c r="B202" s="2">
        <v>44584</v>
      </c>
      <c r="C202" s="1" t="s">
        <v>422</v>
      </c>
      <c r="D202" s="1" t="s">
        <v>177</v>
      </c>
      <c r="E202">
        <v>2</v>
      </c>
      <c r="F202" s="4">
        <v>583.87</v>
      </c>
      <c r="G202" s="3">
        <v>0.3</v>
      </c>
      <c r="H202" s="4">
        <v>64.400000000000006</v>
      </c>
      <c r="I202" t="str">
        <f>VLOOKUP(orders__17[[#This Row],[Customer_ID]],customers__2[#All],3,0)</f>
        <v>East</v>
      </c>
      <c r="J202" t="str">
        <f>VLOOKUP(orders__17[[#This Row],[Customer_ID]],customers__2[#All],4,0)</f>
        <v>Home Office</v>
      </c>
      <c r="K202" t="str">
        <f>VLOOKUP(orders__17[[#This Row],[Product_ID]],products[#All],3,0)</f>
        <v>Furniture</v>
      </c>
      <c r="L202" s="1" t="str">
        <f>VLOOKUP(orders__17[[#This Row],[Product_ID]],products[#All],4,0)</f>
        <v>Table</v>
      </c>
      <c r="M202" s="1" t="str">
        <f>VLOOKUP(orders__17[[#This Row],[Order_ID]],returns[#All],2,0)</f>
        <v>No</v>
      </c>
    </row>
    <row r="203" spans="1:13" x14ac:dyDescent="0.3">
      <c r="A203" s="1" t="s">
        <v>423</v>
      </c>
      <c r="B203" s="2">
        <v>44899</v>
      </c>
      <c r="C203" s="1" t="s">
        <v>9</v>
      </c>
      <c r="D203" s="1" t="s">
        <v>45</v>
      </c>
      <c r="E203">
        <v>3</v>
      </c>
      <c r="F203" s="4">
        <v>1697.66</v>
      </c>
      <c r="G203" s="3">
        <v>0.1</v>
      </c>
      <c r="H203" s="4">
        <v>184.01</v>
      </c>
      <c r="I203" t="str">
        <f>VLOOKUP(orders__17[[#This Row],[Customer_ID]],customers__2[#All],3,0)</f>
        <v>East</v>
      </c>
      <c r="J203" t="str">
        <f>VLOOKUP(orders__17[[#This Row],[Customer_ID]],customers__2[#All],4,0)</f>
        <v>Consumer</v>
      </c>
      <c r="K203" t="str">
        <f>VLOOKUP(orders__17[[#This Row],[Product_ID]],products[#All],3,0)</f>
        <v>Office Supplies</v>
      </c>
      <c r="L203" s="1" t="str">
        <f>VLOOKUP(orders__17[[#This Row],[Product_ID]],products[#All],4,0)</f>
        <v>Pen</v>
      </c>
      <c r="M203" s="1" t="str">
        <f>VLOOKUP(orders__17[[#This Row],[Order_ID]],returns[#All],2,0)</f>
        <v>Yes</v>
      </c>
    </row>
    <row r="204" spans="1:13" x14ac:dyDescent="0.3">
      <c r="A204" s="1" t="s">
        <v>424</v>
      </c>
      <c r="B204" s="2">
        <v>44902</v>
      </c>
      <c r="C204" s="1" t="s">
        <v>425</v>
      </c>
      <c r="D204" s="1" t="s">
        <v>70</v>
      </c>
      <c r="E204">
        <v>1</v>
      </c>
      <c r="F204" s="4">
        <v>173.01</v>
      </c>
      <c r="G204" s="3">
        <v>0.1</v>
      </c>
      <c r="H204" s="4">
        <v>11.6</v>
      </c>
      <c r="I204" t="str">
        <f>VLOOKUP(orders__17[[#This Row],[Customer_ID]],customers__2[#All],3,0)</f>
        <v>East</v>
      </c>
      <c r="J204" t="str">
        <f>VLOOKUP(orders__17[[#This Row],[Customer_ID]],customers__2[#All],4,0)</f>
        <v>Home Office</v>
      </c>
      <c r="K204" t="str">
        <f>VLOOKUP(orders__17[[#This Row],[Product_ID]],products[#All],3,0)</f>
        <v>Office Supplies</v>
      </c>
      <c r="L204" s="1" t="str">
        <f>VLOOKUP(orders__17[[#This Row],[Product_ID]],products[#All],4,0)</f>
        <v>Paper</v>
      </c>
      <c r="M204" s="1" t="str">
        <f>VLOOKUP(orders__17[[#This Row],[Order_ID]],returns[#All],2,0)</f>
        <v>No</v>
      </c>
    </row>
    <row r="205" spans="1:13" x14ac:dyDescent="0.3">
      <c r="A205" s="1" t="s">
        <v>426</v>
      </c>
      <c r="B205" s="2">
        <v>45225</v>
      </c>
      <c r="C205" s="1" t="s">
        <v>300</v>
      </c>
      <c r="D205" s="1" t="s">
        <v>75</v>
      </c>
      <c r="E205">
        <v>1</v>
      </c>
      <c r="F205" s="4">
        <v>1813.35</v>
      </c>
      <c r="G205" s="3">
        <v>0.2</v>
      </c>
      <c r="H205" s="4">
        <v>175.5</v>
      </c>
      <c r="I205" t="str">
        <f>VLOOKUP(orders__17[[#This Row],[Customer_ID]],customers__2[#All],3,0)</f>
        <v>East</v>
      </c>
      <c r="J205" t="str">
        <f>VLOOKUP(orders__17[[#This Row],[Customer_ID]],customers__2[#All],4,0)</f>
        <v>Home Office</v>
      </c>
      <c r="K205" t="str">
        <f>VLOOKUP(orders__17[[#This Row],[Product_ID]],products[#All],3,0)</f>
        <v>Technology</v>
      </c>
      <c r="L205" s="1" t="str">
        <f>VLOOKUP(orders__17[[#This Row],[Product_ID]],products[#All],4,0)</f>
        <v>Tablet</v>
      </c>
      <c r="M205" s="1" t="str">
        <f>VLOOKUP(orders__17[[#This Row],[Order_ID]],returns[#All],2,0)</f>
        <v>No</v>
      </c>
    </row>
    <row r="206" spans="1:13" x14ac:dyDescent="0.3">
      <c r="A206" s="1" t="s">
        <v>427</v>
      </c>
      <c r="B206" s="2">
        <v>45118</v>
      </c>
      <c r="C206" s="1" t="s">
        <v>223</v>
      </c>
      <c r="D206" s="1" t="s">
        <v>378</v>
      </c>
      <c r="E206">
        <v>4</v>
      </c>
      <c r="F206" s="4">
        <v>976.81</v>
      </c>
      <c r="G206" s="3">
        <v>0.2</v>
      </c>
      <c r="H206" s="4">
        <v>184.51</v>
      </c>
      <c r="I206" t="str">
        <f>VLOOKUP(orders__17[[#This Row],[Customer_ID]],customers__2[#All],3,0)</f>
        <v>East</v>
      </c>
      <c r="J206" t="str">
        <f>VLOOKUP(orders__17[[#This Row],[Customer_ID]],customers__2[#All],4,0)</f>
        <v>Home Office</v>
      </c>
      <c r="K206" t="str">
        <f>VLOOKUP(orders__17[[#This Row],[Product_ID]],products[#All],3,0)</f>
        <v>Office Supplies</v>
      </c>
      <c r="L206" s="1" t="str">
        <f>VLOOKUP(orders__17[[#This Row],[Product_ID]],products[#All],4,0)</f>
        <v>Paper</v>
      </c>
      <c r="M206" s="1" t="str">
        <f>VLOOKUP(orders__17[[#This Row],[Order_ID]],returns[#All],2,0)</f>
        <v>No</v>
      </c>
    </row>
    <row r="207" spans="1:13" x14ac:dyDescent="0.3">
      <c r="A207" s="1" t="s">
        <v>428</v>
      </c>
      <c r="B207" s="2">
        <v>45170</v>
      </c>
      <c r="C207" s="1" t="s">
        <v>126</v>
      </c>
      <c r="D207" s="1" t="s">
        <v>70</v>
      </c>
      <c r="E207">
        <v>3</v>
      </c>
      <c r="F207" s="4">
        <v>1310.68</v>
      </c>
      <c r="G207" s="3">
        <v>0.2</v>
      </c>
      <c r="H207" s="4">
        <v>161</v>
      </c>
      <c r="I207" t="str">
        <f>VLOOKUP(orders__17[[#This Row],[Customer_ID]],customers__2[#All],3,0)</f>
        <v>North</v>
      </c>
      <c r="J207" t="str">
        <f>VLOOKUP(orders__17[[#This Row],[Customer_ID]],customers__2[#All],4,0)</f>
        <v>Consumer</v>
      </c>
      <c r="K207" t="str">
        <f>VLOOKUP(orders__17[[#This Row],[Product_ID]],products[#All],3,0)</f>
        <v>Office Supplies</v>
      </c>
      <c r="L207" s="1" t="str">
        <f>VLOOKUP(orders__17[[#This Row],[Product_ID]],products[#All],4,0)</f>
        <v>Paper</v>
      </c>
      <c r="M207" s="1" t="str">
        <f>VLOOKUP(orders__17[[#This Row],[Order_ID]],returns[#All],2,0)</f>
        <v>No</v>
      </c>
    </row>
    <row r="208" spans="1:13" x14ac:dyDescent="0.3">
      <c r="A208" s="1" t="s">
        <v>429</v>
      </c>
      <c r="B208" s="2">
        <v>44576</v>
      </c>
      <c r="C208" s="1" t="s">
        <v>85</v>
      </c>
      <c r="D208" s="1" t="s">
        <v>111</v>
      </c>
      <c r="E208">
        <v>5</v>
      </c>
      <c r="F208" s="4">
        <v>1352.77</v>
      </c>
      <c r="G208" s="3">
        <v>0.2</v>
      </c>
      <c r="H208" s="4">
        <v>208.8</v>
      </c>
      <c r="I208" t="str">
        <f>VLOOKUP(orders__17[[#This Row],[Customer_ID]],customers__2[#All],3,0)</f>
        <v>East</v>
      </c>
      <c r="J208" t="str">
        <f>VLOOKUP(orders__17[[#This Row],[Customer_ID]],customers__2[#All],4,0)</f>
        <v>Corporate</v>
      </c>
      <c r="K208" t="str">
        <f>VLOOKUP(orders__17[[#This Row],[Product_ID]],products[#All],3,0)</f>
        <v>Technology</v>
      </c>
      <c r="L208" s="1" t="str">
        <f>VLOOKUP(orders__17[[#This Row],[Product_ID]],products[#All],4,0)</f>
        <v>Accessories</v>
      </c>
      <c r="M208" s="1" t="str">
        <f>VLOOKUP(orders__17[[#This Row],[Order_ID]],returns[#All],2,0)</f>
        <v>No</v>
      </c>
    </row>
    <row r="209" spans="1:13" x14ac:dyDescent="0.3">
      <c r="A209" s="1" t="s">
        <v>430</v>
      </c>
      <c r="B209" s="2">
        <v>45449</v>
      </c>
      <c r="C209" s="1" t="s">
        <v>53</v>
      </c>
      <c r="D209" s="1" t="s">
        <v>378</v>
      </c>
      <c r="E209">
        <v>3</v>
      </c>
      <c r="F209" s="4">
        <v>1800.72</v>
      </c>
      <c r="G209" s="3">
        <v>0.2</v>
      </c>
      <c r="H209" s="4">
        <v>259.69</v>
      </c>
      <c r="I209" t="str">
        <f>VLOOKUP(orders__17[[#This Row],[Customer_ID]],customers__2[#All],3,0)</f>
        <v>West</v>
      </c>
      <c r="J209" t="str">
        <f>VLOOKUP(orders__17[[#This Row],[Customer_ID]],customers__2[#All],4,0)</f>
        <v>Home Office</v>
      </c>
      <c r="K209" t="str">
        <f>VLOOKUP(orders__17[[#This Row],[Product_ID]],products[#All],3,0)</f>
        <v>Office Supplies</v>
      </c>
      <c r="L209" s="1" t="str">
        <f>VLOOKUP(orders__17[[#This Row],[Product_ID]],products[#All],4,0)</f>
        <v>Paper</v>
      </c>
      <c r="M209" s="1" t="str">
        <f>VLOOKUP(orders__17[[#This Row],[Order_ID]],returns[#All],2,0)</f>
        <v>No</v>
      </c>
    </row>
    <row r="210" spans="1:13" x14ac:dyDescent="0.3">
      <c r="A210" s="1" t="s">
        <v>431</v>
      </c>
      <c r="B210" s="2">
        <v>44597</v>
      </c>
      <c r="C210" s="1" t="s">
        <v>121</v>
      </c>
      <c r="D210" s="1" t="s">
        <v>278</v>
      </c>
      <c r="E210">
        <v>4</v>
      </c>
      <c r="F210" s="4">
        <v>1309.67</v>
      </c>
      <c r="G210" s="3">
        <v>0</v>
      </c>
      <c r="H210" s="4">
        <v>352.27</v>
      </c>
      <c r="I210" t="str">
        <f>VLOOKUP(orders__17[[#This Row],[Customer_ID]],customers__2[#All],3,0)</f>
        <v>East</v>
      </c>
      <c r="J210" t="str">
        <f>VLOOKUP(orders__17[[#This Row],[Customer_ID]],customers__2[#All],4,0)</f>
        <v>Corporate</v>
      </c>
      <c r="K210" t="str">
        <f>VLOOKUP(orders__17[[#This Row],[Product_ID]],products[#All],3,0)</f>
        <v>Office Supplies</v>
      </c>
      <c r="L210" s="1" t="str">
        <f>VLOOKUP(orders__17[[#This Row],[Product_ID]],products[#All],4,0)</f>
        <v>Pen</v>
      </c>
      <c r="M210" s="1" t="str">
        <f>VLOOKUP(orders__17[[#This Row],[Order_ID]],returns[#All],2,0)</f>
        <v>No</v>
      </c>
    </row>
    <row r="211" spans="1:13" x14ac:dyDescent="0.3">
      <c r="A211" s="1" t="s">
        <v>432</v>
      </c>
      <c r="B211" s="2">
        <v>45436</v>
      </c>
      <c r="C211" s="1" t="s">
        <v>244</v>
      </c>
      <c r="D211" s="1" t="s">
        <v>130</v>
      </c>
      <c r="E211">
        <v>4</v>
      </c>
      <c r="F211" s="4">
        <v>1266.47</v>
      </c>
      <c r="G211" s="3">
        <v>0</v>
      </c>
      <c r="H211" s="4">
        <v>349.96</v>
      </c>
      <c r="I211" t="str">
        <f>VLOOKUP(orders__17[[#This Row],[Customer_ID]],customers__2[#All],3,0)</f>
        <v>South</v>
      </c>
      <c r="J211" t="str">
        <f>VLOOKUP(orders__17[[#This Row],[Customer_ID]],customers__2[#All],4,0)</f>
        <v>Corporate</v>
      </c>
      <c r="K211" t="str">
        <f>VLOOKUP(orders__17[[#This Row],[Product_ID]],products[#All],3,0)</f>
        <v>Furniture</v>
      </c>
      <c r="L211" s="1" t="str">
        <f>VLOOKUP(orders__17[[#This Row],[Product_ID]],products[#All],4,0)</f>
        <v>Desk</v>
      </c>
      <c r="M211" s="1" t="str">
        <f>VLOOKUP(orders__17[[#This Row],[Order_ID]],returns[#All],2,0)</f>
        <v>No</v>
      </c>
    </row>
    <row r="212" spans="1:13" x14ac:dyDescent="0.3">
      <c r="A212" s="1" t="s">
        <v>433</v>
      </c>
      <c r="B212" s="2">
        <v>44994</v>
      </c>
      <c r="C212" s="1" t="s">
        <v>434</v>
      </c>
      <c r="D212" s="1" t="s">
        <v>378</v>
      </c>
      <c r="E212">
        <v>3</v>
      </c>
      <c r="F212" s="4">
        <v>226.64</v>
      </c>
      <c r="G212" s="3">
        <v>0.3</v>
      </c>
      <c r="H212" s="4">
        <v>39.26</v>
      </c>
      <c r="I212" t="str">
        <f>VLOOKUP(orders__17[[#This Row],[Customer_ID]],customers__2[#All],3,0)</f>
        <v>North</v>
      </c>
      <c r="J212" t="str">
        <f>VLOOKUP(orders__17[[#This Row],[Customer_ID]],customers__2[#All],4,0)</f>
        <v>Corporate</v>
      </c>
      <c r="K212" t="str">
        <f>VLOOKUP(orders__17[[#This Row],[Product_ID]],products[#All],3,0)</f>
        <v>Office Supplies</v>
      </c>
      <c r="L212" s="1" t="str">
        <f>VLOOKUP(orders__17[[#This Row],[Product_ID]],products[#All],4,0)</f>
        <v>Paper</v>
      </c>
      <c r="M212" s="1" t="str">
        <f>VLOOKUP(orders__17[[#This Row],[Order_ID]],returns[#All],2,0)</f>
        <v>No</v>
      </c>
    </row>
    <row r="213" spans="1:13" x14ac:dyDescent="0.3">
      <c r="A213" s="1" t="s">
        <v>435</v>
      </c>
      <c r="B213" s="2">
        <v>44963</v>
      </c>
      <c r="C213" s="1" t="s">
        <v>436</v>
      </c>
      <c r="D213" s="1" t="s">
        <v>275</v>
      </c>
      <c r="E213">
        <v>4</v>
      </c>
      <c r="F213" s="4">
        <v>1084.98</v>
      </c>
      <c r="G213" s="3">
        <v>0.1</v>
      </c>
      <c r="H213" s="4">
        <v>143.80000000000001</v>
      </c>
      <c r="I213" t="str">
        <f>VLOOKUP(orders__17[[#This Row],[Customer_ID]],customers__2[#All],3,0)</f>
        <v>East</v>
      </c>
      <c r="J213" t="str">
        <f>VLOOKUP(orders__17[[#This Row],[Customer_ID]],customers__2[#All],4,0)</f>
        <v>Consumer</v>
      </c>
      <c r="K213" t="str">
        <f>VLOOKUP(orders__17[[#This Row],[Product_ID]],products[#All],3,0)</f>
        <v>Furniture</v>
      </c>
      <c r="L213" s="1" t="str">
        <f>VLOOKUP(orders__17[[#This Row],[Product_ID]],products[#All],4,0)</f>
        <v>Table</v>
      </c>
      <c r="M213" s="1" t="str">
        <f>VLOOKUP(orders__17[[#This Row],[Order_ID]],returns[#All],2,0)</f>
        <v>No</v>
      </c>
    </row>
    <row r="214" spans="1:13" x14ac:dyDescent="0.3">
      <c r="A214" s="1" t="s">
        <v>437</v>
      </c>
      <c r="B214" s="2">
        <v>45341</v>
      </c>
      <c r="C214" s="1" t="s">
        <v>402</v>
      </c>
      <c r="D214" s="1" t="s">
        <v>263</v>
      </c>
      <c r="E214">
        <v>3</v>
      </c>
      <c r="F214" s="4">
        <v>385.32</v>
      </c>
      <c r="G214" s="3">
        <v>0</v>
      </c>
      <c r="H214" s="4">
        <v>29.55</v>
      </c>
      <c r="I214" t="str">
        <f>VLOOKUP(orders__17[[#This Row],[Customer_ID]],customers__2[#All],3,0)</f>
        <v>West</v>
      </c>
      <c r="J214" t="str">
        <f>VLOOKUP(orders__17[[#This Row],[Customer_ID]],customers__2[#All],4,0)</f>
        <v>Consumer</v>
      </c>
      <c r="K214" t="str">
        <f>VLOOKUP(orders__17[[#This Row],[Product_ID]],products[#All],3,0)</f>
        <v>Office Supplies</v>
      </c>
      <c r="L214" s="1" t="str">
        <f>VLOOKUP(orders__17[[#This Row],[Product_ID]],products[#All],4,0)</f>
        <v>Storage</v>
      </c>
      <c r="M214" s="1" t="str">
        <f>VLOOKUP(orders__17[[#This Row],[Order_ID]],returns[#All],2,0)</f>
        <v>No</v>
      </c>
    </row>
    <row r="215" spans="1:13" x14ac:dyDescent="0.3">
      <c r="A215" s="1" t="s">
        <v>438</v>
      </c>
      <c r="B215" s="2">
        <v>44853</v>
      </c>
      <c r="C215" s="1" t="s">
        <v>439</v>
      </c>
      <c r="D215" s="1" t="s">
        <v>61</v>
      </c>
      <c r="E215">
        <v>2</v>
      </c>
      <c r="F215" s="4">
        <v>1501.12</v>
      </c>
      <c r="G215" s="3">
        <v>0</v>
      </c>
      <c r="H215" s="4">
        <v>432.85</v>
      </c>
      <c r="I215" t="str">
        <f>VLOOKUP(orders__17[[#This Row],[Customer_ID]],customers__2[#All],3,0)</f>
        <v>West</v>
      </c>
      <c r="J215" t="str">
        <f>VLOOKUP(orders__17[[#This Row],[Customer_ID]],customers__2[#All],4,0)</f>
        <v>Corporate</v>
      </c>
      <c r="K215" t="str">
        <f>VLOOKUP(orders__17[[#This Row],[Product_ID]],products[#All],3,0)</f>
        <v>Office Supplies</v>
      </c>
      <c r="L215" s="1" t="str">
        <f>VLOOKUP(orders__17[[#This Row],[Product_ID]],products[#All],4,0)</f>
        <v>Binder</v>
      </c>
      <c r="M215" s="1" t="str">
        <f>VLOOKUP(orders__17[[#This Row],[Order_ID]],returns[#All],2,0)</f>
        <v>No</v>
      </c>
    </row>
    <row r="216" spans="1:13" x14ac:dyDescent="0.3">
      <c r="A216" s="1" t="s">
        <v>440</v>
      </c>
      <c r="B216" s="2">
        <v>44596</v>
      </c>
      <c r="C216" s="1" t="s">
        <v>145</v>
      </c>
      <c r="D216" s="1" t="s">
        <v>186</v>
      </c>
      <c r="E216">
        <v>3</v>
      </c>
      <c r="F216" s="4">
        <v>1073.22</v>
      </c>
      <c r="G216" s="3">
        <v>0</v>
      </c>
      <c r="H216" s="4">
        <v>69.819999999999993</v>
      </c>
      <c r="I216" t="str">
        <f>VLOOKUP(orders__17[[#This Row],[Customer_ID]],customers__2[#All],3,0)</f>
        <v>West</v>
      </c>
      <c r="J216" t="str">
        <f>VLOOKUP(orders__17[[#This Row],[Customer_ID]],customers__2[#All],4,0)</f>
        <v>Corporate</v>
      </c>
      <c r="K216" t="str">
        <f>VLOOKUP(orders__17[[#This Row],[Product_ID]],products[#All],3,0)</f>
        <v>Technology</v>
      </c>
      <c r="L216" s="1" t="str">
        <f>VLOOKUP(orders__17[[#This Row],[Product_ID]],products[#All],4,0)</f>
        <v>Laptop</v>
      </c>
      <c r="M216" s="1" t="str">
        <f>VLOOKUP(orders__17[[#This Row],[Order_ID]],returns[#All],2,0)</f>
        <v>No</v>
      </c>
    </row>
    <row r="217" spans="1:13" x14ac:dyDescent="0.3">
      <c r="A217" s="1" t="s">
        <v>441</v>
      </c>
      <c r="B217" s="2">
        <v>44731</v>
      </c>
      <c r="C217" s="1" t="s">
        <v>442</v>
      </c>
      <c r="D217" s="1" t="s">
        <v>107</v>
      </c>
      <c r="E217">
        <v>3</v>
      </c>
      <c r="F217" s="4">
        <v>1392.43</v>
      </c>
      <c r="G217" s="3">
        <v>0.3</v>
      </c>
      <c r="H217" s="4">
        <v>173.24</v>
      </c>
      <c r="I217" t="str">
        <f>VLOOKUP(orders__17[[#This Row],[Customer_ID]],customers__2[#All],3,0)</f>
        <v>North</v>
      </c>
      <c r="J217" t="str">
        <f>VLOOKUP(orders__17[[#This Row],[Customer_ID]],customers__2[#All],4,0)</f>
        <v>Consumer</v>
      </c>
      <c r="K217" t="str">
        <f>VLOOKUP(orders__17[[#This Row],[Product_ID]],products[#All],3,0)</f>
        <v>Office Supplies</v>
      </c>
      <c r="L217" s="1" t="str">
        <f>VLOOKUP(orders__17[[#This Row],[Product_ID]],products[#All],4,0)</f>
        <v>Pen</v>
      </c>
      <c r="M217" s="1" t="str">
        <f>VLOOKUP(orders__17[[#This Row],[Order_ID]],returns[#All],2,0)</f>
        <v>No</v>
      </c>
    </row>
    <row r="218" spans="1:13" x14ac:dyDescent="0.3">
      <c r="A218" s="1" t="s">
        <v>443</v>
      </c>
      <c r="B218" s="2">
        <v>45158</v>
      </c>
      <c r="C218" s="1" t="s">
        <v>444</v>
      </c>
      <c r="D218" s="1" t="s">
        <v>83</v>
      </c>
      <c r="E218">
        <v>4</v>
      </c>
      <c r="F218" s="4">
        <v>179.18</v>
      </c>
      <c r="G218" s="3">
        <v>0.2</v>
      </c>
      <c r="H218" s="4">
        <v>22.31</v>
      </c>
      <c r="I218" t="str">
        <f>VLOOKUP(orders__17[[#This Row],[Customer_ID]],customers__2[#All],3,0)</f>
        <v>North</v>
      </c>
      <c r="J218" t="str">
        <f>VLOOKUP(orders__17[[#This Row],[Customer_ID]],customers__2[#All],4,0)</f>
        <v>Corporate</v>
      </c>
      <c r="K218" t="str">
        <f>VLOOKUP(orders__17[[#This Row],[Product_ID]],products[#All],3,0)</f>
        <v>Furniture</v>
      </c>
      <c r="L218" s="1" t="str">
        <f>VLOOKUP(orders__17[[#This Row],[Product_ID]],products[#All],4,0)</f>
        <v>Table</v>
      </c>
      <c r="M218" s="1" t="str">
        <f>VLOOKUP(orders__17[[#This Row],[Order_ID]],returns[#All],2,0)</f>
        <v>No</v>
      </c>
    </row>
    <row r="219" spans="1:13" x14ac:dyDescent="0.3">
      <c r="A219" s="1" t="s">
        <v>445</v>
      </c>
      <c r="B219" s="2">
        <v>45341</v>
      </c>
      <c r="C219" s="1" t="s">
        <v>380</v>
      </c>
      <c r="D219" s="1" t="s">
        <v>89</v>
      </c>
      <c r="E219">
        <v>4</v>
      </c>
      <c r="F219" s="4">
        <v>261.10000000000002</v>
      </c>
      <c r="G219" s="3">
        <v>0.3</v>
      </c>
      <c r="H219" s="4">
        <v>33.97</v>
      </c>
      <c r="I219" t="str">
        <f>VLOOKUP(orders__17[[#This Row],[Customer_ID]],customers__2[#All],3,0)</f>
        <v>South</v>
      </c>
      <c r="J219" t="str">
        <f>VLOOKUP(orders__17[[#This Row],[Customer_ID]],customers__2[#All],4,0)</f>
        <v>Home Office</v>
      </c>
      <c r="K219" t="str">
        <f>VLOOKUP(orders__17[[#This Row],[Product_ID]],products[#All],3,0)</f>
        <v>Technology</v>
      </c>
      <c r="L219" s="1" t="str">
        <f>VLOOKUP(orders__17[[#This Row],[Product_ID]],products[#All],4,0)</f>
        <v>Phone</v>
      </c>
      <c r="M219" s="1" t="str">
        <f>VLOOKUP(orders__17[[#This Row],[Order_ID]],returns[#All],2,0)</f>
        <v>No</v>
      </c>
    </row>
    <row r="220" spans="1:13" x14ac:dyDescent="0.3">
      <c r="A220" s="1" t="s">
        <v>446</v>
      </c>
      <c r="B220" s="2">
        <v>44575</v>
      </c>
      <c r="C220" s="1" t="s">
        <v>447</v>
      </c>
      <c r="D220" s="1" t="s">
        <v>54</v>
      </c>
      <c r="E220">
        <v>1</v>
      </c>
      <c r="F220" s="4">
        <v>1461.01</v>
      </c>
      <c r="G220" s="3">
        <v>0.1</v>
      </c>
      <c r="H220" s="4">
        <v>133.06</v>
      </c>
      <c r="I220" t="str">
        <f>VLOOKUP(orders__17[[#This Row],[Customer_ID]],customers__2[#All],3,0)</f>
        <v>West</v>
      </c>
      <c r="J220" t="str">
        <f>VLOOKUP(orders__17[[#This Row],[Customer_ID]],customers__2[#All],4,0)</f>
        <v>Corporate</v>
      </c>
      <c r="K220" t="str">
        <f>VLOOKUP(orders__17[[#This Row],[Product_ID]],products[#All],3,0)</f>
        <v>Office Supplies</v>
      </c>
      <c r="L220" s="1" t="str">
        <f>VLOOKUP(orders__17[[#This Row],[Product_ID]],products[#All],4,0)</f>
        <v>Binder</v>
      </c>
      <c r="M220" s="1" t="str">
        <f>VLOOKUP(orders__17[[#This Row],[Order_ID]],returns[#All],2,0)</f>
        <v>No</v>
      </c>
    </row>
    <row r="221" spans="1:13" x14ac:dyDescent="0.3">
      <c r="A221" s="1" t="s">
        <v>448</v>
      </c>
      <c r="B221" s="2">
        <v>44904</v>
      </c>
      <c r="C221" s="1" t="s">
        <v>449</v>
      </c>
      <c r="D221" s="1" t="s">
        <v>34</v>
      </c>
      <c r="E221">
        <v>1</v>
      </c>
      <c r="F221" s="4">
        <v>236.96</v>
      </c>
      <c r="G221" s="3">
        <v>0.1</v>
      </c>
      <c r="H221" s="4">
        <v>58.24</v>
      </c>
      <c r="I221" t="str">
        <f>VLOOKUP(orders__17[[#This Row],[Customer_ID]],customers__2[#All],3,0)</f>
        <v>North</v>
      </c>
      <c r="J221" t="str">
        <f>VLOOKUP(orders__17[[#This Row],[Customer_ID]],customers__2[#All],4,0)</f>
        <v>Consumer</v>
      </c>
      <c r="K221" t="str">
        <f>VLOOKUP(orders__17[[#This Row],[Product_ID]],products[#All],3,0)</f>
        <v>Furniture</v>
      </c>
      <c r="L221" s="1" t="str">
        <f>VLOOKUP(orders__17[[#This Row],[Product_ID]],products[#All],4,0)</f>
        <v>Table</v>
      </c>
      <c r="M221" s="1" t="str">
        <f>VLOOKUP(orders__17[[#This Row],[Order_ID]],returns[#All],2,0)</f>
        <v>No</v>
      </c>
    </row>
    <row r="222" spans="1:13" x14ac:dyDescent="0.3">
      <c r="A222" s="1" t="s">
        <v>450</v>
      </c>
      <c r="B222" s="2">
        <v>45154</v>
      </c>
      <c r="C222" s="1" t="s">
        <v>439</v>
      </c>
      <c r="D222" s="1" t="s">
        <v>451</v>
      </c>
      <c r="E222">
        <v>2</v>
      </c>
      <c r="F222" s="4">
        <v>235.39</v>
      </c>
      <c r="G222" s="3">
        <v>0.1</v>
      </c>
      <c r="H222" s="4">
        <v>18.98</v>
      </c>
      <c r="I222" t="str">
        <f>VLOOKUP(orders__17[[#This Row],[Customer_ID]],customers__2[#All],3,0)</f>
        <v>West</v>
      </c>
      <c r="J222" t="str">
        <f>VLOOKUP(orders__17[[#This Row],[Customer_ID]],customers__2[#All],4,0)</f>
        <v>Corporate</v>
      </c>
      <c r="K222" t="str">
        <f>VLOOKUP(orders__17[[#This Row],[Product_ID]],products[#All],3,0)</f>
        <v>Technology</v>
      </c>
      <c r="L222" s="1" t="str">
        <f>VLOOKUP(orders__17[[#This Row],[Product_ID]],products[#All],4,0)</f>
        <v>Laptop</v>
      </c>
      <c r="M222" s="1" t="str">
        <f>VLOOKUP(orders__17[[#This Row],[Order_ID]],returns[#All],2,0)</f>
        <v>Yes</v>
      </c>
    </row>
    <row r="223" spans="1:13" x14ac:dyDescent="0.3">
      <c r="A223" s="1" t="s">
        <v>452</v>
      </c>
      <c r="B223" s="2">
        <v>44788</v>
      </c>
      <c r="C223" s="1" t="s">
        <v>190</v>
      </c>
      <c r="D223" s="1" t="s">
        <v>218</v>
      </c>
      <c r="E223">
        <v>1</v>
      </c>
      <c r="F223" s="4">
        <v>123.01</v>
      </c>
      <c r="G223" s="3">
        <v>0.1</v>
      </c>
      <c r="H223" s="4">
        <v>25.68</v>
      </c>
      <c r="I223" t="str">
        <f>VLOOKUP(orders__17[[#This Row],[Customer_ID]],customers__2[#All],3,0)</f>
        <v>East</v>
      </c>
      <c r="J223" t="str">
        <f>VLOOKUP(orders__17[[#This Row],[Customer_ID]],customers__2[#All],4,0)</f>
        <v>Home Office</v>
      </c>
      <c r="K223" t="str">
        <f>VLOOKUP(orders__17[[#This Row],[Product_ID]],products[#All],3,0)</f>
        <v>Office Supplies</v>
      </c>
      <c r="L223" s="1" t="str">
        <f>VLOOKUP(orders__17[[#This Row],[Product_ID]],products[#All],4,0)</f>
        <v>Storage</v>
      </c>
      <c r="M223" s="1" t="str">
        <f>VLOOKUP(orders__17[[#This Row],[Order_ID]],returns[#All],2,0)</f>
        <v>No</v>
      </c>
    </row>
    <row r="224" spans="1:13" x14ac:dyDescent="0.3">
      <c r="A224" s="1" t="s">
        <v>453</v>
      </c>
      <c r="B224" s="2">
        <v>45029</v>
      </c>
      <c r="C224" s="1" t="s">
        <v>273</v>
      </c>
      <c r="D224" s="1" t="s">
        <v>239</v>
      </c>
      <c r="E224">
        <v>3</v>
      </c>
      <c r="F224" s="4">
        <v>1917.35</v>
      </c>
      <c r="G224" s="3">
        <v>0</v>
      </c>
      <c r="H224" s="4">
        <v>155.22999999999999</v>
      </c>
      <c r="I224" t="str">
        <f>VLOOKUP(orders__17[[#This Row],[Customer_ID]],customers__2[#All],3,0)</f>
        <v>North</v>
      </c>
      <c r="J224" t="str">
        <f>VLOOKUP(orders__17[[#This Row],[Customer_ID]],customers__2[#All],4,0)</f>
        <v>Corporate</v>
      </c>
      <c r="K224" t="str">
        <f>VLOOKUP(orders__17[[#This Row],[Product_ID]],products[#All],3,0)</f>
        <v>Furniture</v>
      </c>
      <c r="L224" s="1" t="str">
        <f>VLOOKUP(orders__17[[#This Row],[Product_ID]],products[#All],4,0)</f>
        <v>Shelf</v>
      </c>
      <c r="M224" s="1" t="str">
        <f>VLOOKUP(orders__17[[#This Row],[Order_ID]],returns[#All],2,0)</f>
        <v>Yes</v>
      </c>
    </row>
    <row r="225" spans="1:13" x14ac:dyDescent="0.3">
      <c r="A225" s="1" t="s">
        <v>454</v>
      </c>
      <c r="B225" s="2">
        <v>44574</v>
      </c>
      <c r="C225" s="1" t="s">
        <v>205</v>
      </c>
      <c r="D225" s="1" t="s">
        <v>455</v>
      </c>
      <c r="E225">
        <v>4</v>
      </c>
      <c r="F225" s="4">
        <v>1501.27</v>
      </c>
      <c r="G225" s="3">
        <v>0</v>
      </c>
      <c r="H225" s="4">
        <v>101.54</v>
      </c>
      <c r="I225" t="str">
        <f>VLOOKUP(orders__17[[#This Row],[Customer_ID]],customers__2[#All],3,0)</f>
        <v>North</v>
      </c>
      <c r="J225" t="str">
        <f>VLOOKUP(orders__17[[#This Row],[Customer_ID]],customers__2[#All],4,0)</f>
        <v>Consumer</v>
      </c>
      <c r="K225" t="str">
        <f>VLOOKUP(orders__17[[#This Row],[Product_ID]],products[#All],3,0)</f>
        <v>Furniture</v>
      </c>
      <c r="L225" s="1" t="str">
        <f>VLOOKUP(orders__17[[#This Row],[Product_ID]],products[#All],4,0)</f>
        <v>Shelf</v>
      </c>
      <c r="M225" s="1" t="str">
        <f>VLOOKUP(orders__17[[#This Row],[Order_ID]],returns[#All],2,0)</f>
        <v>Yes</v>
      </c>
    </row>
    <row r="226" spans="1:13" x14ac:dyDescent="0.3">
      <c r="A226" s="1" t="s">
        <v>456</v>
      </c>
      <c r="B226" s="2">
        <v>45200</v>
      </c>
      <c r="C226" s="1" t="s">
        <v>325</v>
      </c>
      <c r="D226" s="1" t="s">
        <v>256</v>
      </c>
      <c r="E226">
        <v>1</v>
      </c>
      <c r="F226" s="4">
        <v>771.18</v>
      </c>
      <c r="G226" s="3">
        <v>0.3</v>
      </c>
      <c r="H226" s="4">
        <v>213.89</v>
      </c>
      <c r="I226" t="str">
        <f>VLOOKUP(orders__17[[#This Row],[Customer_ID]],customers__2[#All],3,0)</f>
        <v>North</v>
      </c>
      <c r="J226" t="str">
        <f>VLOOKUP(orders__17[[#This Row],[Customer_ID]],customers__2[#All],4,0)</f>
        <v>Corporate</v>
      </c>
      <c r="K226" t="str">
        <f>VLOOKUP(orders__17[[#This Row],[Product_ID]],products[#All],3,0)</f>
        <v>Office Supplies</v>
      </c>
      <c r="L226" s="1" t="str">
        <f>VLOOKUP(orders__17[[#This Row],[Product_ID]],products[#All],4,0)</f>
        <v>Pen</v>
      </c>
      <c r="M226" s="1" t="str">
        <f>VLOOKUP(orders__17[[#This Row],[Order_ID]],returns[#All],2,0)</f>
        <v>No</v>
      </c>
    </row>
    <row r="227" spans="1:13" x14ac:dyDescent="0.3">
      <c r="A227" s="1" t="s">
        <v>457</v>
      </c>
      <c r="B227" s="2">
        <v>44762</v>
      </c>
      <c r="C227" s="1" t="s">
        <v>124</v>
      </c>
      <c r="D227" s="1" t="s">
        <v>458</v>
      </c>
      <c r="E227">
        <v>1</v>
      </c>
      <c r="F227" s="4">
        <v>663.42</v>
      </c>
      <c r="G227" s="3">
        <v>0.2</v>
      </c>
      <c r="H227" s="4">
        <v>64.7</v>
      </c>
      <c r="I227" t="str">
        <f>VLOOKUP(orders__17[[#This Row],[Customer_ID]],customers__2[#All],3,0)</f>
        <v>North</v>
      </c>
      <c r="J227" t="str">
        <f>VLOOKUP(orders__17[[#This Row],[Customer_ID]],customers__2[#All],4,0)</f>
        <v>Consumer</v>
      </c>
      <c r="K227" t="str">
        <f>VLOOKUP(orders__17[[#This Row],[Product_ID]],products[#All],3,0)</f>
        <v>Technology</v>
      </c>
      <c r="L227" s="1" t="str">
        <f>VLOOKUP(orders__17[[#This Row],[Product_ID]],products[#All],4,0)</f>
        <v>Phone</v>
      </c>
      <c r="M227" s="1" t="str">
        <f>VLOOKUP(orders__17[[#This Row],[Order_ID]],returns[#All],2,0)</f>
        <v>No</v>
      </c>
    </row>
    <row r="228" spans="1:13" x14ac:dyDescent="0.3">
      <c r="A228" s="1" t="s">
        <v>459</v>
      </c>
      <c r="B228" s="2">
        <v>44969</v>
      </c>
      <c r="C228" s="1" t="s">
        <v>104</v>
      </c>
      <c r="D228" s="1" t="s">
        <v>78</v>
      </c>
      <c r="E228">
        <v>2</v>
      </c>
      <c r="F228" s="4">
        <v>764.44</v>
      </c>
      <c r="G228" s="3">
        <v>0.1</v>
      </c>
      <c r="H228" s="4">
        <v>195.17</v>
      </c>
      <c r="I228" t="str">
        <f>VLOOKUP(orders__17[[#This Row],[Customer_ID]],customers__2[#All],3,0)</f>
        <v>West</v>
      </c>
      <c r="J228" t="str">
        <f>VLOOKUP(orders__17[[#This Row],[Customer_ID]],customers__2[#All],4,0)</f>
        <v>Corporate</v>
      </c>
      <c r="K228" t="str">
        <f>VLOOKUP(orders__17[[#This Row],[Product_ID]],products[#All],3,0)</f>
        <v>Technology</v>
      </c>
      <c r="L228" s="1" t="str">
        <f>VLOOKUP(orders__17[[#This Row],[Product_ID]],products[#All],4,0)</f>
        <v>Accessories</v>
      </c>
      <c r="M228" s="1" t="str">
        <f>VLOOKUP(orders__17[[#This Row],[Order_ID]],returns[#All],2,0)</f>
        <v>No</v>
      </c>
    </row>
    <row r="229" spans="1:13" x14ac:dyDescent="0.3">
      <c r="A229" s="1" t="s">
        <v>460</v>
      </c>
      <c r="B229" s="2">
        <v>44774</v>
      </c>
      <c r="C229" s="1" t="s">
        <v>118</v>
      </c>
      <c r="D229" s="1" t="s">
        <v>163</v>
      </c>
      <c r="E229">
        <v>2</v>
      </c>
      <c r="F229" s="4">
        <v>1571.84</v>
      </c>
      <c r="G229" s="3">
        <v>0.3</v>
      </c>
      <c r="H229" s="4">
        <v>292.61</v>
      </c>
      <c r="I229" t="str">
        <f>VLOOKUP(orders__17[[#This Row],[Customer_ID]],customers__2[#All],3,0)</f>
        <v>North</v>
      </c>
      <c r="J229" t="str">
        <f>VLOOKUP(orders__17[[#This Row],[Customer_ID]],customers__2[#All],4,0)</f>
        <v>Consumer</v>
      </c>
      <c r="K229" t="str">
        <f>VLOOKUP(orders__17[[#This Row],[Product_ID]],products[#All],3,0)</f>
        <v>Furniture</v>
      </c>
      <c r="L229" s="1" t="str">
        <f>VLOOKUP(orders__17[[#This Row],[Product_ID]],products[#All],4,0)</f>
        <v>Table</v>
      </c>
      <c r="M229" s="1" t="str">
        <f>VLOOKUP(orders__17[[#This Row],[Order_ID]],returns[#All],2,0)</f>
        <v>No</v>
      </c>
    </row>
    <row r="230" spans="1:13" x14ac:dyDescent="0.3">
      <c r="A230" s="1" t="s">
        <v>461</v>
      </c>
      <c r="B230" s="2">
        <v>44888</v>
      </c>
      <c r="C230" s="1" t="s">
        <v>277</v>
      </c>
      <c r="D230" s="1" t="s">
        <v>283</v>
      </c>
      <c r="E230">
        <v>3</v>
      </c>
      <c r="F230" s="4">
        <v>1356.6</v>
      </c>
      <c r="G230" s="3">
        <v>0</v>
      </c>
      <c r="H230" s="4">
        <v>94.24</v>
      </c>
      <c r="I230" t="str">
        <f>VLOOKUP(orders__17[[#This Row],[Customer_ID]],customers__2[#All],3,0)</f>
        <v>North</v>
      </c>
      <c r="J230" t="str">
        <f>VLOOKUP(orders__17[[#This Row],[Customer_ID]],customers__2[#All],4,0)</f>
        <v>Corporate</v>
      </c>
      <c r="K230" t="str">
        <f>VLOOKUP(orders__17[[#This Row],[Product_ID]],products[#All],3,0)</f>
        <v>Furniture</v>
      </c>
      <c r="L230" s="1" t="str">
        <f>VLOOKUP(orders__17[[#This Row],[Product_ID]],products[#All],4,0)</f>
        <v>Chair</v>
      </c>
      <c r="M230" s="1" t="str">
        <f>VLOOKUP(orders__17[[#This Row],[Order_ID]],returns[#All],2,0)</f>
        <v>No</v>
      </c>
    </row>
    <row r="231" spans="1:13" x14ac:dyDescent="0.3">
      <c r="A231" s="1" t="s">
        <v>462</v>
      </c>
      <c r="B231" s="2">
        <v>44799</v>
      </c>
      <c r="C231" s="1" t="s">
        <v>208</v>
      </c>
      <c r="D231" s="1" t="s">
        <v>143</v>
      </c>
      <c r="E231">
        <v>4</v>
      </c>
      <c r="F231" s="4">
        <v>451.87</v>
      </c>
      <c r="G231" s="3">
        <v>0</v>
      </c>
      <c r="H231" s="4">
        <v>130.53</v>
      </c>
      <c r="I231" t="str">
        <f>VLOOKUP(orders__17[[#This Row],[Customer_ID]],customers__2[#All],3,0)</f>
        <v>North</v>
      </c>
      <c r="J231" t="str">
        <f>VLOOKUP(orders__17[[#This Row],[Customer_ID]],customers__2[#All],4,0)</f>
        <v>Home Office</v>
      </c>
      <c r="K231" t="str">
        <f>VLOOKUP(orders__17[[#This Row],[Product_ID]],products[#All],3,0)</f>
        <v>Furniture</v>
      </c>
      <c r="L231" s="1" t="str">
        <f>VLOOKUP(orders__17[[#This Row],[Product_ID]],products[#All],4,0)</f>
        <v>Shelf</v>
      </c>
      <c r="M231" s="1" t="str">
        <f>VLOOKUP(orders__17[[#This Row],[Order_ID]],returns[#All],2,0)</f>
        <v>No</v>
      </c>
    </row>
    <row r="232" spans="1:13" x14ac:dyDescent="0.3">
      <c r="A232" s="1" t="s">
        <v>463</v>
      </c>
      <c r="B232" s="2">
        <v>45113</v>
      </c>
      <c r="C232" s="1" t="s">
        <v>464</v>
      </c>
      <c r="D232" s="1" t="s">
        <v>323</v>
      </c>
      <c r="E232">
        <v>2</v>
      </c>
      <c r="F232" s="4">
        <v>430.81</v>
      </c>
      <c r="G232" s="3">
        <v>0.2</v>
      </c>
      <c r="H232" s="4">
        <v>48.14</v>
      </c>
      <c r="I232" t="str">
        <f>VLOOKUP(orders__17[[#This Row],[Customer_ID]],customers__2[#All],3,0)</f>
        <v>West</v>
      </c>
      <c r="J232" t="str">
        <f>VLOOKUP(orders__17[[#This Row],[Customer_ID]],customers__2[#All],4,0)</f>
        <v>Corporate</v>
      </c>
      <c r="K232" t="str">
        <f>VLOOKUP(orders__17[[#This Row],[Product_ID]],products[#All],3,0)</f>
        <v>Technology</v>
      </c>
      <c r="L232" s="1" t="str">
        <f>VLOOKUP(orders__17[[#This Row],[Product_ID]],products[#All],4,0)</f>
        <v>Tablet</v>
      </c>
      <c r="M232" s="1" t="str">
        <f>VLOOKUP(orders__17[[#This Row],[Order_ID]],returns[#All],2,0)</f>
        <v>No</v>
      </c>
    </row>
    <row r="233" spans="1:13" x14ac:dyDescent="0.3">
      <c r="A233" s="1" t="s">
        <v>465</v>
      </c>
      <c r="B233" s="2">
        <v>44602</v>
      </c>
      <c r="C233" s="1" t="s">
        <v>466</v>
      </c>
      <c r="D233" s="1" t="s">
        <v>97</v>
      </c>
      <c r="E233">
        <v>1</v>
      </c>
      <c r="F233" s="4">
        <v>286.95</v>
      </c>
      <c r="G233" s="3">
        <v>0.2</v>
      </c>
      <c r="H233" s="4">
        <v>76.02</v>
      </c>
      <c r="I233" t="str">
        <f>VLOOKUP(orders__17[[#This Row],[Customer_ID]],customers__2[#All],3,0)</f>
        <v>South</v>
      </c>
      <c r="J233" t="str">
        <f>VLOOKUP(orders__17[[#This Row],[Customer_ID]],customers__2[#All],4,0)</f>
        <v>Home Office</v>
      </c>
      <c r="K233" t="str">
        <f>VLOOKUP(orders__17[[#This Row],[Product_ID]],products[#All],3,0)</f>
        <v>Technology</v>
      </c>
      <c r="L233" s="1" t="str">
        <f>VLOOKUP(orders__17[[#This Row],[Product_ID]],products[#All],4,0)</f>
        <v>Tablet</v>
      </c>
      <c r="M233" s="1" t="str">
        <f>VLOOKUP(orders__17[[#This Row],[Order_ID]],returns[#All],2,0)</f>
        <v>No</v>
      </c>
    </row>
    <row r="234" spans="1:13" x14ac:dyDescent="0.3">
      <c r="A234" s="1" t="s">
        <v>467</v>
      </c>
      <c r="B234" s="2">
        <v>45395</v>
      </c>
      <c r="C234" s="1" t="s">
        <v>468</v>
      </c>
      <c r="D234" s="1" t="s">
        <v>127</v>
      </c>
      <c r="E234">
        <v>4</v>
      </c>
      <c r="F234" s="4">
        <v>1354.58</v>
      </c>
      <c r="G234" s="3">
        <v>0.2</v>
      </c>
      <c r="H234" s="4">
        <v>124.9</v>
      </c>
      <c r="I234" t="str">
        <f>VLOOKUP(orders__17[[#This Row],[Customer_ID]],customers__2[#All],3,0)</f>
        <v>South</v>
      </c>
      <c r="J234" t="str">
        <f>VLOOKUP(orders__17[[#This Row],[Customer_ID]],customers__2[#All],4,0)</f>
        <v>Consumer</v>
      </c>
      <c r="K234" t="str">
        <f>VLOOKUP(orders__17[[#This Row],[Product_ID]],products[#All],3,0)</f>
        <v>Furniture</v>
      </c>
      <c r="L234" s="1" t="str">
        <f>VLOOKUP(orders__17[[#This Row],[Product_ID]],products[#All],4,0)</f>
        <v>Chair</v>
      </c>
      <c r="M234" s="1" t="str">
        <f>VLOOKUP(orders__17[[#This Row],[Order_ID]],returns[#All],2,0)</f>
        <v>No</v>
      </c>
    </row>
    <row r="235" spans="1:13" x14ac:dyDescent="0.3">
      <c r="A235" s="1" t="s">
        <v>469</v>
      </c>
      <c r="B235" s="2">
        <v>44604</v>
      </c>
      <c r="C235" s="1" t="s">
        <v>412</v>
      </c>
      <c r="D235" s="1" t="s">
        <v>314</v>
      </c>
      <c r="E235">
        <v>4</v>
      </c>
      <c r="F235" s="4">
        <v>1552.31</v>
      </c>
      <c r="G235" s="3">
        <v>0.3</v>
      </c>
      <c r="H235" s="4">
        <v>409.01</v>
      </c>
      <c r="I235" t="str">
        <f>VLOOKUP(orders__17[[#This Row],[Customer_ID]],customers__2[#All],3,0)</f>
        <v>North</v>
      </c>
      <c r="J235" t="str">
        <f>VLOOKUP(orders__17[[#This Row],[Customer_ID]],customers__2[#All],4,0)</f>
        <v>Consumer</v>
      </c>
      <c r="K235" t="str">
        <f>VLOOKUP(orders__17[[#This Row],[Product_ID]],products[#All],3,0)</f>
        <v>Office Supplies</v>
      </c>
      <c r="L235" s="1" t="str">
        <f>VLOOKUP(orders__17[[#This Row],[Product_ID]],products[#All],4,0)</f>
        <v>Paper</v>
      </c>
      <c r="M235" s="1" t="str">
        <f>VLOOKUP(orders__17[[#This Row],[Order_ID]],returns[#All],2,0)</f>
        <v>Yes</v>
      </c>
    </row>
    <row r="236" spans="1:13" x14ac:dyDescent="0.3">
      <c r="A236" s="1" t="s">
        <v>470</v>
      </c>
      <c r="B236" s="2">
        <v>45374</v>
      </c>
      <c r="C236" s="1" t="s">
        <v>56</v>
      </c>
      <c r="D236" s="1" t="s">
        <v>86</v>
      </c>
      <c r="E236">
        <v>1</v>
      </c>
      <c r="F236" s="4">
        <v>603.59</v>
      </c>
      <c r="G236" s="3">
        <v>0</v>
      </c>
      <c r="H236" s="4">
        <v>32.18</v>
      </c>
      <c r="I236" t="str">
        <f>VLOOKUP(orders__17[[#This Row],[Customer_ID]],customers__2[#All],3,0)</f>
        <v>South</v>
      </c>
      <c r="J236" t="str">
        <f>VLOOKUP(orders__17[[#This Row],[Customer_ID]],customers__2[#All],4,0)</f>
        <v>Consumer</v>
      </c>
      <c r="K236" t="str">
        <f>VLOOKUP(orders__17[[#This Row],[Product_ID]],products[#All],3,0)</f>
        <v>Furniture</v>
      </c>
      <c r="L236" s="1" t="str">
        <f>VLOOKUP(orders__17[[#This Row],[Product_ID]],products[#All],4,0)</f>
        <v>Table</v>
      </c>
      <c r="M236" s="1" t="str">
        <f>VLOOKUP(orders__17[[#This Row],[Order_ID]],returns[#All],2,0)</f>
        <v>Yes</v>
      </c>
    </row>
    <row r="237" spans="1:13" x14ac:dyDescent="0.3">
      <c r="A237" s="1" t="s">
        <v>471</v>
      </c>
      <c r="B237" s="2">
        <v>44932</v>
      </c>
      <c r="C237" s="1" t="s">
        <v>194</v>
      </c>
      <c r="D237" s="1" t="s">
        <v>132</v>
      </c>
      <c r="E237">
        <v>2</v>
      </c>
      <c r="F237" s="4">
        <v>139.80000000000001</v>
      </c>
      <c r="G237" s="3">
        <v>0</v>
      </c>
      <c r="H237" s="4">
        <v>24.88</v>
      </c>
      <c r="I237" t="str">
        <f>VLOOKUP(orders__17[[#This Row],[Customer_ID]],customers__2[#All],3,0)</f>
        <v>North</v>
      </c>
      <c r="J237" t="str">
        <f>VLOOKUP(orders__17[[#This Row],[Customer_ID]],customers__2[#All],4,0)</f>
        <v>Home Office</v>
      </c>
      <c r="K237" t="str">
        <f>VLOOKUP(orders__17[[#This Row],[Product_ID]],products[#All],3,0)</f>
        <v>Furniture</v>
      </c>
      <c r="L237" s="1" t="str">
        <f>VLOOKUP(orders__17[[#This Row],[Product_ID]],products[#All],4,0)</f>
        <v>Shelf</v>
      </c>
      <c r="M237" s="1" t="str">
        <f>VLOOKUP(orders__17[[#This Row],[Order_ID]],returns[#All],2,0)</f>
        <v>No</v>
      </c>
    </row>
    <row r="238" spans="1:13" x14ac:dyDescent="0.3">
      <c r="A238" s="1" t="s">
        <v>472</v>
      </c>
      <c r="B238" s="2">
        <v>45252</v>
      </c>
      <c r="C238" s="1" t="s">
        <v>473</v>
      </c>
      <c r="D238" s="1" t="s">
        <v>147</v>
      </c>
      <c r="E238">
        <v>1</v>
      </c>
      <c r="F238" s="4">
        <v>256.13</v>
      </c>
      <c r="G238" s="3">
        <v>0.2</v>
      </c>
      <c r="H238" s="4">
        <v>62.08</v>
      </c>
      <c r="I238" t="str">
        <f>VLOOKUP(orders__17[[#This Row],[Customer_ID]],customers__2[#All],3,0)</f>
        <v>North</v>
      </c>
      <c r="J238" t="str">
        <f>VLOOKUP(orders__17[[#This Row],[Customer_ID]],customers__2[#All],4,0)</f>
        <v>Corporate</v>
      </c>
      <c r="K238" t="str">
        <f>VLOOKUP(orders__17[[#This Row],[Product_ID]],products[#All],3,0)</f>
        <v>Technology</v>
      </c>
      <c r="L238" s="1" t="str">
        <f>VLOOKUP(orders__17[[#This Row],[Product_ID]],products[#All],4,0)</f>
        <v>Laptop</v>
      </c>
      <c r="M238" s="1" t="str">
        <f>VLOOKUP(orders__17[[#This Row],[Order_ID]],returns[#All],2,0)</f>
        <v>No</v>
      </c>
    </row>
    <row r="239" spans="1:13" x14ac:dyDescent="0.3">
      <c r="A239" s="1" t="s">
        <v>474</v>
      </c>
      <c r="B239" s="2">
        <v>45040</v>
      </c>
      <c r="C239" s="1" t="s">
        <v>475</v>
      </c>
      <c r="D239" s="1" t="s">
        <v>341</v>
      </c>
      <c r="E239">
        <v>4</v>
      </c>
      <c r="F239" s="4">
        <v>1938.93</v>
      </c>
      <c r="G239" s="3">
        <v>0.1</v>
      </c>
      <c r="H239" s="4">
        <v>550.07000000000005</v>
      </c>
      <c r="I239" t="str">
        <f>VLOOKUP(orders__17[[#This Row],[Customer_ID]],customers__2[#All],3,0)</f>
        <v>South</v>
      </c>
      <c r="J239" t="str">
        <f>VLOOKUP(orders__17[[#This Row],[Customer_ID]],customers__2[#All],4,0)</f>
        <v>Corporate</v>
      </c>
      <c r="K239" t="str">
        <f>VLOOKUP(orders__17[[#This Row],[Product_ID]],products[#All],3,0)</f>
        <v>Technology</v>
      </c>
      <c r="L239" s="1" t="str">
        <f>VLOOKUP(orders__17[[#This Row],[Product_ID]],products[#All],4,0)</f>
        <v>Phone</v>
      </c>
      <c r="M239" s="1" t="str">
        <f>VLOOKUP(orders__17[[#This Row],[Order_ID]],returns[#All],2,0)</f>
        <v>Yes</v>
      </c>
    </row>
    <row r="240" spans="1:13" x14ac:dyDescent="0.3">
      <c r="A240" s="1" t="s">
        <v>476</v>
      </c>
      <c r="B240" s="2">
        <v>45243</v>
      </c>
      <c r="C240" s="1" t="s">
        <v>124</v>
      </c>
      <c r="D240" s="1" t="s">
        <v>253</v>
      </c>
      <c r="E240">
        <v>5</v>
      </c>
      <c r="F240" s="4">
        <v>661.35</v>
      </c>
      <c r="G240" s="3">
        <v>0.2</v>
      </c>
      <c r="H240" s="4">
        <v>183.39</v>
      </c>
      <c r="I240" t="str">
        <f>VLOOKUP(orders__17[[#This Row],[Customer_ID]],customers__2[#All],3,0)</f>
        <v>North</v>
      </c>
      <c r="J240" t="str">
        <f>VLOOKUP(orders__17[[#This Row],[Customer_ID]],customers__2[#All],4,0)</f>
        <v>Consumer</v>
      </c>
      <c r="K240" t="str">
        <f>VLOOKUP(orders__17[[#This Row],[Product_ID]],products[#All],3,0)</f>
        <v>Technology</v>
      </c>
      <c r="L240" s="1" t="str">
        <f>VLOOKUP(orders__17[[#This Row],[Product_ID]],products[#All],4,0)</f>
        <v>Accessories</v>
      </c>
      <c r="M240" s="1" t="str">
        <f>VLOOKUP(orders__17[[#This Row],[Order_ID]],returns[#All],2,0)</f>
        <v>No</v>
      </c>
    </row>
    <row r="241" spans="1:13" x14ac:dyDescent="0.3">
      <c r="A241" s="1" t="s">
        <v>477</v>
      </c>
      <c r="B241" s="2">
        <v>45292</v>
      </c>
      <c r="C241" s="1" t="s">
        <v>21</v>
      </c>
      <c r="D241" s="1" t="s">
        <v>54</v>
      </c>
      <c r="E241">
        <v>5</v>
      </c>
      <c r="F241" s="4">
        <v>1561.52</v>
      </c>
      <c r="G241" s="3">
        <v>0.3</v>
      </c>
      <c r="H241" s="4">
        <v>398.04</v>
      </c>
      <c r="I241" t="str">
        <f>VLOOKUP(orders__17[[#This Row],[Customer_ID]],customers__2[#All],3,0)</f>
        <v>West</v>
      </c>
      <c r="J241" t="str">
        <f>VLOOKUP(orders__17[[#This Row],[Customer_ID]],customers__2[#All],4,0)</f>
        <v>Corporate</v>
      </c>
      <c r="K241" t="str">
        <f>VLOOKUP(orders__17[[#This Row],[Product_ID]],products[#All],3,0)</f>
        <v>Office Supplies</v>
      </c>
      <c r="L241" s="1" t="str">
        <f>VLOOKUP(orders__17[[#This Row],[Product_ID]],products[#All],4,0)</f>
        <v>Binder</v>
      </c>
      <c r="M241" s="1" t="str">
        <f>VLOOKUP(orders__17[[#This Row],[Order_ID]],returns[#All],2,0)</f>
        <v>No</v>
      </c>
    </row>
    <row r="242" spans="1:13" x14ac:dyDescent="0.3">
      <c r="A242" s="1" t="s">
        <v>478</v>
      </c>
      <c r="B242" s="2">
        <v>45078</v>
      </c>
      <c r="C242" s="1" t="s">
        <v>113</v>
      </c>
      <c r="D242" s="1" t="s">
        <v>341</v>
      </c>
      <c r="E242">
        <v>3</v>
      </c>
      <c r="F242" s="4">
        <v>1286.8599999999999</v>
      </c>
      <c r="G242" s="3">
        <v>0.2</v>
      </c>
      <c r="H242" s="4">
        <v>350.09</v>
      </c>
      <c r="I242" t="str">
        <f>VLOOKUP(orders__17[[#This Row],[Customer_ID]],customers__2[#All],3,0)</f>
        <v>West</v>
      </c>
      <c r="J242" t="str">
        <f>VLOOKUP(orders__17[[#This Row],[Customer_ID]],customers__2[#All],4,0)</f>
        <v>Consumer</v>
      </c>
      <c r="K242" t="str">
        <f>VLOOKUP(orders__17[[#This Row],[Product_ID]],products[#All],3,0)</f>
        <v>Technology</v>
      </c>
      <c r="L242" s="1" t="str">
        <f>VLOOKUP(orders__17[[#This Row],[Product_ID]],products[#All],4,0)</f>
        <v>Phone</v>
      </c>
      <c r="M242" s="1" t="str">
        <f>VLOOKUP(orders__17[[#This Row],[Order_ID]],returns[#All],2,0)</f>
        <v>No</v>
      </c>
    </row>
    <row r="243" spans="1:13" x14ac:dyDescent="0.3">
      <c r="A243" s="1" t="s">
        <v>479</v>
      </c>
      <c r="B243" s="2">
        <v>44807</v>
      </c>
      <c r="C243" s="1" t="s">
        <v>50</v>
      </c>
      <c r="D243" s="1" t="s">
        <v>141</v>
      </c>
      <c r="E243">
        <v>1</v>
      </c>
      <c r="F243" s="4">
        <v>825.69</v>
      </c>
      <c r="G243" s="3">
        <v>0.2</v>
      </c>
      <c r="H243" s="4">
        <v>82.41</v>
      </c>
      <c r="I243" t="str">
        <f>VLOOKUP(orders__17[[#This Row],[Customer_ID]],customers__2[#All],3,0)</f>
        <v>East</v>
      </c>
      <c r="J243" t="str">
        <f>VLOOKUP(orders__17[[#This Row],[Customer_ID]],customers__2[#All],4,0)</f>
        <v>Corporate</v>
      </c>
      <c r="K243" t="str">
        <f>VLOOKUP(orders__17[[#This Row],[Product_ID]],products[#All],3,0)</f>
        <v>Technology</v>
      </c>
      <c r="L243" s="1" t="str">
        <f>VLOOKUP(orders__17[[#This Row],[Product_ID]],products[#All],4,0)</f>
        <v>Phone</v>
      </c>
      <c r="M243" s="1" t="str">
        <f>VLOOKUP(orders__17[[#This Row],[Order_ID]],returns[#All],2,0)</f>
        <v>No</v>
      </c>
    </row>
    <row r="244" spans="1:13" x14ac:dyDescent="0.3">
      <c r="A244" s="1" t="s">
        <v>480</v>
      </c>
      <c r="B244" s="2">
        <v>44750</v>
      </c>
      <c r="C244" s="1" t="s">
        <v>290</v>
      </c>
      <c r="D244" s="1" t="s">
        <v>86</v>
      </c>
      <c r="E244">
        <v>1</v>
      </c>
      <c r="F244" s="4">
        <v>490.81</v>
      </c>
      <c r="G244" s="3">
        <v>0.3</v>
      </c>
      <c r="H244" s="4">
        <v>59.41</v>
      </c>
      <c r="I244" t="str">
        <f>VLOOKUP(orders__17[[#This Row],[Customer_ID]],customers__2[#All],3,0)</f>
        <v>East</v>
      </c>
      <c r="J244" t="str">
        <f>VLOOKUP(orders__17[[#This Row],[Customer_ID]],customers__2[#All],4,0)</f>
        <v>Home Office</v>
      </c>
      <c r="K244" t="str">
        <f>VLOOKUP(orders__17[[#This Row],[Product_ID]],products[#All],3,0)</f>
        <v>Furniture</v>
      </c>
      <c r="L244" s="1" t="str">
        <f>VLOOKUP(orders__17[[#This Row],[Product_ID]],products[#All],4,0)</f>
        <v>Table</v>
      </c>
      <c r="M244" s="1" t="str">
        <f>VLOOKUP(orders__17[[#This Row],[Order_ID]],returns[#All],2,0)</f>
        <v>No</v>
      </c>
    </row>
    <row r="245" spans="1:13" x14ac:dyDescent="0.3">
      <c r="A245" s="1" t="s">
        <v>481</v>
      </c>
      <c r="B245" s="2">
        <v>44831</v>
      </c>
      <c r="C245" s="1" t="s">
        <v>482</v>
      </c>
      <c r="D245" s="1" t="s">
        <v>221</v>
      </c>
      <c r="E245">
        <v>3</v>
      </c>
      <c r="F245" s="4">
        <v>330.63</v>
      </c>
      <c r="G245" s="3">
        <v>0.2</v>
      </c>
      <c r="H245" s="4">
        <v>40.42</v>
      </c>
      <c r="I245" t="str">
        <f>VLOOKUP(orders__17[[#This Row],[Customer_ID]],customers__2[#All],3,0)</f>
        <v>North</v>
      </c>
      <c r="J245" t="str">
        <f>VLOOKUP(orders__17[[#This Row],[Customer_ID]],customers__2[#All],4,0)</f>
        <v>Consumer</v>
      </c>
      <c r="K245" t="str">
        <f>VLOOKUP(orders__17[[#This Row],[Product_ID]],products[#All],3,0)</f>
        <v>Technology</v>
      </c>
      <c r="L245" s="1" t="str">
        <f>VLOOKUP(orders__17[[#This Row],[Product_ID]],products[#All],4,0)</f>
        <v>Laptop</v>
      </c>
      <c r="M245" s="1" t="str">
        <f>VLOOKUP(orders__17[[#This Row],[Order_ID]],returns[#All],2,0)</f>
        <v>No</v>
      </c>
    </row>
    <row r="246" spans="1:13" x14ac:dyDescent="0.3">
      <c r="A246" s="1" t="s">
        <v>483</v>
      </c>
      <c r="B246" s="2">
        <v>45150</v>
      </c>
      <c r="C246" s="1" t="s">
        <v>213</v>
      </c>
      <c r="D246" s="1" t="s">
        <v>127</v>
      </c>
      <c r="E246">
        <v>3</v>
      </c>
      <c r="F246" s="4">
        <v>1268.52</v>
      </c>
      <c r="G246" s="3">
        <v>0</v>
      </c>
      <c r="H246" s="4">
        <v>183</v>
      </c>
      <c r="I246" t="str">
        <f>VLOOKUP(orders__17[[#This Row],[Customer_ID]],customers__2[#All],3,0)</f>
        <v>East</v>
      </c>
      <c r="J246" t="str">
        <f>VLOOKUP(orders__17[[#This Row],[Customer_ID]],customers__2[#All],4,0)</f>
        <v>Corporate</v>
      </c>
      <c r="K246" t="str">
        <f>VLOOKUP(orders__17[[#This Row],[Product_ID]],products[#All],3,0)</f>
        <v>Furniture</v>
      </c>
      <c r="L246" s="1" t="str">
        <f>VLOOKUP(orders__17[[#This Row],[Product_ID]],products[#All],4,0)</f>
        <v>Chair</v>
      </c>
      <c r="M246" s="1" t="str">
        <f>VLOOKUP(orders__17[[#This Row],[Order_ID]],returns[#All],2,0)</f>
        <v>No</v>
      </c>
    </row>
    <row r="247" spans="1:13" x14ac:dyDescent="0.3">
      <c r="A247" s="1" t="s">
        <v>484</v>
      </c>
      <c r="B247" s="2">
        <v>45248</v>
      </c>
      <c r="C247" s="1" t="s">
        <v>344</v>
      </c>
      <c r="D247" s="1" t="s">
        <v>239</v>
      </c>
      <c r="E247">
        <v>3</v>
      </c>
      <c r="F247" s="4">
        <v>1571.8</v>
      </c>
      <c r="G247" s="3">
        <v>0.1</v>
      </c>
      <c r="H247" s="4">
        <v>233.15</v>
      </c>
      <c r="I247" t="str">
        <f>VLOOKUP(orders__17[[#This Row],[Customer_ID]],customers__2[#All],3,0)</f>
        <v>North</v>
      </c>
      <c r="J247" t="str">
        <f>VLOOKUP(orders__17[[#This Row],[Customer_ID]],customers__2[#All],4,0)</f>
        <v>Home Office</v>
      </c>
      <c r="K247" t="str">
        <f>VLOOKUP(orders__17[[#This Row],[Product_ID]],products[#All],3,0)</f>
        <v>Furniture</v>
      </c>
      <c r="L247" s="1" t="str">
        <f>VLOOKUP(orders__17[[#This Row],[Product_ID]],products[#All],4,0)</f>
        <v>Shelf</v>
      </c>
      <c r="M247" s="1" t="str">
        <f>VLOOKUP(orders__17[[#This Row],[Order_ID]],returns[#All],2,0)</f>
        <v>No</v>
      </c>
    </row>
    <row r="248" spans="1:13" x14ac:dyDescent="0.3">
      <c r="A248" s="1" t="s">
        <v>485</v>
      </c>
      <c r="B248" s="2">
        <v>45159</v>
      </c>
      <c r="C248" s="1" t="s">
        <v>121</v>
      </c>
      <c r="D248" s="1" t="s">
        <v>48</v>
      </c>
      <c r="E248">
        <v>4</v>
      </c>
      <c r="F248" s="4">
        <v>1323.42</v>
      </c>
      <c r="G248" s="3">
        <v>0.2</v>
      </c>
      <c r="H248" s="4">
        <v>246.34</v>
      </c>
      <c r="I248" t="str">
        <f>VLOOKUP(orders__17[[#This Row],[Customer_ID]],customers__2[#All],3,0)</f>
        <v>East</v>
      </c>
      <c r="J248" t="str">
        <f>VLOOKUP(orders__17[[#This Row],[Customer_ID]],customers__2[#All],4,0)</f>
        <v>Corporate</v>
      </c>
      <c r="K248" t="str">
        <f>VLOOKUP(orders__17[[#This Row],[Product_ID]],products[#All],3,0)</f>
        <v>Office Supplies</v>
      </c>
      <c r="L248" s="1" t="str">
        <f>VLOOKUP(orders__17[[#This Row],[Product_ID]],products[#All],4,0)</f>
        <v>Pen</v>
      </c>
      <c r="M248" s="1" t="str">
        <f>VLOOKUP(orders__17[[#This Row],[Order_ID]],returns[#All],2,0)</f>
        <v>No</v>
      </c>
    </row>
    <row r="249" spans="1:13" x14ac:dyDescent="0.3">
      <c r="A249" s="1" t="s">
        <v>486</v>
      </c>
      <c r="B249" s="2">
        <v>45181</v>
      </c>
      <c r="C249" s="1" t="s">
        <v>487</v>
      </c>
      <c r="D249" s="1" t="s">
        <v>141</v>
      </c>
      <c r="E249">
        <v>1</v>
      </c>
      <c r="F249" s="4">
        <v>1107.57</v>
      </c>
      <c r="G249" s="3">
        <v>0.3</v>
      </c>
      <c r="H249" s="4">
        <v>99.65</v>
      </c>
      <c r="I249" t="str">
        <f>VLOOKUP(orders__17[[#This Row],[Customer_ID]],customers__2[#All],3,0)</f>
        <v>North</v>
      </c>
      <c r="J249" t="str">
        <f>VLOOKUP(orders__17[[#This Row],[Customer_ID]],customers__2[#All],4,0)</f>
        <v>Home Office</v>
      </c>
      <c r="K249" t="str">
        <f>VLOOKUP(orders__17[[#This Row],[Product_ID]],products[#All],3,0)</f>
        <v>Technology</v>
      </c>
      <c r="L249" s="1" t="str">
        <f>VLOOKUP(orders__17[[#This Row],[Product_ID]],products[#All],4,0)</f>
        <v>Phone</v>
      </c>
      <c r="M249" s="1" t="str">
        <f>VLOOKUP(orders__17[[#This Row],[Order_ID]],returns[#All],2,0)</f>
        <v>No</v>
      </c>
    </row>
    <row r="250" spans="1:13" x14ac:dyDescent="0.3">
      <c r="A250" s="1" t="s">
        <v>488</v>
      </c>
      <c r="B250" s="2">
        <v>45428</v>
      </c>
      <c r="C250" s="1" t="s">
        <v>489</v>
      </c>
      <c r="D250" s="1" t="s">
        <v>132</v>
      </c>
      <c r="E250">
        <v>4</v>
      </c>
      <c r="F250" s="4">
        <v>179.71</v>
      </c>
      <c r="G250" s="3">
        <v>0.1</v>
      </c>
      <c r="H250" s="4">
        <v>40.04</v>
      </c>
      <c r="I250" t="str">
        <f>VLOOKUP(orders__17[[#This Row],[Customer_ID]],customers__2[#All],3,0)</f>
        <v>North</v>
      </c>
      <c r="J250" t="str">
        <f>VLOOKUP(orders__17[[#This Row],[Customer_ID]],customers__2[#All],4,0)</f>
        <v>Home Office</v>
      </c>
      <c r="K250" t="str">
        <f>VLOOKUP(orders__17[[#This Row],[Product_ID]],products[#All],3,0)</f>
        <v>Furniture</v>
      </c>
      <c r="L250" s="1" t="str">
        <f>VLOOKUP(orders__17[[#This Row],[Product_ID]],products[#All],4,0)</f>
        <v>Shelf</v>
      </c>
      <c r="M250" s="1" t="str">
        <f>VLOOKUP(orders__17[[#This Row],[Order_ID]],returns[#All],2,0)</f>
        <v>Yes</v>
      </c>
    </row>
    <row r="251" spans="1:13" x14ac:dyDescent="0.3">
      <c r="A251" s="1" t="s">
        <v>490</v>
      </c>
      <c r="B251" s="2">
        <v>44575</v>
      </c>
      <c r="C251" s="1" t="s">
        <v>491</v>
      </c>
      <c r="D251" s="1" t="s">
        <v>226</v>
      </c>
      <c r="E251">
        <v>3</v>
      </c>
      <c r="F251" s="4">
        <v>1940.13</v>
      </c>
      <c r="G251" s="3">
        <v>0.3</v>
      </c>
      <c r="H251" s="4">
        <v>178.28</v>
      </c>
      <c r="I251" t="str">
        <f>VLOOKUP(orders__17[[#This Row],[Customer_ID]],customers__2[#All],3,0)</f>
        <v>West</v>
      </c>
      <c r="J251" t="str">
        <f>VLOOKUP(orders__17[[#This Row],[Customer_ID]],customers__2[#All],4,0)</f>
        <v>Corporate</v>
      </c>
      <c r="K251" t="str">
        <f>VLOOKUP(orders__17[[#This Row],[Product_ID]],products[#All],3,0)</f>
        <v>Technology</v>
      </c>
      <c r="L251" s="1" t="str">
        <f>VLOOKUP(orders__17[[#This Row],[Product_ID]],products[#All],4,0)</f>
        <v>Laptop</v>
      </c>
      <c r="M251" s="1" t="str">
        <f>VLOOKUP(orders__17[[#This Row],[Order_ID]],returns[#All],2,0)</f>
        <v>No</v>
      </c>
    </row>
    <row r="252" spans="1:13" x14ac:dyDescent="0.3">
      <c r="A252" s="1" t="s">
        <v>492</v>
      </c>
      <c r="B252" s="2">
        <v>45408</v>
      </c>
      <c r="C252" s="1" t="s">
        <v>308</v>
      </c>
      <c r="D252" s="1" t="s">
        <v>100</v>
      </c>
      <c r="E252">
        <v>1</v>
      </c>
      <c r="F252" s="4">
        <v>1617.56</v>
      </c>
      <c r="G252" s="3">
        <v>0.1</v>
      </c>
      <c r="H252" s="4">
        <v>206.36</v>
      </c>
      <c r="I252" t="str">
        <f>VLOOKUP(orders__17[[#This Row],[Customer_ID]],customers__2[#All],3,0)</f>
        <v>North</v>
      </c>
      <c r="J252" t="str">
        <f>VLOOKUP(orders__17[[#This Row],[Customer_ID]],customers__2[#All],4,0)</f>
        <v>Home Office</v>
      </c>
      <c r="K252" t="str">
        <f>VLOOKUP(orders__17[[#This Row],[Product_ID]],products[#All],3,0)</f>
        <v>Technology</v>
      </c>
      <c r="L252" s="1" t="str">
        <f>VLOOKUP(orders__17[[#This Row],[Product_ID]],products[#All],4,0)</f>
        <v>Laptop</v>
      </c>
      <c r="M252" s="1" t="str">
        <f>VLOOKUP(orders__17[[#This Row],[Order_ID]],returns[#All],2,0)</f>
        <v>No</v>
      </c>
    </row>
    <row r="253" spans="1:13" x14ac:dyDescent="0.3">
      <c r="A253" s="1" t="s">
        <v>493</v>
      </c>
      <c r="B253" s="2">
        <v>44892</v>
      </c>
      <c r="C253" s="1" t="s">
        <v>494</v>
      </c>
      <c r="D253" s="1" t="s">
        <v>258</v>
      </c>
      <c r="E253">
        <v>4</v>
      </c>
      <c r="F253" s="4">
        <v>656.36</v>
      </c>
      <c r="G253" s="3">
        <v>0.1</v>
      </c>
      <c r="H253" s="4">
        <v>115.41</v>
      </c>
      <c r="I253" t="str">
        <f>VLOOKUP(orders__17[[#This Row],[Customer_ID]],customers__2[#All],3,0)</f>
        <v>South</v>
      </c>
      <c r="J253" t="str">
        <f>VLOOKUP(orders__17[[#This Row],[Customer_ID]],customers__2[#All],4,0)</f>
        <v>Home Office</v>
      </c>
      <c r="K253" t="str">
        <f>VLOOKUP(orders__17[[#This Row],[Product_ID]],products[#All],3,0)</f>
        <v>Technology</v>
      </c>
      <c r="L253" s="1" t="str">
        <f>VLOOKUP(orders__17[[#This Row],[Product_ID]],products[#All],4,0)</f>
        <v>Phone</v>
      </c>
      <c r="M253" s="1" t="str">
        <f>VLOOKUP(orders__17[[#This Row],[Order_ID]],returns[#All],2,0)</f>
        <v>No</v>
      </c>
    </row>
    <row r="254" spans="1:13" x14ac:dyDescent="0.3">
      <c r="A254" s="1" t="s">
        <v>495</v>
      </c>
      <c r="B254" s="2">
        <v>45071</v>
      </c>
      <c r="C254" s="1" t="s">
        <v>353</v>
      </c>
      <c r="D254" s="1" t="s">
        <v>249</v>
      </c>
      <c r="E254">
        <v>4</v>
      </c>
      <c r="F254" s="4">
        <v>1961.94</v>
      </c>
      <c r="G254" s="3">
        <v>0.2</v>
      </c>
      <c r="H254" s="4">
        <v>488.74</v>
      </c>
      <c r="I254" t="str">
        <f>VLOOKUP(orders__17[[#This Row],[Customer_ID]],customers__2[#All],3,0)</f>
        <v>East</v>
      </c>
      <c r="J254" t="str">
        <f>VLOOKUP(orders__17[[#This Row],[Customer_ID]],customers__2[#All],4,0)</f>
        <v>Home Office</v>
      </c>
      <c r="K254" t="str">
        <f>VLOOKUP(orders__17[[#This Row],[Product_ID]],products[#All],3,0)</f>
        <v>Office Supplies</v>
      </c>
      <c r="L254" s="1" t="str">
        <f>VLOOKUP(orders__17[[#This Row],[Product_ID]],products[#All],4,0)</f>
        <v>Paper</v>
      </c>
      <c r="M254" s="1" t="str">
        <f>VLOOKUP(orders__17[[#This Row],[Order_ID]],returns[#All],2,0)</f>
        <v>No</v>
      </c>
    </row>
    <row r="255" spans="1:13" x14ac:dyDescent="0.3">
      <c r="A255" s="1" t="s">
        <v>496</v>
      </c>
      <c r="B255" s="2">
        <v>44767</v>
      </c>
      <c r="C255" s="1" t="s">
        <v>136</v>
      </c>
      <c r="D255" s="1" t="s">
        <v>25</v>
      </c>
      <c r="E255">
        <v>3</v>
      </c>
      <c r="F255" s="4">
        <v>1243.58</v>
      </c>
      <c r="G255" s="3">
        <v>0</v>
      </c>
      <c r="H255" s="4">
        <v>292.08</v>
      </c>
      <c r="I255" t="str">
        <f>VLOOKUP(orders__17[[#This Row],[Customer_ID]],customers__2[#All],3,0)</f>
        <v>West</v>
      </c>
      <c r="J255" t="str">
        <f>VLOOKUP(orders__17[[#This Row],[Customer_ID]],customers__2[#All],4,0)</f>
        <v>Consumer</v>
      </c>
      <c r="K255" t="str">
        <f>VLOOKUP(orders__17[[#This Row],[Product_ID]],products[#All],3,0)</f>
        <v>Office Supplies</v>
      </c>
      <c r="L255" s="1" t="str">
        <f>VLOOKUP(orders__17[[#This Row],[Product_ID]],products[#All],4,0)</f>
        <v>Paper</v>
      </c>
      <c r="M255" s="1" t="str">
        <f>VLOOKUP(orders__17[[#This Row],[Order_ID]],returns[#All],2,0)</f>
        <v>Yes</v>
      </c>
    </row>
    <row r="256" spans="1:13" x14ac:dyDescent="0.3">
      <c r="A256" s="1" t="s">
        <v>497</v>
      </c>
      <c r="B256" s="2">
        <v>45446</v>
      </c>
      <c r="C256" s="1" t="s">
        <v>244</v>
      </c>
      <c r="D256" s="1" t="s">
        <v>127</v>
      </c>
      <c r="E256">
        <v>1</v>
      </c>
      <c r="F256" s="4">
        <v>1206.5999999999999</v>
      </c>
      <c r="G256" s="3">
        <v>0.2</v>
      </c>
      <c r="H256" s="4">
        <v>255.06</v>
      </c>
      <c r="I256" t="str">
        <f>VLOOKUP(orders__17[[#This Row],[Customer_ID]],customers__2[#All],3,0)</f>
        <v>South</v>
      </c>
      <c r="J256" t="str">
        <f>VLOOKUP(orders__17[[#This Row],[Customer_ID]],customers__2[#All],4,0)</f>
        <v>Corporate</v>
      </c>
      <c r="K256" t="str">
        <f>VLOOKUP(orders__17[[#This Row],[Product_ID]],products[#All],3,0)</f>
        <v>Furniture</v>
      </c>
      <c r="L256" s="1" t="str">
        <f>VLOOKUP(orders__17[[#This Row],[Product_ID]],products[#All],4,0)</f>
        <v>Chair</v>
      </c>
      <c r="M256" s="1" t="str">
        <f>VLOOKUP(orders__17[[#This Row],[Order_ID]],returns[#All],2,0)</f>
        <v>No</v>
      </c>
    </row>
    <row r="257" spans="1:13" x14ac:dyDescent="0.3">
      <c r="A257" s="1" t="s">
        <v>498</v>
      </c>
      <c r="B257" s="2">
        <v>44654</v>
      </c>
      <c r="C257" s="1" t="s">
        <v>319</v>
      </c>
      <c r="D257" s="1" t="s">
        <v>67</v>
      </c>
      <c r="E257">
        <v>3</v>
      </c>
      <c r="F257" s="4">
        <v>1521.34</v>
      </c>
      <c r="G257" s="3">
        <v>0.3</v>
      </c>
      <c r="H257" s="4">
        <v>135.31</v>
      </c>
      <c r="I257" t="str">
        <f>VLOOKUP(orders__17[[#This Row],[Customer_ID]],customers__2[#All],3,0)</f>
        <v>East</v>
      </c>
      <c r="J257" t="str">
        <f>VLOOKUP(orders__17[[#This Row],[Customer_ID]],customers__2[#All],4,0)</f>
        <v>Consumer</v>
      </c>
      <c r="K257" t="str">
        <f>VLOOKUP(orders__17[[#This Row],[Product_ID]],products[#All],3,0)</f>
        <v>Furniture</v>
      </c>
      <c r="L257" s="1" t="str">
        <f>VLOOKUP(orders__17[[#This Row],[Product_ID]],products[#All],4,0)</f>
        <v>Chair</v>
      </c>
      <c r="M257" s="1" t="str">
        <f>VLOOKUP(orders__17[[#This Row],[Order_ID]],returns[#All],2,0)</f>
        <v>No</v>
      </c>
    </row>
    <row r="258" spans="1:13" x14ac:dyDescent="0.3">
      <c r="A258" s="1" t="s">
        <v>499</v>
      </c>
      <c r="B258" s="2">
        <v>44811</v>
      </c>
      <c r="C258" s="1" t="s">
        <v>412</v>
      </c>
      <c r="D258" s="1" t="s">
        <v>163</v>
      </c>
      <c r="E258">
        <v>1</v>
      </c>
      <c r="F258" s="4">
        <v>1642.36</v>
      </c>
      <c r="G258" s="3">
        <v>0.3</v>
      </c>
      <c r="H258" s="4">
        <v>306.73</v>
      </c>
      <c r="I258" t="str">
        <f>VLOOKUP(orders__17[[#This Row],[Customer_ID]],customers__2[#All],3,0)</f>
        <v>North</v>
      </c>
      <c r="J258" t="str">
        <f>VLOOKUP(orders__17[[#This Row],[Customer_ID]],customers__2[#All],4,0)</f>
        <v>Consumer</v>
      </c>
      <c r="K258" t="str">
        <f>VLOOKUP(orders__17[[#This Row],[Product_ID]],products[#All],3,0)</f>
        <v>Furniture</v>
      </c>
      <c r="L258" s="1" t="str">
        <f>VLOOKUP(orders__17[[#This Row],[Product_ID]],products[#All],4,0)</f>
        <v>Table</v>
      </c>
      <c r="M258" s="1" t="str">
        <f>VLOOKUP(orders__17[[#This Row],[Order_ID]],returns[#All],2,0)</f>
        <v>No</v>
      </c>
    </row>
    <row r="259" spans="1:13" x14ac:dyDescent="0.3">
      <c r="A259" s="1" t="s">
        <v>500</v>
      </c>
      <c r="B259" s="2">
        <v>44974</v>
      </c>
      <c r="C259" s="1" t="s">
        <v>167</v>
      </c>
      <c r="D259" s="1" t="s">
        <v>130</v>
      </c>
      <c r="E259">
        <v>5</v>
      </c>
      <c r="F259" s="4">
        <v>1347.31</v>
      </c>
      <c r="G259" s="3">
        <v>0.1</v>
      </c>
      <c r="H259" s="4">
        <v>96.82</v>
      </c>
      <c r="I259" t="str">
        <f>VLOOKUP(orders__17[[#This Row],[Customer_ID]],customers__2[#All],3,0)</f>
        <v>East</v>
      </c>
      <c r="J259" t="str">
        <f>VLOOKUP(orders__17[[#This Row],[Customer_ID]],customers__2[#All],4,0)</f>
        <v>Corporate</v>
      </c>
      <c r="K259" t="str">
        <f>VLOOKUP(orders__17[[#This Row],[Product_ID]],products[#All],3,0)</f>
        <v>Furniture</v>
      </c>
      <c r="L259" s="1" t="str">
        <f>VLOOKUP(orders__17[[#This Row],[Product_ID]],products[#All],4,0)</f>
        <v>Desk</v>
      </c>
      <c r="M259" s="1" t="str">
        <f>VLOOKUP(orders__17[[#This Row],[Order_ID]],returns[#All],2,0)</f>
        <v>Yes</v>
      </c>
    </row>
    <row r="260" spans="1:13" x14ac:dyDescent="0.3">
      <c r="A260" s="1" t="s">
        <v>501</v>
      </c>
      <c r="B260" s="2">
        <v>44710</v>
      </c>
      <c r="C260" s="1" t="s">
        <v>174</v>
      </c>
      <c r="D260" s="1" t="s">
        <v>502</v>
      </c>
      <c r="E260">
        <v>2</v>
      </c>
      <c r="F260" s="4">
        <v>343.38</v>
      </c>
      <c r="G260" s="3">
        <v>0.1</v>
      </c>
      <c r="H260" s="4">
        <v>49.56</v>
      </c>
      <c r="I260" t="str">
        <f>VLOOKUP(orders__17[[#This Row],[Customer_ID]],customers__2[#All],3,0)</f>
        <v>East</v>
      </c>
      <c r="J260" t="str">
        <f>VLOOKUP(orders__17[[#This Row],[Customer_ID]],customers__2[#All],4,0)</f>
        <v>Consumer</v>
      </c>
      <c r="K260" t="str">
        <f>VLOOKUP(orders__17[[#This Row],[Product_ID]],products[#All],3,0)</f>
        <v>Furniture</v>
      </c>
      <c r="L260" s="1" t="str">
        <f>VLOOKUP(orders__17[[#This Row],[Product_ID]],products[#All],4,0)</f>
        <v>Shelf</v>
      </c>
      <c r="M260" s="1" t="str">
        <f>VLOOKUP(orders__17[[#This Row],[Order_ID]],returns[#All],2,0)</f>
        <v>No</v>
      </c>
    </row>
    <row r="261" spans="1:13" x14ac:dyDescent="0.3">
      <c r="A261" s="1" t="s">
        <v>503</v>
      </c>
      <c r="B261" s="2">
        <v>44982</v>
      </c>
      <c r="C261" s="1" t="s">
        <v>179</v>
      </c>
      <c r="D261" s="1" t="s">
        <v>89</v>
      </c>
      <c r="E261">
        <v>2</v>
      </c>
      <c r="F261" s="4">
        <v>742.71</v>
      </c>
      <c r="G261" s="3">
        <v>0</v>
      </c>
      <c r="H261" s="4">
        <v>113.92</v>
      </c>
      <c r="I261" t="str">
        <f>VLOOKUP(orders__17[[#This Row],[Customer_ID]],customers__2[#All],3,0)</f>
        <v>North</v>
      </c>
      <c r="J261" t="str">
        <f>VLOOKUP(orders__17[[#This Row],[Customer_ID]],customers__2[#All],4,0)</f>
        <v>Consumer</v>
      </c>
      <c r="K261" t="str">
        <f>VLOOKUP(orders__17[[#This Row],[Product_ID]],products[#All],3,0)</f>
        <v>Technology</v>
      </c>
      <c r="L261" s="1" t="str">
        <f>VLOOKUP(orders__17[[#This Row],[Product_ID]],products[#All],4,0)</f>
        <v>Phone</v>
      </c>
      <c r="M261" s="1" t="str">
        <f>VLOOKUP(orders__17[[#This Row],[Order_ID]],returns[#All],2,0)</f>
        <v>No</v>
      </c>
    </row>
    <row r="262" spans="1:13" x14ac:dyDescent="0.3">
      <c r="A262" s="1" t="s">
        <v>504</v>
      </c>
      <c r="B262" s="2">
        <v>45111</v>
      </c>
      <c r="C262" s="1" t="s">
        <v>505</v>
      </c>
      <c r="D262" s="1" t="s">
        <v>378</v>
      </c>
      <c r="E262">
        <v>2</v>
      </c>
      <c r="F262" s="4">
        <v>1863.36</v>
      </c>
      <c r="G262" s="3">
        <v>0.2</v>
      </c>
      <c r="H262" s="4">
        <v>111.71</v>
      </c>
      <c r="I262" t="str">
        <f>VLOOKUP(orders__17[[#This Row],[Customer_ID]],customers__2[#All],3,0)</f>
        <v>North</v>
      </c>
      <c r="J262" t="str">
        <f>VLOOKUP(orders__17[[#This Row],[Customer_ID]],customers__2[#All],4,0)</f>
        <v>Consumer</v>
      </c>
      <c r="K262" t="str">
        <f>VLOOKUP(orders__17[[#This Row],[Product_ID]],products[#All],3,0)</f>
        <v>Office Supplies</v>
      </c>
      <c r="L262" s="1" t="str">
        <f>VLOOKUP(orders__17[[#This Row],[Product_ID]],products[#All],4,0)</f>
        <v>Paper</v>
      </c>
      <c r="M262" s="1" t="str">
        <f>VLOOKUP(orders__17[[#This Row],[Order_ID]],returns[#All],2,0)</f>
        <v>Yes</v>
      </c>
    </row>
    <row r="263" spans="1:13" x14ac:dyDescent="0.3">
      <c r="A263" s="1" t="s">
        <v>506</v>
      </c>
      <c r="B263" s="2">
        <v>45422</v>
      </c>
      <c r="C263" s="1" t="s">
        <v>252</v>
      </c>
      <c r="D263" s="1" t="s">
        <v>361</v>
      </c>
      <c r="E263">
        <v>3</v>
      </c>
      <c r="F263" s="4">
        <v>526.77</v>
      </c>
      <c r="G263" s="3">
        <v>0.3</v>
      </c>
      <c r="H263" s="4">
        <v>62.42</v>
      </c>
      <c r="I263" t="str">
        <f>VLOOKUP(orders__17[[#This Row],[Customer_ID]],customers__2[#All],3,0)</f>
        <v>North</v>
      </c>
      <c r="J263" t="str">
        <f>VLOOKUP(orders__17[[#This Row],[Customer_ID]],customers__2[#All],4,0)</f>
        <v>Home Office</v>
      </c>
      <c r="K263" t="str">
        <f>VLOOKUP(orders__17[[#This Row],[Product_ID]],products[#All],3,0)</f>
        <v>Furniture</v>
      </c>
      <c r="L263" s="1" t="str">
        <f>VLOOKUP(orders__17[[#This Row],[Product_ID]],products[#All],4,0)</f>
        <v>Shelf</v>
      </c>
      <c r="M263" s="1" t="str">
        <f>VLOOKUP(orders__17[[#This Row],[Order_ID]],returns[#All],2,0)</f>
        <v>No</v>
      </c>
    </row>
    <row r="264" spans="1:13" x14ac:dyDescent="0.3">
      <c r="A264" s="1" t="s">
        <v>507</v>
      </c>
      <c r="B264" s="2">
        <v>44987</v>
      </c>
      <c r="C264" s="1" t="s">
        <v>268</v>
      </c>
      <c r="D264" s="1" t="s">
        <v>221</v>
      </c>
      <c r="E264">
        <v>5</v>
      </c>
      <c r="F264" s="4">
        <v>807.12</v>
      </c>
      <c r="G264" s="3">
        <v>0.1</v>
      </c>
      <c r="H264" s="4">
        <v>233.19</v>
      </c>
      <c r="I264" t="str">
        <f>VLOOKUP(orders__17[[#This Row],[Customer_ID]],customers__2[#All],3,0)</f>
        <v>East</v>
      </c>
      <c r="J264" t="str">
        <f>VLOOKUP(orders__17[[#This Row],[Customer_ID]],customers__2[#All],4,0)</f>
        <v>Consumer</v>
      </c>
      <c r="K264" t="str">
        <f>VLOOKUP(orders__17[[#This Row],[Product_ID]],products[#All],3,0)</f>
        <v>Technology</v>
      </c>
      <c r="L264" s="1" t="str">
        <f>VLOOKUP(orders__17[[#This Row],[Product_ID]],products[#All],4,0)</f>
        <v>Laptop</v>
      </c>
      <c r="M264" s="1" t="str">
        <f>VLOOKUP(orders__17[[#This Row],[Order_ID]],returns[#All],2,0)</f>
        <v>No</v>
      </c>
    </row>
    <row r="265" spans="1:13" x14ac:dyDescent="0.3">
      <c r="A265" s="1" t="s">
        <v>508</v>
      </c>
      <c r="B265" s="2">
        <v>45262</v>
      </c>
      <c r="C265" s="1" t="s">
        <v>21</v>
      </c>
      <c r="D265" s="1" t="s">
        <v>116</v>
      </c>
      <c r="E265">
        <v>1</v>
      </c>
      <c r="F265" s="4">
        <v>920.95</v>
      </c>
      <c r="G265" s="3">
        <v>0</v>
      </c>
      <c r="H265" s="4">
        <v>265.61</v>
      </c>
      <c r="I265" t="str">
        <f>VLOOKUP(orders__17[[#This Row],[Customer_ID]],customers__2[#All],3,0)</f>
        <v>West</v>
      </c>
      <c r="J265" t="str">
        <f>VLOOKUP(orders__17[[#This Row],[Customer_ID]],customers__2[#All],4,0)</f>
        <v>Corporate</v>
      </c>
      <c r="K265" t="str">
        <f>VLOOKUP(orders__17[[#This Row],[Product_ID]],products[#All],3,0)</f>
        <v>Furniture</v>
      </c>
      <c r="L265" s="1" t="str">
        <f>VLOOKUP(orders__17[[#This Row],[Product_ID]],products[#All],4,0)</f>
        <v>Shelf</v>
      </c>
      <c r="M265" s="1" t="str">
        <f>VLOOKUP(orders__17[[#This Row],[Order_ID]],returns[#All],2,0)</f>
        <v>Yes</v>
      </c>
    </row>
    <row r="266" spans="1:13" x14ac:dyDescent="0.3">
      <c r="A266" s="1" t="s">
        <v>509</v>
      </c>
      <c r="B266" s="2">
        <v>45438</v>
      </c>
      <c r="C266" s="1" t="s">
        <v>510</v>
      </c>
      <c r="D266" s="1" t="s">
        <v>139</v>
      </c>
      <c r="E266">
        <v>4</v>
      </c>
      <c r="F266" s="4">
        <v>934.87</v>
      </c>
      <c r="G266" s="3">
        <v>0.3</v>
      </c>
      <c r="H266" s="4">
        <v>129.09</v>
      </c>
      <c r="I266" t="str">
        <f>VLOOKUP(orders__17[[#This Row],[Customer_ID]],customers__2[#All],3,0)</f>
        <v>South</v>
      </c>
      <c r="J266" t="str">
        <f>VLOOKUP(orders__17[[#This Row],[Customer_ID]],customers__2[#All],4,0)</f>
        <v>Consumer</v>
      </c>
      <c r="K266" t="str">
        <f>VLOOKUP(orders__17[[#This Row],[Product_ID]],products[#All],3,0)</f>
        <v>Furniture</v>
      </c>
      <c r="L266" s="1" t="str">
        <f>VLOOKUP(orders__17[[#This Row],[Product_ID]],products[#All],4,0)</f>
        <v>Table</v>
      </c>
      <c r="M266" s="1" t="str">
        <f>VLOOKUP(orders__17[[#This Row],[Order_ID]],returns[#All],2,0)</f>
        <v>Yes</v>
      </c>
    </row>
    <row r="267" spans="1:13" x14ac:dyDescent="0.3">
      <c r="A267" s="1" t="s">
        <v>511</v>
      </c>
      <c r="B267" s="2">
        <v>45125</v>
      </c>
      <c r="C267" s="1" t="s">
        <v>412</v>
      </c>
      <c r="D267" s="1" t="s">
        <v>314</v>
      </c>
      <c r="E267">
        <v>1</v>
      </c>
      <c r="F267" s="4">
        <v>1264.5899999999999</v>
      </c>
      <c r="G267" s="3">
        <v>0.1</v>
      </c>
      <c r="H267" s="4">
        <v>76.86</v>
      </c>
      <c r="I267" t="str">
        <f>VLOOKUP(orders__17[[#This Row],[Customer_ID]],customers__2[#All],3,0)</f>
        <v>North</v>
      </c>
      <c r="J267" t="str">
        <f>VLOOKUP(orders__17[[#This Row],[Customer_ID]],customers__2[#All],4,0)</f>
        <v>Consumer</v>
      </c>
      <c r="K267" t="str">
        <f>VLOOKUP(orders__17[[#This Row],[Product_ID]],products[#All],3,0)</f>
        <v>Office Supplies</v>
      </c>
      <c r="L267" s="1" t="str">
        <f>VLOOKUP(orders__17[[#This Row],[Product_ID]],products[#All],4,0)</f>
        <v>Paper</v>
      </c>
      <c r="M267" s="1" t="str">
        <f>VLOOKUP(orders__17[[#This Row],[Order_ID]],returns[#All],2,0)</f>
        <v>Yes</v>
      </c>
    </row>
    <row r="268" spans="1:13" x14ac:dyDescent="0.3">
      <c r="A268" s="1" t="s">
        <v>512</v>
      </c>
      <c r="B268" s="2">
        <v>44917</v>
      </c>
      <c r="C268" s="1" t="s">
        <v>228</v>
      </c>
      <c r="D268" s="1" t="s">
        <v>239</v>
      </c>
      <c r="E268">
        <v>4</v>
      </c>
      <c r="F268" s="4">
        <v>1891.84</v>
      </c>
      <c r="G268" s="3">
        <v>0.3</v>
      </c>
      <c r="H268" s="4">
        <v>179.3</v>
      </c>
      <c r="I268" t="str">
        <f>VLOOKUP(orders__17[[#This Row],[Customer_ID]],customers__2[#All],3,0)</f>
        <v>North</v>
      </c>
      <c r="J268" t="str">
        <f>VLOOKUP(orders__17[[#This Row],[Customer_ID]],customers__2[#All],4,0)</f>
        <v>Consumer</v>
      </c>
      <c r="K268" t="str">
        <f>VLOOKUP(orders__17[[#This Row],[Product_ID]],products[#All],3,0)</f>
        <v>Furniture</v>
      </c>
      <c r="L268" s="1" t="str">
        <f>VLOOKUP(orders__17[[#This Row],[Product_ID]],products[#All],4,0)</f>
        <v>Shelf</v>
      </c>
      <c r="M268" s="1" t="str">
        <f>VLOOKUP(orders__17[[#This Row],[Order_ID]],returns[#All],2,0)</f>
        <v>No</v>
      </c>
    </row>
    <row r="269" spans="1:13" x14ac:dyDescent="0.3">
      <c r="A269" s="1" t="s">
        <v>513</v>
      </c>
      <c r="B269" s="2">
        <v>45285</v>
      </c>
      <c r="C269" s="1" t="s">
        <v>233</v>
      </c>
      <c r="D269" s="1" t="s">
        <v>92</v>
      </c>
      <c r="E269">
        <v>1</v>
      </c>
      <c r="F269" s="4">
        <v>557.32000000000005</v>
      </c>
      <c r="G269" s="3">
        <v>0</v>
      </c>
      <c r="H269" s="4">
        <v>82.51</v>
      </c>
      <c r="I269" t="str">
        <f>VLOOKUP(orders__17[[#This Row],[Customer_ID]],customers__2[#All],3,0)</f>
        <v>South</v>
      </c>
      <c r="J269" t="str">
        <f>VLOOKUP(orders__17[[#This Row],[Customer_ID]],customers__2[#All],4,0)</f>
        <v>Home Office</v>
      </c>
      <c r="K269" t="str">
        <f>VLOOKUP(orders__17[[#This Row],[Product_ID]],products[#All],3,0)</f>
        <v>Furniture</v>
      </c>
      <c r="L269" s="1" t="str">
        <f>VLOOKUP(orders__17[[#This Row],[Product_ID]],products[#All],4,0)</f>
        <v>Shelf</v>
      </c>
      <c r="M269" s="1" t="str">
        <f>VLOOKUP(orders__17[[#This Row],[Order_ID]],returns[#All],2,0)</f>
        <v>Yes</v>
      </c>
    </row>
    <row r="270" spans="1:13" x14ac:dyDescent="0.3">
      <c r="A270" s="1" t="s">
        <v>514</v>
      </c>
      <c r="B270" s="2">
        <v>45108</v>
      </c>
      <c r="C270" s="1" t="s">
        <v>121</v>
      </c>
      <c r="D270" s="1" t="s">
        <v>288</v>
      </c>
      <c r="E270">
        <v>5</v>
      </c>
      <c r="F270" s="4">
        <v>330.85</v>
      </c>
      <c r="G270" s="3">
        <v>0</v>
      </c>
      <c r="H270" s="4">
        <v>94.94</v>
      </c>
      <c r="I270" t="str">
        <f>VLOOKUP(orders__17[[#This Row],[Customer_ID]],customers__2[#All],3,0)</f>
        <v>East</v>
      </c>
      <c r="J270" t="str">
        <f>VLOOKUP(orders__17[[#This Row],[Customer_ID]],customers__2[#All],4,0)</f>
        <v>Corporate</v>
      </c>
      <c r="K270" t="str">
        <f>VLOOKUP(orders__17[[#This Row],[Product_ID]],products[#All],3,0)</f>
        <v>Furniture</v>
      </c>
      <c r="L270" s="1" t="str">
        <f>VLOOKUP(orders__17[[#This Row],[Product_ID]],products[#All],4,0)</f>
        <v>Chair</v>
      </c>
      <c r="M270" s="1" t="str">
        <f>VLOOKUP(orders__17[[#This Row],[Order_ID]],returns[#All],2,0)</f>
        <v>No</v>
      </c>
    </row>
    <row r="271" spans="1:13" x14ac:dyDescent="0.3">
      <c r="A271" s="1" t="s">
        <v>515</v>
      </c>
      <c r="B271" s="2">
        <v>45365</v>
      </c>
      <c r="C271" s="1" t="s">
        <v>42</v>
      </c>
      <c r="D271" s="1" t="s">
        <v>314</v>
      </c>
      <c r="E271">
        <v>4</v>
      </c>
      <c r="F271" s="4">
        <v>475.19</v>
      </c>
      <c r="G271" s="3">
        <v>0.3</v>
      </c>
      <c r="H271" s="4">
        <v>40.53</v>
      </c>
      <c r="I271" t="str">
        <f>VLOOKUP(orders__17[[#This Row],[Customer_ID]],customers__2[#All],3,0)</f>
        <v>North</v>
      </c>
      <c r="J271" t="str">
        <f>VLOOKUP(orders__17[[#This Row],[Customer_ID]],customers__2[#All],4,0)</f>
        <v>Corporate</v>
      </c>
      <c r="K271" t="str">
        <f>VLOOKUP(orders__17[[#This Row],[Product_ID]],products[#All],3,0)</f>
        <v>Office Supplies</v>
      </c>
      <c r="L271" s="1" t="str">
        <f>VLOOKUP(orders__17[[#This Row],[Product_ID]],products[#All],4,0)</f>
        <v>Paper</v>
      </c>
      <c r="M271" s="1" t="str">
        <f>VLOOKUP(orders__17[[#This Row],[Order_ID]],returns[#All],2,0)</f>
        <v>No</v>
      </c>
    </row>
    <row r="272" spans="1:13" x14ac:dyDescent="0.3">
      <c r="A272" s="1" t="s">
        <v>516</v>
      </c>
      <c r="B272" s="2">
        <v>45044</v>
      </c>
      <c r="C272" s="1" t="s">
        <v>265</v>
      </c>
      <c r="D272" s="1" t="s">
        <v>226</v>
      </c>
      <c r="E272">
        <v>3</v>
      </c>
      <c r="F272" s="4">
        <v>1785.16</v>
      </c>
      <c r="G272" s="3">
        <v>0.2</v>
      </c>
      <c r="H272" s="4">
        <v>430.01</v>
      </c>
      <c r="I272" t="str">
        <f>VLOOKUP(orders__17[[#This Row],[Customer_ID]],customers__2[#All],3,0)</f>
        <v>East</v>
      </c>
      <c r="J272" t="str">
        <f>VLOOKUP(orders__17[[#This Row],[Customer_ID]],customers__2[#All],4,0)</f>
        <v>Consumer</v>
      </c>
      <c r="K272" t="str">
        <f>VLOOKUP(orders__17[[#This Row],[Product_ID]],products[#All],3,0)</f>
        <v>Technology</v>
      </c>
      <c r="L272" s="1" t="str">
        <f>VLOOKUP(orders__17[[#This Row],[Product_ID]],products[#All],4,0)</f>
        <v>Laptop</v>
      </c>
      <c r="M272" s="1" t="str">
        <f>VLOOKUP(orders__17[[#This Row],[Order_ID]],returns[#All],2,0)</f>
        <v>No</v>
      </c>
    </row>
    <row r="273" spans="1:13" x14ac:dyDescent="0.3">
      <c r="A273" s="1" t="s">
        <v>517</v>
      </c>
      <c r="B273" s="2">
        <v>44872</v>
      </c>
      <c r="C273" s="1" t="s">
        <v>203</v>
      </c>
      <c r="D273" s="1" t="s">
        <v>249</v>
      </c>
      <c r="E273">
        <v>1</v>
      </c>
      <c r="F273" s="4">
        <v>1327.04</v>
      </c>
      <c r="G273" s="3">
        <v>0.3</v>
      </c>
      <c r="H273" s="4">
        <v>102.41</v>
      </c>
      <c r="I273" t="str">
        <f>VLOOKUP(orders__17[[#This Row],[Customer_ID]],customers__2[#All],3,0)</f>
        <v>West</v>
      </c>
      <c r="J273" t="str">
        <f>VLOOKUP(orders__17[[#This Row],[Customer_ID]],customers__2[#All],4,0)</f>
        <v>Corporate</v>
      </c>
      <c r="K273" t="str">
        <f>VLOOKUP(orders__17[[#This Row],[Product_ID]],products[#All],3,0)</f>
        <v>Office Supplies</v>
      </c>
      <c r="L273" s="1" t="str">
        <f>VLOOKUP(orders__17[[#This Row],[Product_ID]],products[#All],4,0)</f>
        <v>Paper</v>
      </c>
      <c r="M273" s="1" t="str">
        <f>VLOOKUP(orders__17[[#This Row],[Order_ID]],returns[#All],2,0)</f>
        <v>Yes</v>
      </c>
    </row>
    <row r="274" spans="1:13" x14ac:dyDescent="0.3">
      <c r="A274" s="1" t="s">
        <v>518</v>
      </c>
      <c r="B274" s="2">
        <v>44713</v>
      </c>
      <c r="C274" s="1" t="s">
        <v>150</v>
      </c>
      <c r="D274" s="1" t="s">
        <v>25</v>
      </c>
      <c r="E274">
        <v>1</v>
      </c>
      <c r="F274" s="4">
        <v>643.22</v>
      </c>
      <c r="G274" s="3">
        <v>0.1</v>
      </c>
      <c r="H274" s="4">
        <v>189.95</v>
      </c>
      <c r="I274" t="str">
        <f>VLOOKUP(orders__17[[#This Row],[Customer_ID]],customers__2[#All],3,0)</f>
        <v>West</v>
      </c>
      <c r="J274" t="str">
        <f>VLOOKUP(orders__17[[#This Row],[Customer_ID]],customers__2[#All],4,0)</f>
        <v>Consumer</v>
      </c>
      <c r="K274" t="str">
        <f>VLOOKUP(orders__17[[#This Row],[Product_ID]],products[#All],3,0)</f>
        <v>Office Supplies</v>
      </c>
      <c r="L274" s="1" t="str">
        <f>VLOOKUP(orders__17[[#This Row],[Product_ID]],products[#All],4,0)</f>
        <v>Paper</v>
      </c>
      <c r="M274" s="1" t="str">
        <f>VLOOKUP(orders__17[[#This Row],[Order_ID]],returns[#All],2,0)</f>
        <v>No</v>
      </c>
    </row>
    <row r="275" spans="1:13" x14ac:dyDescent="0.3">
      <c r="A275" s="1" t="s">
        <v>519</v>
      </c>
      <c r="B275" s="2">
        <v>45363</v>
      </c>
      <c r="C275" s="1" t="s">
        <v>520</v>
      </c>
      <c r="D275" s="1" t="s">
        <v>215</v>
      </c>
      <c r="E275">
        <v>4</v>
      </c>
      <c r="F275" s="4">
        <v>1650.3</v>
      </c>
      <c r="G275" s="3">
        <v>0.2</v>
      </c>
      <c r="H275" s="4">
        <v>239.96</v>
      </c>
      <c r="I275" t="str">
        <f>VLOOKUP(orders__17[[#This Row],[Customer_ID]],customers__2[#All],3,0)</f>
        <v>West</v>
      </c>
      <c r="J275" t="str">
        <f>VLOOKUP(orders__17[[#This Row],[Customer_ID]],customers__2[#All],4,0)</f>
        <v>Consumer</v>
      </c>
      <c r="K275" t="str">
        <f>VLOOKUP(orders__17[[#This Row],[Product_ID]],products[#All],3,0)</f>
        <v>Furniture</v>
      </c>
      <c r="L275" s="1" t="str">
        <f>VLOOKUP(orders__17[[#This Row],[Product_ID]],products[#All],4,0)</f>
        <v>Table</v>
      </c>
      <c r="M275" s="1" t="str">
        <f>VLOOKUP(orders__17[[#This Row],[Order_ID]],returns[#All],2,0)</f>
        <v>No</v>
      </c>
    </row>
    <row r="276" spans="1:13" x14ac:dyDescent="0.3">
      <c r="A276" s="1" t="s">
        <v>521</v>
      </c>
      <c r="B276" s="2">
        <v>45191</v>
      </c>
      <c r="C276" s="1" t="s">
        <v>350</v>
      </c>
      <c r="D276" s="1" t="s">
        <v>61</v>
      </c>
      <c r="E276">
        <v>3</v>
      </c>
      <c r="F276" s="4">
        <v>1736.6</v>
      </c>
      <c r="G276" s="3">
        <v>0.1</v>
      </c>
      <c r="H276" s="4">
        <v>423.4</v>
      </c>
      <c r="I276" t="str">
        <f>VLOOKUP(orders__17[[#This Row],[Customer_ID]],customers__2[#All],3,0)</f>
        <v>West</v>
      </c>
      <c r="J276" t="str">
        <f>VLOOKUP(orders__17[[#This Row],[Customer_ID]],customers__2[#All],4,0)</f>
        <v>Corporate</v>
      </c>
      <c r="K276" t="str">
        <f>VLOOKUP(orders__17[[#This Row],[Product_ID]],products[#All],3,0)</f>
        <v>Office Supplies</v>
      </c>
      <c r="L276" s="1" t="str">
        <f>VLOOKUP(orders__17[[#This Row],[Product_ID]],products[#All],4,0)</f>
        <v>Binder</v>
      </c>
      <c r="M276" s="1" t="str">
        <f>VLOOKUP(orders__17[[#This Row],[Order_ID]],returns[#All],2,0)</f>
        <v>No</v>
      </c>
    </row>
    <row r="277" spans="1:13" x14ac:dyDescent="0.3">
      <c r="A277" s="1" t="s">
        <v>522</v>
      </c>
      <c r="B277" s="2">
        <v>44699</v>
      </c>
      <c r="C277" s="1" t="s">
        <v>58</v>
      </c>
      <c r="D277" s="1" t="s">
        <v>141</v>
      </c>
      <c r="E277">
        <v>3</v>
      </c>
      <c r="F277" s="4">
        <v>1708.38</v>
      </c>
      <c r="G277" s="3">
        <v>0.3</v>
      </c>
      <c r="H277" s="4">
        <v>231.74</v>
      </c>
      <c r="I277" t="str">
        <f>VLOOKUP(orders__17[[#This Row],[Customer_ID]],customers__2[#All],3,0)</f>
        <v>West</v>
      </c>
      <c r="J277" t="str">
        <f>VLOOKUP(orders__17[[#This Row],[Customer_ID]],customers__2[#All],4,0)</f>
        <v>Corporate</v>
      </c>
      <c r="K277" t="str">
        <f>VLOOKUP(orders__17[[#This Row],[Product_ID]],products[#All],3,0)</f>
        <v>Technology</v>
      </c>
      <c r="L277" s="1" t="str">
        <f>VLOOKUP(orders__17[[#This Row],[Product_ID]],products[#All],4,0)</f>
        <v>Phone</v>
      </c>
      <c r="M277" s="1" t="str">
        <f>VLOOKUP(orders__17[[#This Row],[Order_ID]],returns[#All],2,0)</f>
        <v>No</v>
      </c>
    </row>
    <row r="278" spans="1:13" x14ac:dyDescent="0.3">
      <c r="A278" s="1" t="s">
        <v>523</v>
      </c>
      <c r="B278" s="2">
        <v>44642</v>
      </c>
      <c r="C278" s="1" t="s">
        <v>524</v>
      </c>
      <c r="D278" s="1" t="s">
        <v>269</v>
      </c>
      <c r="E278">
        <v>5</v>
      </c>
      <c r="F278" s="4">
        <v>1845.96</v>
      </c>
      <c r="G278" s="3">
        <v>0.2</v>
      </c>
      <c r="H278" s="4">
        <v>381.96</v>
      </c>
      <c r="I278" t="str">
        <f>VLOOKUP(orders__17[[#This Row],[Customer_ID]],customers__2[#All],3,0)</f>
        <v>East</v>
      </c>
      <c r="J278" t="str">
        <f>VLOOKUP(orders__17[[#This Row],[Customer_ID]],customers__2[#All],4,0)</f>
        <v>Corporate</v>
      </c>
      <c r="K278" t="str">
        <f>VLOOKUP(orders__17[[#This Row],[Product_ID]],products[#All],3,0)</f>
        <v>Office Supplies</v>
      </c>
      <c r="L278" s="1" t="str">
        <f>VLOOKUP(orders__17[[#This Row],[Product_ID]],products[#All],4,0)</f>
        <v>Pen</v>
      </c>
      <c r="M278" s="1" t="str">
        <f>VLOOKUP(orders__17[[#This Row],[Order_ID]],returns[#All],2,0)</f>
        <v>Yes</v>
      </c>
    </row>
    <row r="279" spans="1:13" x14ac:dyDescent="0.3">
      <c r="A279" s="1" t="s">
        <v>525</v>
      </c>
      <c r="B279" s="2">
        <v>44991</v>
      </c>
      <c r="C279" s="1" t="s">
        <v>526</v>
      </c>
      <c r="D279" s="1" t="s">
        <v>400</v>
      </c>
      <c r="E279">
        <v>3</v>
      </c>
      <c r="F279" s="4">
        <v>579.26</v>
      </c>
      <c r="G279" s="3">
        <v>0.1</v>
      </c>
      <c r="H279" s="4">
        <v>56.77</v>
      </c>
      <c r="I279" t="str">
        <f>VLOOKUP(orders__17[[#This Row],[Customer_ID]],customers__2[#All],3,0)</f>
        <v>West</v>
      </c>
      <c r="J279" t="str">
        <f>VLOOKUP(orders__17[[#This Row],[Customer_ID]],customers__2[#All],4,0)</f>
        <v>Corporate</v>
      </c>
      <c r="K279" t="str">
        <f>VLOOKUP(orders__17[[#This Row],[Product_ID]],products[#All],3,0)</f>
        <v>Office Supplies</v>
      </c>
      <c r="L279" s="1" t="str">
        <f>VLOOKUP(orders__17[[#This Row],[Product_ID]],products[#All],4,0)</f>
        <v>Paper</v>
      </c>
      <c r="M279" s="1" t="str">
        <f>VLOOKUP(orders__17[[#This Row],[Order_ID]],returns[#All],2,0)</f>
        <v>No</v>
      </c>
    </row>
    <row r="280" spans="1:13" x14ac:dyDescent="0.3">
      <c r="A280" s="1" t="s">
        <v>527</v>
      </c>
      <c r="B280" s="2">
        <v>44737</v>
      </c>
      <c r="C280" s="1" t="s">
        <v>194</v>
      </c>
      <c r="D280" s="1" t="s">
        <v>163</v>
      </c>
      <c r="E280">
        <v>3</v>
      </c>
      <c r="F280" s="4">
        <v>1534.58</v>
      </c>
      <c r="G280" s="3">
        <v>0.3</v>
      </c>
      <c r="H280" s="4">
        <v>132.75</v>
      </c>
      <c r="I280" t="str">
        <f>VLOOKUP(orders__17[[#This Row],[Customer_ID]],customers__2[#All],3,0)</f>
        <v>North</v>
      </c>
      <c r="J280" t="str">
        <f>VLOOKUP(orders__17[[#This Row],[Customer_ID]],customers__2[#All],4,0)</f>
        <v>Home Office</v>
      </c>
      <c r="K280" t="str">
        <f>VLOOKUP(orders__17[[#This Row],[Product_ID]],products[#All],3,0)</f>
        <v>Furniture</v>
      </c>
      <c r="L280" s="1" t="str">
        <f>VLOOKUP(orders__17[[#This Row],[Product_ID]],products[#All],4,0)</f>
        <v>Table</v>
      </c>
      <c r="M280" s="1" t="str">
        <f>VLOOKUP(orders__17[[#This Row],[Order_ID]],returns[#All],2,0)</f>
        <v>No</v>
      </c>
    </row>
    <row r="281" spans="1:13" x14ac:dyDescent="0.3">
      <c r="A281" s="1" t="s">
        <v>528</v>
      </c>
      <c r="B281" s="2">
        <v>45252</v>
      </c>
      <c r="C281" s="1" t="s">
        <v>529</v>
      </c>
      <c r="D281" s="1" t="s">
        <v>283</v>
      </c>
      <c r="E281">
        <v>3</v>
      </c>
      <c r="F281" s="4">
        <v>975.03</v>
      </c>
      <c r="G281" s="3">
        <v>0.3</v>
      </c>
      <c r="H281" s="4">
        <v>277.41000000000003</v>
      </c>
      <c r="I281" t="str">
        <f>VLOOKUP(orders__17[[#This Row],[Customer_ID]],customers__2[#All],3,0)</f>
        <v>South</v>
      </c>
      <c r="J281" t="str">
        <f>VLOOKUP(orders__17[[#This Row],[Customer_ID]],customers__2[#All],4,0)</f>
        <v>Corporate</v>
      </c>
      <c r="K281" t="str">
        <f>VLOOKUP(orders__17[[#This Row],[Product_ID]],products[#All],3,0)</f>
        <v>Furniture</v>
      </c>
      <c r="L281" s="1" t="str">
        <f>VLOOKUP(orders__17[[#This Row],[Product_ID]],products[#All],4,0)</f>
        <v>Chair</v>
      </c>
      <c r="M281" s="1" t="str">
        <f>VLOOKUP(orders__17[[#This Row],[Order_ID]],returns[#All],2,0)</f>
        <v>No</v>
      </c>
    </row>
    <row r="282" spans="1:13" x14ac:dyDescent="0.3">
      <c r="A282" s="1" t="s">
        <v>530</v>
      </c>
      <c r="B282" s="2">
        <v>45227</v>
      </c>
      <c r="C282" s="1" t="s">
        <v>447</v>
      </c>
      <c r="D282" s="1" t="s">
        <v>61</v>
      </c>
      <c r="E282">
        <v>2</v>
      </c>
      <c r="F282" s="4">
        <v>1699.8</v>
      </c>
      <c r="G282" s="3">
        <v>0.2</v>
      </c>
      <c r="H282" s="4">
        <v>474.94</v>
      </c>
      <c r="I282" t="str">
        <f>VLOOKUP(orders__17[[#This Row],[Customer_ID]],customers__2[#All],3,0)</f>
        <v>West</v>
      </c>
      <c r="J282" t="str">
        <f>VLOOKUP(orders__17[[#This Row],[Customer_ID]],customers__2[#All],4,0)</f>
        <v>Corporate</v>
      </c>
      <c r="K282" t="str">
        <f>VLOOKUP(orders__17[[#This Row],[Product_ID]],products[#All],3,0)</f>
        <v>Office Supplies</v>
      </c>
      <c r="L282" s="1" t="str">
        <f>VLOOKUP(orders__17[[#This Row],[Product_ID]],products[#All],4,0)</f>
        <v>Binder</v>
      </c>
      <c r="M282" s="1" t="str">
        <f>VLOOKUP(orders__17[[#This Row],[Order_ID]],returns[#All],2,0)</f>
        <v>No</v>
      </c>
    </row>
    <row r="283" spans="1:13" x14ac:dyDescent="0.3">
      <c r="A283" s="1" t="s">
        <v>531</v>
      </c>
      <c r="B283" s="2">
        <v>45370</v>
      </c>
      <c r="C283" s="1" t="s">
        <v>325</v>
      </c>
      <c r="D283" s="1" t="s">
        <v>51</v>
      </c>
      <c r="E283">
        <v>5</v>
      </c>
      <c r="F283" s="4">
        <v>1484.13</v>
      </c>
      <c r="G283" s="3">
        <v>0.3</v>
      </c>
      <c r="H283" s="4">
        <v>403.49</v>
      </c>
      <c r="I283" t="str">
        <f>VLOOKUP(orders__17[[#This Row],[Customer_ID]],customers__2[#All],3,0)</f>
        <v>North</v>
      </c>
      <c r="J283" t="str">
        <f>VLOOKUP(orders__17[[#This Row],[Customer_ID]],customers__2[#All],4,0)</f>
        <v>Corporate</v>
      </c>
      <c r="K283" t="str">
        <f>VLOOKUP(orders__17[[#This Row],[Product_ID]],products[#All],3,0)</f>
        <v>Office Supplies</v>
      </c>
      <c r="L283" s="1" t="str">
        <f>VLOOKUP(orders__17[[#This Row],[Product_ID]],products[#All],4,0)</f>
        <v>Pen</v>
      </c>
      <c r="M283" s="1" t="str">
        <f>VLOOKUP(orders__17[[#This Row],[Order_ID]],returns[#All],2,0)</f>
        <v>No</v>
      </c>
    </row>
    <row r="284" spans="1:13" x14ac:dyDescent="0.3">
      <c r="A284" s="1" t="s">
        <v>532</v>
      </c>
      <c r="B284" s="2">
        <v>45134</v>
      </c>
      <c r="C284" s="1" t="s">
        <v>533</v>
      </c>
      <c r="D284" s="1" t="s">
        <v>54</v>
      </c>
      <c r="E284">
        <v>1</v>
      </c>
      <c r="F284" s="4">
        <v>1575.25</v>
      </c>
      <c r="G284" s="3">
        <v>0</v>
      </c>
      <c r="H284" s="4">
        <v>325.07</v>
      </c>
      <c r="I284" t="str">
        <f>VLOOKUP(orders__17[[#This Row],[Customer_ID]],customers__2[#All],3,0)</f>
        <v>West</v>
      </c>
      <c r="J284" t="str">
        <f>VLOOKUP(orders__17[[#This Row],[Customer_ID]],customers__2[#All],4,0)</f>
        <v>Consumer</v>
      </c>
      <c r="K284" t="str">
        <f>VLOOKUP(orders__17[[#This Row],[Product_ID]],products[#All],3,0)</f>
        <v>Office Supplies</v>
      </c>
      <c r="L284" s="1" t="str">
        <f>VLOOKUP(orders__17[[#This Row],[Product_ID]],products[#All],4,0)</f>
        <v>Binder</v>
      </c>
      <c r="M284" s="1" t="str">
        <f>VLOOKUP(orders__17[[#This Row],[Order_ID]],returns[#All],2,0)</f>
        <v>Yes</v>
      </c>
    </row>
    <row r="285" spans="1:13" x14ac:dyDescent="0.3">
      <c r="A285" s="1" t="s">
        <v>534</v>
      </c>
      <c r="B285" s="2">
        <v>44856</v>
      </c>
      <c r="C285" s="1" t="s">
        <v>533</v>
      </c>
      <c r="D285" s="1" t="s">
        <v>127</v>
      </c>
      <c r="E285">
        <v>4</v>
      </c>
      <c r="F285" s="4">
        <v>1346.71</v>
      </c>
      <c r="G285" s="3">
        <v>0.1</v>
      </c>
      <c r="H285" s="4">
        <v>339.46</v>
      </c>
      <c r="I285" t="str">
        <f>VLOOKUP(orders__17[[#This Row],[Customer_ID]],customers__2[#All],3,0)</f>
        <v>West</v>
      </c>
      <c r="J285" t="str">
        <f>VLOOKUP(orders__17[[#This Row],[Customer_ID]],customers__2[#All],4,0)</f>
        <v>Consumer</v>
      </c>
      <c r="K285" t="str">
        <f>VLOOKUP(orders__17[[#This Row],[Product_ID]],products[#All],3,0)</f>
        <v>Furniture</v>
      </c>
      <c r="L285" s="1" t="str">
        <f>VLOOKUP(orders__17[[#This Row],[Product_ID]],products[#All],4,0)</f>
        <v>Chair</v>
      </c>
      <c r="M285" s="1" t="str">
        <f>VLOOKUP(orders__17[[#This Row],[Order_ID]],returns[#All],2,0)</f>
        <v>No</v>
      </c>
    </row>
    <row r="286" spans="1:13" x14ac:dyDescent="0.3">
      <c r="A286" s="1" t="s">
        <v>535</v>
      </c>
      <c r="B286" s="2">
        <v>44764</v>
      </c>
      <c r="C286" s="1" t="s">
        <v>347</v>
      </c>
      <c r="D286" s="1" t="s">
        <v>278</v>
      </c>
      <c r="E286">
        <v>1</v>
      </c>
      <c r="F286" s="4">
        <v>437.11</v>
      </c>
      <c r="G286" s="3">
        <v>0.1</v>
      </c>
      <c r="H286" s="4">
        <v>29.4</v>
      </c>
      <c r="I286" t="str">
        <f>VLOOKUP(orders__17[[#This Row],[Customer_ID]],customers__2[#All],3,0)</f>
        <v>South</v>
      </c>
      <c r="J286" t="str">
        <f>VLOOKUP(orders__17[[#This Row],[Customer_ID]],customers__2[#All],4,0)</f>
        <v>Home Office</v>
      </c>
      <c r="K286" t="str">
        <f>VLOOKUP(orders__17[[#This Row],[Product_ID]],products[#All],3,0)</f>
        <v>Office Supplies</v>
      </c>
      <c r="L286" s="1" t="str">
        <f>VLOOKUP(orders__17[[#This Row],[Product_ID]],products[#All],4,0)</f>
        <v>Pen</v>
      </c>
      <c r="M286" s="1" t="str">
        <f>VLOOKUP(orders__17[[#This Row],[Order_ID]],returns[#All],2,0)</f>
        <v>No</v>
      </c>
    </row>
    <row r="287" spans="1:13" x14ac:dyDescent="0.3">
      <c r="A287" s="1" t="s">
        <v>536</v>
      </c>
      <c r="B287" s="2">
        <v>45186</v>
      </c>
      <c r="C287" s="1" t="s">
        <v>537</v>
      </c>
      <c r="D287" s="1" t="s">
        <v>72</v>
      </c>
      <c r="E287">
        <v>5</v>
      </c>
      <c r="F287" s="4">
        <v>1135.55</v>
      </c>
      <c r="G287" s="3">
        <v>0.3</v>
      </c>
      <c r="H287" s="4">
        <v>151.82</v>
      </c>
      <c r="I287" t="str">
        <f>VLOOKUP(orders__17[[#This Row],[Customer_ID]],customers__2[#All],3,0)</f>
        <v>West</v>
      </c>
      <c r="J287" t="str">
        <f>VLOOKUP(orders__17[[#This Row],[Customer_ID]],customers__2[#All],4,0)</f>
        <v>Consumer</v>
      </c>
      <c r="K287" t="str">
        <f>VLOOKUP(orders__17[[#This Row],[Product_ID]],products[#All],3,0)</f>
        <v>Furniture</v>
      </c>
      <c r="L287" s="1" t="str">
        <f>VLOOKUP(orders__17[[#This Row],[Product_ID]],products[#All],4,0)</f>
        <v>Chair</v>
      </c>
      <c r="M287" s="1" t="str">
        <f>VLOOKUP(orders__17[[#This Row],[Order_ID]],returns[#All],2,0)</f>
        <v>Yes</v>
      </c>
    </row>
    <row r="288" spans="1:13" x14ac:dyDescent="0.3">
      <c r="A288" s="1" t="s">
        <v>538</v>
      </c>
      <c r="B288" s="2">
        <v>44632</v>
      </c>
      <c r="C288" s="1" t="s">
        <v>277</v>
      </c>
      <c r="D288" s="1" t="s">
        <v>201</v>
      </c>
      <c r="E288">
        <v>4</v>
      </c>
      <c r="F288" s="4">
        <v>1970.87</v>
      </c>
      <c r="G288" s="3">
        <v>0.3</v>
      </c>
      <c r="H288" s="4">
        <v>253.11</v>
      </c>
      <c r="I288" t="str">
        <f>VLOOKUP(orders__17[[#This Row],[Customer_ID]],customers__2[#All],3,0)</f>
        <v>North</v>
      </c>
      <c r="J288" t="str">
        <f>VLOOKUP(orders__17[[#This Row],[Customer_ID]],customers__2[#All],4,0)</f>
        <v>Corporate</v>
      </c>
      <c r="K288" t="str">
        <f>VLOOKUP(orders__17[[#This Row],[Product_ID]],products[#All],3,0)</f>
        <v>Office Supplies</v>
      </c>
      <c r="L288" s="1" t="str">
        <f>VLOOKUP(orders__17[[#This Row],[Product_ID]],products[#All],4,0)</f>
        <v>Paper</v>
      </c>
      <c r="M288" s="1" t="str">
        <f>VLOOKUP(orders__17[[#This Row],[Order_ID]],returns[#All],2,0)</f>
        <v>No</v>
      </c>
    </row>
    <row r="289" spans="1:13" x14ac:dyDescent="0.3">
      <c r="A289" s="1" t="s">
        <v>539</v>
      </c>
      <c r="B289" s="2">
        <v>45325</v>
      </c>
      <c r="C289" s="1" t="s">
        <v>63</v>
      </c>
      <c r="D289" s="1" t="s">
        <v>70</v>
      </c>
      <c r="E289">
        <v>5</v>
      </c>
      <c r="F289" s="4">
        <v>1881.04</v>
      </c>
      <c r="G289" s="3">
        <v>0</v>
      </c>
      <c r="H289" s="4">
        <v>392.97</v>
      </c>
      <c r="I289" t="str">
        <f>VLOOKUP(orders__17[[#This Row],[Customer_ID]],customers__2[#All],3,0)</f>
        <v>East</v>
      </c>
      <c r="J289" t="str">
        <f>VLOOKUP(orders__17[[#This Row],[Customer_ID]],customers__2[#All],4,0)</f>
        <v>Home Office</v>
      </c>
      <c r="K289" t="str">
        <f>VLOOKUP(orders__17[[#This Row],[Product_ID]],products[#All],3,0)</f>
        <v>Office Supplies</v>
      </c>
      <c r="L289" s="1" t="str">
        <f>VLOOKUP(orders__17[[#This Row],[Product_ID]],products[#All],4,0)</f>
        <v>Paper</v>
      </c>
      <c r="M289" s="1" t="str">
        <f>VLOOKUP(orders__17[[#This Row],[Order_ID]],returns[#All],2,0)</f>
        <v>No</v>
      </c>
    </row>
    <row r="290" spans="1:13" x14ac:dyDescent="0.3">
      <c r="A290" s="1" t="s">
        <v>540</v>
      </c>
      <c r="B290" s="2">
        <v>45185</v>
      </c>
      <c r="C290" s="1" t="s">
        <v>334</v>
      </c>
      <c r="D290" s="1" t="s">
        <v>275</v>
      </c>
      <c r="E290">
        <v>3</v>
      </c>
      <c r="F290" s="4">
        <v>182.03</v>
      </c>
      <c r="G290" s="3">
        <v>0.2</v>
      </c>
      <c r="H290" s="4">
        <v>25.3</v>
      </c>
      <c r="I290" t="str">
        <f>VLOOKUP(orders__17[[#This Row],[Customer_ID]],customers__2[#All],3,0)</f>
        <v>East</v>
      </c>
      <c r="J290" t="str">
        <f>VLOOKUP(orders__17[[#This Row],[Customer_ID]],customers__2[#All],4,0)</f>
        <v>Consumer</v>
      </c>
      <c r="K290" t="str">
        <f>VLOOKUP(orders__17[[#This Row],[Product_ID]],products[#All],3,0)</f>
        <v>Furniture</v>
      </c>
      <c r="L290" s="1" t="str">
        <f>VLOOKUP(orders__17[[#This Row],[Product_ID]],products[#All],4,0)</f>
        <v>Table</v>
      </c>
      <c r="M290" s="1" t="str">
        <f>VLOOKUP(orders__17[[#This Row],[Order_ID]],returns[#All],2,0)</f>
        <v>No</v>
      </c>
    </row>
    <row r="291" spans="1:13" x14ac:dyDescent="0.3">
      <c r="A291" s="1" t="s">
        <v>541</v>
      </c>
      <c r="B291" s="2">
        <v>45402</v>
      </c>
      <c r="C291" s="1" t="s">
        <v>542</v>
      </c>
      <c r="D291" s="1" t="s">
        <v>249</v>
      </c>
      <c r="E291">
        <v>4</v>
      </c>
      <c r="F291" s="4">
        <v>413.15</v>
      </c>
      <c r="G291" s="3">
        <v>0.3</v>
      </c>
      <c r="H291" s="4">
        <v>36</v>
      </c>
      <c r="I291" t="str">
        <f>VLOOKUP(orders__17[[#This Row],[Customer_ID]],customers__2[#All],3,0)</f>
        <v>West</v>
      </c>
      <c r="J291" t="str">
        <f>VLOOKUP(orders__17[[#This Row],[Customer_ID]],customers__2[#All],4,0)</f>
        <v>Home Office</v>
      </c>
      <c r="K291" t="str">
        <f>VLOOKUP(orders__17[[#This Row],[Product_ID]],products[#All],3,0)</f>
        <v>Office Supplies</v>
      </c>
      <c r="L291" s="1" t="str">
        <f>VLOOKUP(orders__17[[#This Row],[Product_ID]],products[#All],4,0)</f>
        <v>Paper</v>
      </c>
      <c r="M291" s="1" t="str">
        <f>VLOOKUP(orders__17[[#This Row],[Order_ID]],returns[#All],2,0)</f>
        <v>Yes</v>
      </c>
    </row>
    <row r="292" spans="1:13" x14ac:dyDescent="0.3">
      <c r="A292" s="1" t="s">
        <v>543</v>
      </c>
      <c r="B292" s="2">
        <v>44743</v>
      </c>
      <c r="C292" s="1" t="s">
        <v>330</v>
      </c>
      <c r="D292" s="1" t="s">
        <v>111</v>
      </c>
      <c r="E292">
        <v>3</v>
      </c>
      <c r="F292" s="4">
        <v>350.28</v>
      </c>
      <c r="G292" s="3">
        <v>0.3</v>
      </c>
      <c r="H292" s="4">
        <v>69.75</v>
      </c>
      <c r="I292" t="str">
        <f>VLOOKUP(orders__17[[#This Row],[Customer_ID]],customers__2[#All],3,0)</f>
        <v>South</v>
      </c>
      <c r="J292" t="str">
        <f>VLOOKUP(orders__17[[#This Row],[Customer_ID]],customers__2[#All],4,0)</f>
        <v>Consumer</v>
      </c>
      <c r="K292" t="str">
        <f>VLOOKUP(orders__17[[#This Row],[Product_ID]],products[#All],3,0)</f>
        <v>Technology</v>
      </c>
      <c r="L292" s="1" t="str">
        <f>VLOOKUP(orders__17[[#This Row],[Product_ID]],products[#All],4,0)</f>
        <v>Accessories</v>
      </c>
      <c r="M292" s="1" t="str">
        <f>VLOOKUP(orders__17[[#This Row],[Order_ID]],returns[#All],2,0)</f>
        <v>No</v>
      </c>
    </row>
    <row r="293" spans="1:13" x14ac:dyDescent="0.3">
      <c r="A293" s="1" t="s">
        <v>544</v>
      </c>
      <c r="B293" s="2">
        <v>45462</v>
      </c>
      <c r="C293" s="1" t="s">
        <v>121</v>
      </c>
      <c r="D293" s="1" t="s">
        <v>13</v>
      </c>
      <c r="E293">
        <v>1</v>
      </c>
      <c r="F293" s="4">
        <v>1479.36</v>
      </c>
      <c r="G293" s="3">
        <v>0.3</v>
      </c>
      <c r="H293" s="4">
        <v>375.16</v>
      </c>
      <c r="I293" t="str">
        <f>VLOOKUP(orders__17[[#This Row],[Customer_ID]],customers__2[#All],3,0)</f>
        <v>East</v>
      </c>
      <c r="J293" t="str">
        <f>VLOOKUP(orders__17[[#This Row],[Customer_ID]],customers__2[#All],4,0)</f>
        <v>Corporate</v>
      </c>
      <c r="K293" t="str">
        <f>VLOOKUP(orders__17[[#This Row],[Product_ID]],products[#All],3,0)</f>
        <v>Furniture</v>
      </c>
      <c r="L293" s="1" t="str">
        <f>VLOOKUP(orders__17[[#This Row],[Product_ID]],products[#All],4,0)</f>
        <v>Desk</v>
      </c>
      <c r="M293" s="1" t="str">
        <f>VLOOKUP(orders__17[[#This Row],[Order_ID]],returns[#All],2,0)</f>
        <v>No</v>
      </c>
    </row>
    <row r="294" spans="1:13" x14ac:dyDescent="0.3">
      <c r="A294" s="1" t="s">
        <v>545</v>
      </c>
      <c r="B294" s="2">
        <v>44696</v>
      </c>
      <c r="C294" s="1" t="s">
        <v>367</v>
      </c>
      <c r="D294" s="1" t="s">
        <v>141</v>
      </c>
      <c r="E294">
        <v>1</v>
      </c>
      <c r="F294" s="4">
        <v>1653.79</v>
      </c>
      <c r="G294" s="3">
        <v>0.3</v>
      </c>
      <c r="H294" s="4">
        <v>240.68</v>
      </c>
      <c r="I294" t="str">
        <f>VLOOKUP(orders__17[[#This Row],[Customer_ID]],customers__2[#All],3,0)</f>
        <v>South</v>
      </c>
      <c r="J294" t="str">
        <f>VLOOKUP(orders__17[[#This Row],[Customer_ID]],customers__2[#All],4,0)</f>
        <v>Home Office</v>
      </c>
      <c r="K294" t="str">
        <f>VLOOKUP(orders__17[[#This Row],[Product_ID]],products[#All],3,0)</f>
        <v>Technology</v>
      </c>
      <c r="L294" s="1" t="str">
        <f>VLOOKUP(orders__17[[#This Row],[Product_ID]],products[#All],4,0)</f>
        <v>Phone</v>
      </c>
      <c r="M294" s="1" t="str">
        <f>VLOOKUP(orders__17[[#This Row],[Order_ID]],returns[#All],2,0)</f>
        <v>No</v>
      </c>
    </row>
    <row r="295" spans="1:13" x14ac:dyDescent="0.3">
      <c r="A295" s="1" t="s">
        <v>546</v>
      </c>
      <c r="B295" s="2">
        <v>44592</v>
      </c>
      <c r="C295" s="1" t="s">
        <v>547</v>
      </c>
      <c r="D295" s="1" t="s">
        <v>97</v>
      </c>
      <c r="E295">
        <v>4</v>
      </c>
      <c r="F295" s="4">
        <v>505.67</v>
      </c>
      <c r="G295" s="3">
        <v>0.1</v>
      </c>
      <c r="H295" s="4">
        <v>42</v>
      </c>
      <c r="I295" t="str">
        <f>VLOOKUP(orders__17[[#This Row],[Customer_ID]],customers__2[#All],3,0)</f>
        <v>West</v>
      </c>
      <c r="J295" t="str">
        <f>VLOOKUP(orders__17[[#This Row],[Customer_ID]],customers__2[#All],4,0)</f>
        <v>Corporate</v>
      </c>
      <c r="K295" t="str">
        <f>VLOOKUP(orders__17[[#This Row],[Product_ID]],products[#All],3,0)</f>
        <v>Technology</v>
      </c>
      <c r="L295" s="1" t="str">
        <f>VLOOKUP(orders__17[[#This Row],[Product_ID]],products[#All],4,0)</f>
        <v>Tablet</v>
      </c>
      <c r="M295" s="1" t="str">
        <f>VLOOKUP(orders__17[[#This Row],[Order_ID]],returns[#All],2,0)</f>
        <v>Yes</v>
      </c>
    </row>
    <row r="296" spans="1:13" x14ac:dyDescent="0.3">
      <c r="A296" s="1" t="s">
        <v>548</v>
      </c>
      <c r="B296" s="2">
        <v>45118</v>
      </c>
      <c r="C296" s="1" t="s">
        <v>252</v>
      </c>
      <c r="D296" s="1" t="s">
        <v>143</v>
      </c>
      <c r="E296">
        <v>4</v>
      </c>
      <c r="F296" s="4">
        <v>1061.1199999999999</v>
      </c>
      <c r="G296" s="3">
        <v>0.3</v>
      </c>
      <c r="H296" s="4">
        <v>105.23</v>
      </c>
      <c r="I296" t="str">
        <f>VLOOKUP(orders__17[[#This Row],[Customer_ID]],customers__2[#All],3,0)</f>
        <v>North</v>
      </c>
      <c r="J296" t="str">
        <f>VLOOKUP(orders__17[[#This Row],[Customer_ID]],customers__2[#All],4,0)</f>
        <v>Home Office</v>
      </c>
      <c r="K296" t="str">
        <f>VLOOKUP(orders__17[[#This Row],[Product_ID]],products[#All],3,0)</f>
        <v>Furniture</v>
      </c>
      <c r="L296" s="1" t="str">
        <f>VLOOKUP(orders__17[[#This Row],[Product_ID]],products[#All],4,0)</f>
        <v>Shelf</v>
      </c>
      <c r="M296" s="1" t="str">
        <f>VLOOKUP(orders__17[[#This Row],[Order_ID]],returns[#All],2,0)</f>
        <v>No</v>
      </c>
    </row>
    <row r="297" spans="1:13" x14ac:dyDescent="0.3">
      <c r="A297" s="1" t="s">
        <v>549</v>
      </c>
      <c r="B297" s="2">
        <v>45187</v>
      </c>
      <c r="C297" s="1" t="s">
        <v>69</v>
      </c>
      <c r="D297" s="1" t="s">
        <v>177</v>
      </c>
      <c r="E297">
        <v>5</v>
      </c>
      <c r="F297" s="4">
        <v>1697.34</v>
      </c>
      <c r="G297" s="3">
        <v>0.1</v>
      </c>
      <c r="H297" s="4">
        <v>185.64</v>
      </c>
      <c r="I297" t="str">
        <f>VLOOKUP(orders__17[[#This Row],[Customer_ID]],customers__2[#All],3,0)</f>
        <v>West</v>
      </c>
      <c r="J297" t="str">
        <f>VLOOKUP(orders__17[[#This Row],[Customer_ID]],customers__2[#All],4,0)</f>
        <v>Corporate</v>
      </c>
      <c r="K297" t="str">
        <f>VLOOKUP(orders__17[[#This Row],[Product_ID]],products[#All],3,0)</f>
        <v>Furniture</v>
      </c>
      <c r="L297" s="1" t="str">
        <f>VLOOKUP(orders__17[[#This Row],[Product_ID]],products[#All],4,0)</f>
        <v>Table</v>
      </c>
      <c r="M297" s="1" t="str">
        <f>VLOOKUP(orders__17[[#This Row],[Order_ID]],returns[#All],2,0)</f>
        <v>No</v>
      </c>
    </row>
    <row r="298" spans="1:13" x14ac:dyDescent="0.3">
      <c r="A298" s="1" t="s">
        <v>550</v>
      </c>
      <c r="B298" s="2">
        <v>44565</v>
      </c>
      <c r="C298" s="1" t="s">
        <v>233</v>
      </c>
      <c r="D298" s="1" t="s">
        <v>45</v>
      </c>
      <c r="E298">
        <v>5</v>
      </c>
      <c r="F298" s="4">
        <v>1492.32</v>
      </c>
      <c r="G298" s="3">
        <v>0.3</v>
      </c>
      <c r="H298" s="4">
        <v>186.5</v>
      </c>
      <c r="I298" t="str">
        <f>VLOOKUP(orders__17[[#This Row],[Customer_ID]],customers__2[#All],3,0)</f>
        <v>South</v>
      </c>
      <c r="J298" t="str">
        <f>VLOOKUP(orders__17[[#This Row],[Customer_ID]],customers__2[#All],4,0)</f>
        <v>Home Office</v>
      </c>
      <c r="K298" t="str">
        <f>VLOOKUP(orders__17[[#This Row],[Product_ID]],products[#All],3,0)</f>
        <v>Office Supplies</v>
      </c>
      <c r="L298" s="1" t="str">
        <f>VLOOKUP(orders__17[[#This Row],[Product_ID]],products[#All],4,0)</f>
        <v>Pen</v>
      </c>
      <c r="M298" s="1" t="str">
        <f>VLOOKUP(orders__17[[#This Row],[Order_ID]],returns[#All],2,0)</f>
        <v>No</v>
      </c>
    </row>
    <row r="299" spans="1:13" x14ac:dyDescent="0.3">
      <c r="A299" s="1" t="s">
        <v>551</v>
      </c>
      <c r="B299" s="2">
        <v>45063</v>
      </c>
      <c r="C299" s="1" t="s">
        <v>330</v>
      </c>
      <c r="D299" s="1" t="s">
        <v>253</v>
      </c>
      <c r="E299">
        <v>3</v>
      </c>
      <c r="F299" s="4">
        <v>1130.25</v>
      </c>
      <c r="G299" s="3">
        <v>0.2</v>
      </c>
      <c r="H299" s="4">
        <v>238.14</v>
      </c>
      <c r="I299" t="str">
        <f>VLOOKUP(orders__17[[#This Row],[Customer_ID]],customers__2[#All],3,0)</f>
        <v>South</v>
      </c>
      <c r="J299" t="str">
        <f>VLOOKUP(orders__17[[#This Row],[Customer_ID]],customers__2[#All],4,0)</f>
        <v>Consumer</v>
      </c>
      <c r="K299" t="str">
        <f>VLOOKUP(orders__17[[#This Row],[Product_ID]],products[#All],3,0)</f>
        <v>Technology</v>
      </c>
      <c r="L299" s="1" t="str">
        <f>VLOOKUP(orders__17[[#This Row],[Product_ID]],products[#All],4,0)</f>
        <v>Accessories</v>
      </c>
      <c r="M299" s="1" t="str">
        <f>VLOOKUP(orders__17[[#This Row],[Order_ID]],returns[#All],2,0)</f>
        <v>No</v>
      </c>
    </row>
    <row r="300" spans="1:13" x14ac:dyDescent="0.3">
      <c r="A300" s="1" t="s">
        <v>552</v>
      </c>
      <c r="B300" s="2">
        <v>45420</v>
      </c>
      <c r="C300" s="1" t="s">
        <v>332</v>
      </c>
      <c r="D300" s="1" t="s">
        <v>215</v>
      </c>
      <c r="E300">
        <v>4</v>
      </c>
      <c r="F300" s="4">
        <v>1221.6600000000001</v>
      </c>
      <c r="G300" s="3">
        <v>0</v>
      </c>
      <c r="H300" s="4">
        <v>244.62</v>
      </c>
      <c r="I300" t="str">
        <f>VLOOKUP(orders__17[[#This Row],[Customer_ID]],customers__2[#All],3,0)</f>
        <v>North</v>
      </c>
      <c r="J300" t="str">
        <f>VLOOKUP(orders__17[[#This Row],[Customer_ID]],customers__2[#All],4,0)</f>
        <v>Home Office</v>
      </c>
      <c r="K300" t="str">
        <f>VLOOKUP(orders__17[[#This Row],[Product_ID]],products[#All],3,0)</f>
        <v>Furniture</v>
      </c>
      <c r="L300" s="1" t="str">
        <f>VLOOKUP(orders__17[[#This Row],[Product_ID]],products[#All],4,0)</f>
        <v>Table</v>
      </c>
      <c r="M300" s="1" t="str">
        <f>VLOOKUP(orders__17[[#This Row],[Order_ID]],returns[#All],2,0)</f>
        <v>Yes</v>
      </c>
    </row>
    <row r="301" spans="1:13" x14ac:dyDescent="0.3">
      <c r="A301" s="1" t="s">
        <v>553</v>
      </c>
      <c r="B301" s="2">
        <v>44861</v>
      </c>
      <c r="C301" s="1" t="s">
        <v>554</v>
      </c>
      <c r="D301" s="1" t="s">
        <v>34</v>
      </c>
      <c r="E301">
        <v>1</v>
      </c>
      <c r="F301" s="4">
        <v>1065.8900000000001</v>
      </c>
      <c r="G301" s="3">
        <v>0.2</v>
      </c>
      <c r="H301" s="4">
        <v>238.78</v>
      </c>
      <c r="I301" t="str">
        <f>VLOOKUP(orders__17[[#This Row],[Customer_ID]],customers__2[#All],3,0)</f>
        <v>East</v>
      </c>
      <c r="J301" t="str">
        <f>VLOOKUP(orders__17[[#This Row],[Customer_ID]],customers__2[#All],4,0)</f>
        <v>Consumer</v>
      </c>
      <c r="K301" t="str">
        <f>VLOOKUP(orders__17[[#This Row],[Product_ID]],products[#All],3,0)</f>
        <v>Furniture</v>
      </c>
      <c r="L301" s="1" t="str">
        <f>VLOOKUP(orders__17[[#This Row],[Product_ID]],products[#All],4,0)</f>
        <v>Table</v>
      </c>
      <c r="M301" s="1" t="str">
        <f>VLOOKUP(orders__17[[#This Row],[Order_ID]],returns[#All],2,0)</f>
        <v>Yes</v>
      </c>
    </row>
    <row r="302" spans="1:13" x14ac:dyDescent="0.3">
      <c r="A302" s="1" t="s">
        <v>555</v>
      </c>
      <c r="B302" s="2">
        <v>44796</v>
      </c>
      <c r="C302" s="1" t="s">
        <v>24</v>
      </c>
      <c r="D302" s="1" t="s">
        <v>25</v>
      </c>
      <c r="E302">
        <v>5</v>
      </c>
      <c r="F302" s="4">
        <v>665.34</v>
      </c>
      <c r="G302" s="3">
        <v>0.3</v>
      </c>
      <c r="H302" s="4">
        <v>93.56</v>
      </c>
      <c r="I302" t="str">
        <f>VLOOKUP(orders__17[[#This Row],[Customer_ID]],customers__2[#All],3,0)</f>
        <v>North</v>
      </c>
      <c r="J302" t="str">
        <f>VLOOKUP(orders__17[[#This Row],[Customer_ID]],customers__2[#All],4,0)</f>
        <v>Consumer</v>
      </c>
      <c r="K302" t="str">
        <f>VLOOKUP(orders__17[[#This Row],[Product_ID]],products[#All],3,0)</f>
        <v>Office Supplies</v>
      </c>
      <c r="L302" s="1" t="str">
        <f>VLOOKUP(orders__17[[#This Row],[Product_ID]],products[#All],4,0)</f>
        <v>Paper</v>
      </c>
      <c r="M302" s="1" t="str">
        <f>VLOOKUP(orders__17[[#This Row],[Order_ID]],returns[#All],2,0)</f>
        <v>No</v>
      </c>
    </row>
    <row r="303" spans="1:13" x14ac:dyDescent="0.3">
      <c r="A303" s="1" t="s">
        <v>556</v>
      </c>
      <c r="B303" s="2">
        <v>45245</v>
      </c>
      <c r="C303" s="1" t="s">
        <v>412</v>
      </c>
      <c r="D303" s="1" t="s">
        <v>97</v>
      </c>
      <c r="E303">
        <v>5</v>
      </c>
      <c r="F303" s="4">
        <v>1173.54</v>
      </c>
      <c r="G303" s="3">
        <v>0.3</v>
      </c>
      <c r="H303" s="4">
        <v>300.43</v>
      </c>
      <c r="I303" t="str">
        <f>VLOOKUP(orders__17[[#This Row],[Customer_ID]],customers__2[#All],3,0)</f>
        <v>North</v>
      </c>
      <c r="J303" t="str">
        <f>VLOOKUP(orders__17[[#This Row],[Customer_ID]],customers__2[#All],4,0)</f>
        <v>Consumer</v>
      </c>
      <c r="K303" t="str">
        <f>VLOOKUP(orders__17[[#This Row],[Product_ID]],products[#All],3,0)</f>
        <v>Technology</v>
      </c>
      <c r="L303" s="1" t="str">
        <f>VLOOKUP(orders__17[[#This Row],[Product_ID]],products[#All],4,0)</f>
        <v>Tablet</v>
      </c>
      <c r="M303" s="1" t="str">
        <f>VLOOKUP(orders__17[[#This Row],[Order_ID]],returns[#All],2,0)</f>
        <v>No</v>
      </c>
    </row>
    <row r="304" spans="1:13" x14ac:dyDescent="0.3">
      <c r="A304" s="1" t="s">
        <v>557</v>
      </c>
      <c r="B304" s="2">
        <v>45102</v>
      </c>
      <c r="C304" s="1" t="s">
        <v>238</v>
      </c>
      <c r="D304" s="1" t="s">
        <v>221</v>
      </c>
      <c r="E304">
        <v>1</v>
      </c>
      <c r="F304" s="4">
        <v>1408.88</v>
      </c>
      <c r="G304" s="3">
        <v>0.3</v>
      </c>
      <c r="H304" s="4">
        <v>142.33000000000001</v>
      </c>
      <c r="I304" t="str">
        <f>VLOOKUP(orders__17[[#This Row],[Customer_ID]],customers__2[#All],3,0)</f>
        <v>West</v>
      </c>
      <c r="J304" t="str">
        <f>VLOOKUP(orders__17[[#This Row],[Customer_ID]],customers__2[#All],4,0)</f>
        <v>Corporate</v>
      </c>
      <c r="K304" t="str">
        <f>VLOOKUP(orders__17[[#This Row],[Product_ID]],products[#All],3,0)</f>
        <v>Technology</v>
      </c>
      <c r="L304" s="1" t="str">
        <f>VLOOKUP(orders__17[[#This Row],[Product_ID]],products[#All],4,0)</f>
        <v>Laptop</v>
      </c>
      <c r="M304" s="1" t="str">
        <f>VLOOKUP(orders__17[[#This Row],[Order_ID]],returns[#All],2,0)</f>
        <v>No</v>
      </c>
    </row>
    <row r="305" spans="1:13" x14ac:dyDescent="0.3">
      <c r="A305" s="1" t="s">
        <v>558</v>
      </c>
      <c r="B305" s="2">
        <v>45006</v>
      </c>
      <c r="C305" s="1" t="s">
        <v>559</v>
      </c>
      <c r="D305" s="1" t="s">
        <v>239</v>
      </c>
      <c r="E305">
        <v>5</v>
      </c>
      <c r="F305" s="4">
        <v>1759.31</v>
      </c>
      <c r="G305" s="3">
        <v>0.2</v>
      </c>
      <c r="H305" s="4">
        <v>294.26</v>
      </c>
      <c r="I305" t="str">
        <f>VLOOKUP(orders__17[[#This Row],[Customer_ID]],customers__2[#All],3,0)</f>
        <v>South</v>
      </c>
      <c r="J305" t="str">
        <f>VLOOKUP(orders__17[[#This Row],[Customer_ID]],customers__2[#All],4,0)</f>
        <v>Consumer</v>
      </c>
      <c r="K305" t="str">
        <f>VLOOKUP(orders__17[[#This Row],[Product_ID]],products[#All],3,0)</f>
        <v>Furniture</v>
      </c>
      <c r="L305" s="1" t="str">
        <f>VLOOKUP(orders__17[[#This Row],[Product_ID]],products[#All],4,0)</f>
        <v>Shelf</v>
      </c>
      <c r="M305" s="1" t="str">
        <f>VLOOKUP(orders__17[[#This Row],[Order_ID]],returns[#All],2,0)</f>
        <v>No</v>
      </c>
    </row>
    <row r="306" spans="1:13" x14ac:dyDescent="0.3">
      <c r="A306" s="1" t="s">
        <v>560</v>
      </c>
      <c r="B306" s="2">
        <v>45250</v>
      </c>
      <c r="C306" s="1" t="s">
        <v>468</v>
      </c>
      <c r="D306" s="1" t="s">
        <v>455</v>
      </c>
      <c r="E306">
        <v>3</v>
      </c>
      <c r="F306" s="4">
        <v>1308.95</v>
      </c>
      <c r="G306" s="3">
        <v>0.3</v>
      </c>
      <c r="H306" s="4">
        <v>327.54000000000002</v>
      </c>
      <c r="I306" t="str">
        <f>VLOOKUP(orders__17[[#This Row],[Customer_ID]],customers__2[#All],3,0)</f>
        <v>South</v>
      </c>
      <c r="J306" t="str">
        <f>VLOOKUP(orders__17[[#This Row],[Customer_ID]],customers__2[#All],4,0)</f>
        <v>Consumer</v>
      </c>
      <c r="K306" t="str">
        <f>VLOOKUP(orders__17[[#This Row],[Product_ID]],products[#All],3,0)</f>
        <v>Furniture</v>
      </c>
      <c r="L306" s="1" t="str">
        <f>VLOOKUP(orders__17[[#This Row],[Product_ID]],products[#All],4,0)</f>
        <v>Shelf</v>
      </c>
      <c r="M306" s="1" t="str">
        <f>VLOOKUP(orders__17[[#This Row],[Order_ID]],returns[#All],2,0)</f>
        <v>No</v>
      </c>
    </row>
    <row r="307" spans="1:13" x14ac:dyDescent="0.3">
      <c r="A307" s="1" t="s">
        <v>561</v>
      </c>
      <c r="B307" s="2">
        <v>45141</v>
      </c>
      <c r="C307" s="1" t="s">
        <v>394</v>
      </c>
      <c r="D307" s="1" t="s">
        <v>451</v>
      </c>
      <c r="E307">
        <v>4</v>
      </c>
      <c r="F307" s="4">
        <v>1546.13</v>
      </c>
      <c r="G307" s="3">
        <v>0.2</v>
      </c>
      <c r="H307" s="4">
        <v>146.94</v>
      </c>
      <c r="I307" t="str">
        <f>VLOOKUP(orders__17[[#This Row],[Customer_ID]],customers__2[#All],3,0)</f>
        <v>West</v>
      </c>
      <c r="J307" t="str">
        <f>VLOOKUP(orders__17[[#This Row],[Customer_ID]],customers__2[#All],4,0)</f>
        <v>Home Office</v>
      </c>
      <c r="K307" t="str">
        <f>VLOOKUP(orders__17[[#This Row],[Product_ID]],products[#All],3,0)</f>
        <v>Technology</v>
      </c>
      <c r="L307" s="1" t="str">
        <f>VLOOKUP(orders__17[[#This Row],[Product_ID]],products[#All],4,0)</f>
        <v>Laptop</v>
      </c>
      <c r="M307" s="1" t="str">
        <f>VLOOKUP(orders__17[[#This Row],[Order_ID]],returns[#All],2,0)</f>
        <v>No</v>
      </c>
    </row>
    <row r="308" spans="1:13" x14ac:dyDescent="0.3">
      <c r="A308" s="1" t="s">
        <v>562</v>
      </c>
      <c r="B308" s="2">
        <v>45367</v>
      </c>
      <c r="C308" s="1" t="s">
        <v>417</v>
      </c>
      <c r="D308" s="1" t="s">
        <v>283</v>
      </c>
      <c r="E308">
        <v>1</v>
      </c>
      <c r="F308" s="4">
        <v>404.14</v>
      </c>
      <c r="G308" s="3">
        <v>0.1</v>
      </c>
      <c r="H308" s="4">
        <v>31.31</v>
      </c>
      <c r="I308" t="str">
        <f>VLOOKUP(orders__17[[#This Row],[Customer_ID]],customers__2[#All],3,0)</f>
        <v>East</v>
      </c>
      <c r="J308" t="str">
        <f>VLOOKUP(orders__17[[#This Row],[Customer_ID]],customers__2[#All],4,0)</f>
        <v>Consumer</v>
      </c>
      <c r="K308" t="str">
        <f>VLOOKUP(orders__17[[#This Row],[Product_ID]],products[#All],3,0)</f>
        <v>Furniture</v>
      </c>
      <c r="L308" s="1" t="str">
        <f>VLOOKUP(orders__17[[#This Row],[Product_ID]],products[#All],4,0)</f>
        <v>Chair</v>
      </c>
      <c r="M308" s="1" t="str">
        <f>VLOOKUP(orders__17[[#This Row],[Order_ID]],returns[#All],2,0)</f>
        <v>No</v>
      </c>
    </row>
    <row r="309" spans="1:13" x14ac:dyDescent="0.3">
      <c r="A309" s="1" t="s">
        <v>563</v>
      </c>
      <c r="B309" s="2">
        <v>44745</v>
      </c>
      <c r="C309" s="1" t="s">
        <v>537</v>
      </c>
      <c r="D309" s="1" t="s">
        <v>48</v>
      </c>
      <c r="E309">
        <v>4</v>
      </c>
      <c r="F309" s="4">
        <v>976.96</v>
      </c>
      <c r="G309" s="3">
        <v>0</v>
      </c>
      <c r="H309" s="4">
        <v>264.68</v>
      </c>
      <c r="I309" t="str">
        <f>VLOOKUP(orders__17[[#This Row],[Customer_ID]],customers__2[#All],3,0)</f>
        <v>West</v>
      </c>
      <c r="J309" t="str">
        <f>VLOOKUP(orders__17[[#This Row],[Customer_ID]],customers__2[#All],4,0)</f>
        <v>Consumer</v>
      </c>
      <c r="K309" t="str">
        <f>VLOOKUP(orders__17[[#This Row],[Product_ID]],products[#All],3,0)</f>
        <v>Office Supplies</v>
      </c>
      <c r="L309" s="1" t="str">
        <f>VLOOKUP(orders__17[[#This Row],[Product_ID]],products[#All],4,0)</f>
        <v>Pen</v>
      </c>
      <c r="M309" s="1" t="str">
        <f>VLOOKUP(orders__17[[#This Row],[Order_ID]],returns[#All],2,0)</f>
        <v>No</v>
      </c>
    </row>
    <row r="310" spans="1:13" x14ac:dyDescent="0.3">
      <c r="A310" s="1" t="s">
        <v>564</v>
      </c>
      <c r="B310" s="2">
        <v>44749</v>
      </c>
      <c r="C310" s="1" t="s">
        <v>542</v>
      </c>
      <c r="D310" s="1" t="s">
        <v>215</v>
      </c>
      <c r="E310">
        <v>5</v>
      </c>
      <c r="F310" s="4">
        <v>117.73</v>
      </c>
      <c r="G310" s="3">
        <v>0</v>
      </c>
      <c r="H310" s="4">
        <v>15.98</v>
      </c>
      <c r="I310" t="str">
        <f>VLOOKUP(orders__17[[#This Row],[Customer_ID]],customers__2[#All],3,0)</f>
        <v>West</v>
      </c>
      <c r="J310" t="str">
        <f>VLOOKUP(orders__17[[#This Row],[Customer_ID]],customers__2[#All],4,0)</f>
        <v>Home Office</v>
      </c>
      <c r="K310" t="str">
        <f>VLOOKUP(orders__17[[#This Row],[Product_ID]],products[#All],3,0)</f>
        <v>Furniture</v>
      </c>
      <c r="L310" s="1" t="str">
        <f>VLOOKUP(orders__17[[#This Row],[Product_ID]],products[#All],4,0)</f>
        <v>Table</v>
      </c>
      <c r="M310" s="1" t="str">
        <f>VLOOKUP(orders__17[[#This Row],[Order_ID]],returns[#All],2,0)</f>
        <v>No</v>
      </c>
    </row>
    <row r="311" spans="1:13" x14ac:dyDescent="0.3">
      <c r="A311" s="1" t="s">
        <v>565</v>
      </c>
      <c r="B311" s="2">
        <v>45454</v>
      </c>
      <c r="C311" s="1" t="s">
        <v>248</v>
      </c>
      <c r="D311" s="1" t="s">
        <v>116</v>
      </c>
      <c r="E311">
        <v>5</v>
      </c>
      <c r="F311" s="4">
        <v>568.69000000000005</v>
      </c>
      <c r="G311" s="3">
        <v>0.2</v>
      </c>
      <c r="H311" s="4">
        <v>125.66</v>
      </c>
      <c r="I311" t="str">
        <f>VLOOKUP(orders__17[[#This Row],[Customer_ID]],customers__2[#All],3,0)</f>
        <v>East</v>
      </c>
      <c r="J311" t="str">
        <f>VLOOKUP(orders__17[[#This Row],[Customer_ID]],customers__2[#All],4,0)</f>
        <v>Corporate</v>
      </c>
      <c r="K311" t="str">
        <f>VLOOKUP(orders__17[[#This Row],[Product_ID]],products[#All],3,0)</f>
        <v>Furniture</v>
      </c>
      <c r="L311" s="1" t="str">
        <f>VLOOKUP(orders__17[[#This Row],[Product_ID]],products[#All],4,0)</f>
        <v>Shelf</v>
      </c>
      <c r="M311" s="1" t="str">
        <f>VLOOKUP(orders__17[[#This Row],[Order_ID]],returns[#All],2,0)</f>
        <v>No</v>
      </c>
    </row>
    <row r="312" spans="1:13" x14ac:dyDescent="0.3">
      <c r="A312" s="1" t="s">
        <v>566</v>
      </c>
      <c r="B312" s="2">
        <v>45414</v>
      </c>
      <c r="C312" s="1" t="s">
        <v>473</v>
      </c>
      <c r="D312" s="1" t="s">
        <v>301</v>
      </c>
      <c r="E312">
        <v>1</v>
      </c>
      <c r="F312" s="4">
        <v>1480.28</v>
      </c>
      <c r="G312" s="3">
        <v>0.1</v>
      </c>
      <c r="H312" s="4">
        <v>83.39</v>
      </c>
      <c r="I312" t="str">
        <f>VLOOKUP(orders__17[[#This Row],[Customer_ID]],customers__2[#All],3,0)</f>
        <v>North</v>
      </c>
      <c r="J312" t="str">
        <f>VLOOKUP(orders__17[[#This Row],[Customer_ID]],customers__2[#All],4,0)</f>
        <v>Corporate</v>
      </c>
      <c r="K312" t="str">
        <f>VLOOKUP(orders__17[[#This Row],[Product_ID]],products[#All],3,0)</f>
        <v>Furniture</v>
      </c>
      <c r="L312" s="1" t="str">
        <f>VLOOKUP(orders__17[[#This Row],[Product_ID]],products[#All],4,0)</f>
        <v>Table</v>
      </c>
      <c r="M312" s="1" t="str">
        <f>VLOOKUP(orders__17[[#This Row],[Order_ID]],returns[#All],2,0)</f>
        <v>Yes</v>
      </c>
    </row>
    <row r="313" spans="1:13" x14ac:dyDescent="0.3">
      <c r="A313" s="1" t="s">
        <v>567</v>
      </c>
      <c r="B313" s="2">
        <v>45242</v>
      </c>
      <c r="C313" s="1" t="s">
        <v>510</v>
      </c>
      <c r="D313" s="1" t="s">
        <v>119</v>
      </c>
      <c r="E313">
        <v>3</v>
      </c>
      <c r="F313" s="4">
        <v>1984.44</v>
      </c>
      <c r="G313" s="3">
        <v>0.2</v>
      </c>
      <c r="H313" s="4">
        <v>441.56</v>
      </c>
      <c r="I313" t="str">
        <f>VLOOKUP(orders__17[[#This Row],[Customer_ID]],customers__2[#All],3,0)</f>
        <v>South</v>
      </c>
      <c r="J313" t="str">
        <f>VLOOKUP(orders__17[[#This Row],[Customer_ID]],customers__2[#All],4,0)</f>
        <v>Consumer</v>
      </c>
      <c r="K313" t="str">
        <f>VLOOKUP(orders__17[[#This Row],[Product_ID]],products[#All],3,0)</f>
        <v>Technology</v>
      </c>
      <c r="L313" s="1" t="str">
        <f>VLOOKUP(orders__17[[#This Row],[Product_ID]],products[#All],4,0)</f>
        <v>Tablet</v>
      </c>
      <c r="M313" s="1" t="str">
        <f>VLOOKUP(orders__17[[#This Row],[Order_ID]],returns[#All],2,0)</f>
        <v>No</v>
      </c>
    </row>
    <row r="314" spans="1:13" x14ac:dyDescent="0.3">
      <c r="A314" s="1" t="s">
        <v>568</v>
      </c>
      <c r="B314" s="2">
        <v>44800</v>
      </c>
      <c r="C314" s="1" t="s">
        <v>569</v>
      </c>
      <c r="D314" s="1" t="s">
        <v>75</v>
      </c>
      <c r="E314">
        <v>2</v>
      </c>
      <c r="F314" s="4">
        <v>288.44</v>
      </c>
      <c r="G314" s="3">
        <v>0.1</v>
      </c>
      <c r="H314" s="4">
        <v>37.22</v>
      </c>
      <c r="I314" t="str">
        <f>VLOOKUP(orders__17[[#This Row],[Customer_ID]],customers__2[#All],3,0)</f>
        <v>West</v>
      </c>
      <c r="J314" t="str">
        <f>VLOOKUP(orders__17[[#This Row],[Customer_ID]],customers__2[#All],4,0)</f>
        <v>Consumer</v>
      </c>
      <c r="K314" t="str">
        <f>VLOOKUP(orders__17[[#This Row],[Product_ID]],products[#All],3,0)</f>
        <v>Technology</v>
      </c>
      <c r="L314" s="1" t="str">
        <f>VLOOKUP(orders__17[[#This Row],[Product_ID]],products[#All],4,0)</f>
        <v>Tablet</v>
      </c>
      <c r="M314" s="1" t="str">
        <f>VLOOKUP(orders__17[[#This Row],[Order_ID]],returns[#All],2,0)</f>
        <v>No</v>
      </c>
    </row>
    <row r="315" spans="1:13" x14ac:dyDescent="0.3">
      <c r="A315" s="1" t="s">
        <v>570</v>
      </c>
      <c r="B315" s="2">
        <v>44983</v>
      </c>
      <c r="C315" s="1" t="s">
        <v>355</v>
      </c>
      <c r="D315" s="1" t="s">
        <v>34</v>
      </c>
      <c r="E315">
        <v>1</v>
      </c>
      <c r="F315" s="4">
        <v>862.84</v>
      </c>
      <c r="G315" s="3">
        <v>0.3</v>
      </c>
      <c r="H315" s="4">
        <v>55.17</v>
      </c>
      <c r="I315" t="str">
        <f>VLOOKUP(orders__17[[#This Row],[Customer_ID]],customers__2[#All],3,0)</f>
        <v>South</v>
      </c>
      <c r="J315" t="str">
        <f>VLOOKUP(orders__17[[#This Row],[Customer_ID]],customers__2[#All],4,0)</f>
        <v>Home Office</v>
      </c>
      <c r="K315" t="str">
        <f>VLOOKUP(orders__17[[#This Row],[Product_ID]],products[#All],3,0)</f>
        <v>Furniture</v>
      </c>
      <c r="L315" s="1" t="str">
        <f>VLOOKUP(orders__17[[#This Row],[Product_ID]],products[#All],4,0)</f>
        <v>Table</v>
      </c>
      <c r="M315" s="1" t="str">
        <f>VLOOKUP(orders__17[[#This Row],[Order_ID]],returns[#All],2,0)</f>
        <v>No</v>
      </c>
    </row>
    <row r="316" spans="1:13" x14ac:dyDescent="0.3">
      <c r="A316" s="1" t="s">
        <v>571</v>
      </c>
      <c r="B316" s="2">
        <v>45021</v>
      </c>
      <c r="C316" s="1" t="s">
        <v>292</v>
      </c>
      <c r="D316" s="1" t="s">
        <v>100</v>
      </c>
      <c r="E316">
        <v>2</v>
      </c>
      <c r="F316" s="4">
        <v>1620.13</v>
      </c>
      <c r="G316" s="3">
        <v>0.1</v>
      </c>
      <c r="H316" s="4">
        <v>328</v>
      </c>
      <c r="I316" t="str">
        <f>VLOOKUP(orders__17[[#This Row],[Customer_ID]],customers__2[#All],3,0)</f>
        <v>North</v>
      </c>
      <c r="J316" t="str">
        <f>VLOOKUP(orders__17[[#This Row],[Customer_ID]],customers__2[#All],4,0)</f>
        <v>Consumer</v>
      </c>
      <c r="K316" t="str">
        <f>VLOOKUP(orders__17[[#This Row],[Product_ID]],products[#All],3,0)</f>
        <v>Technology</v>
      </c>
      <c r="L316" s="1" t="str">
        <f>VLOOKUP(orders__17[[#This Row],[Product_ID]],products[#All],4,0)</f>
        <v>Laptop</v>
      </c>
      <c r="M316" s="1" t="str">
        <f>VLOOKUP(orders__17[[#This Row],[Order_ID]],returns[#All],2,0)</f>
        <v>No</v>
      </c>
    </row>
    <row r="317" spans="1:13" x14ac:dyDescent="0.3">
      <c r="A317" s="1" t="s">
        <v>572</v>
      </c>
      <c r="B317" s="2">
        <v>45055</v>
      </c>
      <c r="C317" s="1" t="s">
        <v>292</v>
      </c>
      <c r="D317" s="1" t="s">
        <v>263</v>
      </c>
      <c r="E317">
        <v>2</v>
      </c>
      <c r="F317" s="4">
        <v>487.67</v>
      </c>
      <c r="G317" s="3">
        <v>0.1</v>
      </c>
      <c r="H317" s="4">
        <v>53.74</v>
      </c>
      <c r="I317" t="str">
        <f>VLOOKUP(orders__17[[#This Row],[Customer_ID]],customers__2[#All],3,0)</f>
        <v>North</v>
      </c>
      <c r="J317" t="str">
        <f>VLOOKUP(orders__17[[#This Row],[Customer_ID]],customers__2[#All],4,0)</f>
        <v>Consumer</v>
      </c>
      <c r="K317" t="str">
        <f>VLOOKUP(orders__17[[#This Row],[Product_ID]],products[#All],3,0)</f>
        <v>Office Supplies</v>
      </c>
      <c r="L317" s="1" t="str">
        <f>VLOOKUP(orders__17[[#This Row],[Product_ID]],products[#All],4,0)</f>
        <v>Storage</v>
      </c>
      <c r="M317" s="1" t="str">
        <f>VLOOKUP(orders__17[[#This Row],[Order_ID]],returns[#All],2,0)</f>
        <v>No</v>
      </c>
    </row>
    <row r="318" spans="1:13" x14ac:dyDescent="0.3">
      <c r="A318" s="1" t="s">
        <v>573</v>
      </c>
      <c r="B318" s="2">
        <v>44962</v>
      </c>
      <c r="C318" s="1" t="s">
        <v>334</v>
      </c>
      <c r="D318" s="1" t="s">
        <v>40</v>
      </c>
      <c r="E318">
        <v>3</v>
      </c>
      <c r="F318" s="4">
        <v>1154.6600000000001</v>
      </c>
      <c r="G318" s="3">
        <v>0.1</v>
      </c>
      <c r="H318" s="4">
        <v>169.39</v>
      </c>
      <c r="I318" t="str">
        <f>VLOOKUP(orders__17[[#This Row],[Customer_ID]],customers__2[#All],3,0)</f>
        <v>East</v>
      </c>
      <c r="J318" t="str">
        <f>VLOOKUP(orders__17[[#This Row],[Customer_ID]],customers__2[#All],4,0)</f>
        <v>Consumer</v>
      </c>
      <c r="K318" t="str">
        <f>VLOOKUP(orders__17[[#This Row],[Product_ID]],products[#All],3,0)</f>
        <v>Office Supplies</v>
      </c>
      <c r="L318" s="1" t="str">
        <f>VLOOKUP(orders__17[[#This Row],[Product_ID]],products[#All],4,0)</f>
        <v>Storage</v>
      </c>
      <c r="M318" s="1" t="str">
        <f>VLOOKUP(orders__17[[#This Row],[Order_ID]],returns[#All],2,0)</f>
        <v>No</v>
      </c>
    </row>
    <row r="319" spans="1:13" x14ac:dyDescent="0.3">
      <c r="A319" s="1" t="s">
        <v>574</v>
      </c>
      <c r="B319" s="2">
        <v>45365</v>
      </c>
      <c r="C319" s="1" t="s">
        <v>233</v>
      </c>
      <c r="D319" s="1" t="s">
        <v>119</v>
      </c>
      <c r="E319">
        <v>2</v>
      </c>
      <c r="F319" s="4">
        <v>1492.84</v>
      </c>
      <c r="G319" s="3">
        <v>0</v>
      </c>
      <c r="H319" s="4">
        <v>104.72</v>
      </c>
      <c r="I319" t="str">
        <f>VLOOKUP(orders__17[[#This Row],[Customer_ID]],customers__2[#All],3,0)</f>
        <v>South</v>
      </c>
      <c r="J319" t="str">
        <f>VLOOKUP(orders__17[[#This Row],[Customer_ID]],customers__2[#All],4,0)</f>
        <v>Home Office</v>
      </c>
      <c r="K319" t="str">
        <f>VLOOKUP(orders__17[[#This Row],[Product_ID]],products[#All],3,0)</f>
        <v>Technology</v>
      </c>
      <c r="L319" s="1" t="str">
        <f>VLOOKUP(orders__17[[#This Row],[Product_ID]],products[#All],4,0)</f>
        <v>Tablet</v>
      </c>
      <c r="M319" s="1" t="str">
        <f>VLOOKUP(orders__17[[#This Row],[Order_ID]],returns[#All],2,0)</f>
        <v>No</v>
      </c>
    </row>
    <row r="320" spans="1:13" x14ac:dyDescent="0.3">
      <c r="A320" s="1" t="s">
        <v>575</v>
      </c>
      <c r="B320" s="2">
        <v>45160</v>
      </c>
      <c r="C320" s="1" t="s">
        <v>576</v>
      </c>
      <c r="D320" s="1" t="s">
        <v>269</v>
      </c>
      <c r="E320">
        <v>2</v>
      </c>
      <c r="F320" s="4">
        <v>1270.3699999999999</v>
      </c>
      <c r="G320" s="3">
        <v>0.1</v>
      </c>
      <c r="H320" s="4">
        <v>110.26</v>
      </c>
      <c r="I320" t="str">
        <f>VLOOKUP(orders__17[[#This Row],[Customer_ID]],customers__2[#All],3,0)</f>
        <v>West</v>
      </c>
      <c r="J320" t="str">
        <f>VLOOKUP(orders__17[[#This Row],[Customer_ID]],customers__2[#All],4,0)</f>
        <v>Corporate</v>
      </c>
      <c r="K320" t="str">
        <f>VLOOKUP(orders__17[[#This Row],[Product_ID]],products[#All],3,0)</f>
        <v>Office Supplies</v>
      </c>
      <c r="L320" s="1" t="str">
        <f>VLOOKUP(orders__17[[#This Row],[Product_ID]],products[#All],4,0)</f>
        <v>Pen</v>
      </c>
      <c r="M320" s="1" t="str">
        <f>VLOOKUP(orders__17[[#This Row],[Order_ID]],returns[#All],2,0)</f>
        <v>No</v>
      </c>
    </row>
    <row r="321" spans="1:13" x14ac:dyDescent="0.3">
      <c r="A321" s="1" t="s">
        <v>577</v>
      </c>
      <c r="B321" s="2">
        <v>44638</v>
      </c>
      <c r="C321" s="1" t="s">
        <v>388</v>
      </c>
      <c r="D321" s="1" t="s">
        <v>209</v>
      </c>
      <c r="E321">
        <v>3</v>
      </c>
      <c r="F321" s="4">
        <v>457.25</v>
      </c>
      <c r="G321" s="3">
        <v>0.3</v>
      </c>
      <c r="H321" s="4">
        <v>56.93</v>
      </c>
      <c r="I321" t="str">
        <f>VLOOKUP(orders__17[[#This Row],[Customer_ID]],customers__2[#All],3,0)</f>
        <v>East</v>
      </c>
      <c r="J321" t="str">
        <f>VLOOKUP(orders__17[[#This Row],[Customer_ID]],customers__2[#All],4,0)</f>
        <v>Home Office</v>
      </c>
      <c r="K321" t="str">
        <f>VLOOKUP(orders__17[[#This Row],[Product_ID]],products[#All],3,0)</f>
        <v>Office Supplies</v>
      </c>
      <c r="L321" s="1" t="str">
        <f>VLOOKUP(orders__17[[#This Row],[Product_ID]],products[#All],4,0)</f>
        <v>Paper</v>
      </c>
      <c r="M321" s="1" t="str">
        <f>VLOOKUP(orders__17[[#This Row],[Order_ID]],returns[#All],2,0)</f>
        <v>Yes</v>
      </c>
    </row>
    <row r="322" spans="1:13" x14ac:dyDescent="0.3">
      <c r="A322" s="1" t="s">
        <v>578</v>
      </c>
      <c r="B322" s="2">
        <v>45161</v>
      </c>
      <c r="C322" s="1" t="s">
        <v>579</v>
      </c>
      <c r="D322" s="1" t="s">
        <v>163</v>
      </c>
      <c r="E322">
        <v>2</v>
      </c>
      <c r="F322" s="4">
        <v>775.23</v>
      </c>
      <c r="G322" s="3">
        <v>0.3</v>
      </c>
      <c r="H322" s="4">
        <v>56.16</v>
      </c>
      <c r="I322" t="str">
        <f>VLOOKUP(orders__17[[#This Row],[Customer_ID]],customers__2[#All],3,0)</f>
        <v>West</v>
      </c>
      <c r="J322" t="str">
        <f>VLOOKUP(orders__17[[#This Row],[Customer_ID]],customers__2[#All],4,0)</f>
        <v>Corporate</v>
      </c>
      <c r="K322" t="str">
        <f>VLOOKUP(orders__17[[#This Row],[Product_ID]],products[#All],3,0)</f>
        <v>Furniture</v>
      </c>
      <c r="L322" s="1" t="str">
        <f>VLOOKUP(orders__17[[#This Row],[Product_ID]],products[#All],4,0)</f>
        <v>Table</v>
      </c>
      <c r="M322" s="1" t="str">
        <f>VLOOKUP(orders__17[[#This Row],[Order_ID]],returns[#All],2,0)</f>
        <v>No</v>
      </c>
    </row>
    <row r="323" spans="1:13" x14ac:dyDescent="0.3">
      <c r="A323" s="1" t="s">
        <v>580</v>
      </c>
      <c r="B323" s="2">
        <v>44885</v>
      </c>
      <c r="C323" s="1" t="s">
        <v>99</v>
      </c>
      <c r="D323" s="1" t="s">
        <v>45</v>
      </c>
      <c r="E323">
        <v>2</v>
      </c>
      <c r="F323" s="4">
        <v>1589.2</v>
      </c>
      <c r="G323" s="3">
        <v>0.3</v>
      </c>
      <c r="H323" s="4">
        <v>441.33</v>
      </c>
      <c r="I323" t="str">
        <f>VLOOKUP(orders__17[[#This Row],[Customer_ID]],customers__2[#All],3,0)</f>
        <v>East</v>
      </c>
      <c r="J323" t="str">
        <f>VLOOKUP(orders__17[[#This Row],[Customer_ID]],customers__2[#All],4,0)</f>
        <v>Corporate</v>
      </c>
      <c r="K323" t="str">
        <f>VLOOKUP(orders__17[[#This Row],[Product_ID]],products[#All],3,0)</f>
        <v>Office Supplies</v>
      </c>
      <c r="L323" s="1" t="str">
        <f>VLOOKUP(orders__17[[#This Row],[Product_ID]],products[#All],4,0)</f>
        <v>Pen</v>
      </c>
      <c r="M323" s="1" t="str">
        <f>VLOOKUP(orders__17[[#This Row],[Order_ID]],returns[#All],2,0)</f>
        <v>No</v>
      </c>
    </row>
    <row r="324" spans="1:13" x14ac:dyDescent="0.3">
      <c r="A324" s="1" t="s">
        <v>581</v>
      </c>
      <c r="B324" s="2">
        <v>45444</v>
      </c>
      <c r="C324" s="1" t="s">
        <v>184</v>
      </c>
      <c r="D324" s="1" t="s">
        <v>392</v>
      </c>
      <c r="E324">
        <v>2</v>
      </c>
      <c r="F324" s="4">
        <v>1153.03</v>
      </c>
      <c r="G324" s="3">
        <v>0.1</v>
      </c>
      <c r="H324" s="4">
        <v>59.39</v>
      </c>
      <c r="I324" t="str">
        <f>VLOOKUP(orders__17[[#This Row],[Customer_ID]],customers__2[#All],3,0)</f>
        <v>East</v>
      </c>
      <c r="J324" t="str">
        <f>VLOOKUP(orders__17[[#This Row],[Customer_ID]],customers__2[#All],4,0)</f>
        <v>Consumer</v>
      </c>
      <c r="K324" t="str">
        <f>VLOOKUP(orders__17[[#This Row],[Product_ID]],products[#All],3,0)</f>
        <v>Furniture</v>
      </c>
      <c r="L324" s="1" t="str">
        <f>VLOOKUP(orders__17[[#This Row],[Product_ID]],products[#All],4,0)</f>
        <v>Desk</v>
      </c>
      <c r="M324" s="1" t="str">
        <f>VLOOKUP(orders__17[[#This Row],[Order_ID]],returns[#All],2,0)</f>
        <v>No</v>
      </c>
    </row>
    <row r="325" spans="1:13" x14ac:dyDescent="0.3">
      <c r="A325" s="1" t="s">
        <v>582</v>
      </c>
      <c r="B325" s="2">
        <v>45181</v>
      </c>
      <c r="C325" s="1" t="s">
        <v>160</v>
      </c>
      <c r="D325" s="1" t="s">
        <v>253</v>
      </c>
      <c r="E325">
        <v>1</v>
      </c>
      <c r="F325" s="4">
        <v>109.94</v>
      </c>
      <c r="G325" s="3">
        <v>0.2</v>
      </c>
      <c r="H325" s="4">
        <v>18.8</v>
      </c>
      <c r="I325" t="str">
        <f>VLOOKUP(orders__17[[#This Row],[Customer_ID]],customers__2[#All],3,0)</f>
        <v>East</v>
      </c>
      <c r="J325" t="str">
        <f>VLOOKUP(orders__17[[#This Row],[Customer_ID]],customers__2[#All],4,0)</f>
        <v>Corporate</v>
      </c>
      <c r="K325" t="str">
        <f>VLOOKUP(orders__17[[#This Row],[Product_ID]],products[#All],3,0)</f>
        <v>Technology</v>
      </c>
      <c r="L325" s="1" t="str">
        <f>VLOOKUP(orders__17[[#This Row],[Product_ID]],products[#All],4,0)</f>
        <v>Accessories</v>
      </c>
      <c r="M325" s="1" t="str">
        <f>VLOOKUP(orders__17[[#This Row],[Order_ID]],returns[#All],2,0)</f>
        <v>Yes</v>
      </c>
    </row>
    <row r="326" spans="1:13" x14ac:dyDescent="0.3">
      <c r="A326" s="1" t="s">
        <v>583</v>
      </c>
      <c r="B326" s="2">
        <v>45406</v>
      </c>
      <c r="C326" s="1" t="s">
        <v>347</v>
      </c>
      <c r="D326" s="1" t="s">
        <v>323</v>
      </c>
      <c r="E326">
        <v>1</v>
      </c>
      <c r="F326" s="4">
        <v>1545.88</v>
      </c>
      <c r="G326" s="3">
        <v>0.2</v>
      </c>
      <c r="H326" s="4">
        <v>124.93</v>
      </c>
      <c r="I326" t="str">
        <f>VLOOKUP(orders__17[[#This Row],[Customer_ID]],customers__2[#All],3,0)</f>
        <v>South</v>
      </c>
      <c r="J326" t="str">
        <f>VLOOKUP(orders__17[[#This Row],[Customer_ID]],customers__2[#All],4,0)</f>
        <v>Home Office</v>
      </c>
      <c r="K326" t="str">
        <f>VLOOKUP(orders__17[[#This Row],[Product_ID]],products[#All],3,0)</f>
        <v>Technology</v>
      </c>
      <c r="L326" s="1" t="str">
        <f>VLOOKUP(orders__17[[#This Row],[Product_ID]],products[#All],4,0)</f>
        <v>Tablet</v>
      </c>
      <c r="M326" s="1" t="str">
        <f>VLOOKUP(orders__17[[#This Row],[Order_ID]],returns[#All],2,0)</f>
        <v>Yes</v>
      </c>
    </row>
    <row r="327" spans="1:13" x14ac:dyDescent="0.3">
      <c r="A327" s="1" t="s">
        <v>584</v>
      </c>
      <c r="B327" s="2">
        <v>44667</v>
      </c>
      <c r="C327" s="1" t="s">
        <v>160</v>
      </c>
      <c r="D327" s="1" t="s">
        <v>585</v>
      </c>
      <c r="E327">
        <v>1</v>
      </c>
      <c r="F327" s="4">
        <v>167.09</v>
      </c>
      <c r="G327" s="3">
        <v>0.3</v>
      </c>
      <c r="H327" s="4">
        <v>21.21</v>
      </c>
      <c r="I327" t="str">
        <f>VLOOKUP(orders__17[[#This Row],[Customer_ID]],customers__2[#All],3,0)</f>
        <v>East</v>
      </c>
      <c r="J327" t="str">
        <f>VLOOKUP(orders__17[[#This Row],[Customer_ID]],customers__2[#All],4,0)</f>
        <v>Corporate</v>
      </c>
      <c r="K327" t="str">
        <f>VLOOKUP(orders__17[[#This Row],[Product_ID]],products[#All],3,0)</f>
        <v>Office Supplies</v>
      </c>
      <c r="L327" s="1" t="str">
        <f>VLOOKUP(orders__17[[#This Row],[Product_ID]],products[#All],4,0)</f>
        <v>Storage</v>
      </c>
      <c r="M327" s="1" t="str">
        <f>VLOOKUP(orders__17[[#This Row],[Order_ID]],returns[#All],2,0)</f>
        <v>No</v>
      </c>
    </row>
    <row r="328" spans="1:13" x14ac:dyDescent="0.3">
      <c r="A328" s="1" t="s">
        <v>586</v>
      </c>
      <c r="B328" s="2">
        <v>45450</v>
      </c>
      <c r="C328" s="1" t="s">
        <v>220</v>
      </c>
      <c r="D328" s="1" t="s">
        <v>451</v>
      </c>
      <c r="E328">
        <v>3</v>
      </c>
      <c r="F328" s="4">
        <v>1516.89</v>
      </c>
      <c r="G328" s="3">
        <v>0</v>
      </c>
      <c r="H328" s="4">
        <v>427.03</v>
      </c>
      <c r="I328" t="str">
        <f>VLOOKUP(orders__17[[#This Row],[Customer_ID]],customers__2[#All],3,0)</f>
        <v>West</v>
      </c>
      <c r="J328" t="str">
        <f>VLOOKUP(orders__17[[#This Row],[Customer_ID]],customers__2[#All],4,0)</f>
        <v>Corporate</v>
      </c>
      <c r="K328" t="str">
        <f>VLOOKUP(orders__17[[#This Row],[Product_ID]],products[#All],3,0)</f>
        <v>Technology</v>
      </c>
      <c r="L328" s="1" t="str">
        <f>VLOOKUP(orders__17[[#This Row],[Product_ID]],products[#All],4,0)</f>
        <v>Laptop</v>
      </c>
      <c r="M328" s="1" t="str">
        <f>VLOOKUP(orders__17[[#This Row],[Order_ID]],returns[#All],2,0)</f>
        <v>No</v>
      </c>
    </row>
    <row r="329" spans="1:13" x14ac:dyDescent="0.3">
      <c r="A329" s="1" t="s">
        <v>587</v>
      </c>
      <c r="B329" s="2">
        <v>44970</v>
      </c>
      <c r="C329" s="1" t="s">
        <v>588</v>
      </c>
      <c r="D329" s="1" t="s">
        <v>275</v>
      </c>
      <c r="E329">
        <v>5</v>
      </c>
      <c r="F329" s="4">
        <v>484.71</v>
      </c>
      <c r="G329" s="3">
        <v>0.2</v>
      </c>
      <c r="H329" s="4">
        <v>43.83</v>
      </c>
      <c r="I329" t="str">
        <f>VLOOKUP(orders__17[[#This Row],[Customer_ID]],customers__2[#All],3,0)</f>
        <v>South</v>
      </c>
      <c r="J329" t="str">
        <f>VLOOKUP(orders__17[[#This Row],[Customer_ID]],customers__2[#All],4,0)</f>
        <v>Home Office</v>
      </c>
      <c r="K329" t="str">
        <f>VLOOKUP(orders__17[[#This Row],[Product_ID]],products[#All],3,0)</f>
        <v>Furniture</v>
      </c>
      <c r="L329" s="1" t="str">
        <f>VLOOKUP(orders__17[[#This Row],[Product_ID]],products[#All],4,0)</f>
        <v>Table</v>
      </c>
      <c r="M329" s="1" t="str">
        <f>VLOOKUP(orders__17[[#This Row],[Order_ID]],returns[#All],2,0)</f>
        <v>Yes</v>
      </c>
    </row>
    <row r="330" spans="1:13" x14ac:dyDescent="0.3">
      <c r="A330" s="1" t="s">
        <v>589</v>
      </c>
      <c r="B330" s="2">
        <v>44703</v>
      </c>
      <c r="C330" s="1" t="s">
        <v>136</v>
      </c>
      <c r="D330" s="1" t="s">
        <v>143</v>
      </c>
      <c r="E330">
        <v>2</v>
      </c>
      <c r="F330" s="4">
        <v>1920.34</v>
      </c>
      <c r="G330" s="3">
        <v>0.1</v>
      </c>
      <c r="H330" s="4">
        <v>559.70000000000005</v>
      </c>
      <c r="I330" t="str">
        <f>VLOOKUP(orders__17[[#This Row],[Customer_ID]],customers__2[#All],3,0)</f>
        <v>West</v>
      </c>
      <c r="J330" t="str">
        <f>VLOOKUP(orders__17[[#This Row],[Customer_ID]],customers__2[#All],4,0)</f>
        <v>Consumer</v>
      </c>
      <c r="K330" t="str">
        <f>VLOOKUP(orders__17[[#This Row],[Product_ID]],products[#All],3,0)</f>
        <v>Furniture</v>
      </c>
      <c r="L330" s="1" t="str">
        <f>VLOOKUP(orders__17[[#This Row],[Product_ID]],products[#All],4,0)</f>
        <v>Shelf</v>
      </c>
      <c r="M330" s="1" t="str">
        <f>VLOOKUP(orders__17[[#This Row],[Order_ID]],returns[#All],2,0)</f>
        <v>No</v>
      </c>
    </row>
    <row r="331" spans="1:13" x14ac:dyDescent="0.3">
      <c r="A331" s="1" t="s">
        <v>590</v>
      </c>
      <c r="B331" s="2">
        <v>44873</v>
      </c>
      <c r="C331" s="1" t="s">
        <v>300</v>
      </c>
      <c r="D331" s="1" t="s">
        <v>156</v>
      </c>
      <c r="E331">
        <v>2</v>
      </c>
      <c r="F331" s="4">
        <v>799.09</v>
      </c>
      <c r="G331" s="3">
        <v>0.2</v>
      </c>
      <c r="H331" s="4">
        <v>81.069999999999993</v>
      </c>
      <c r="I331" t="str">
        <f>VLOOKUP(orders__17[[#This Row],[Customer_ID]],customers__2[#All],3,0)</f>
        <v>East</v>
      </c>
      <c r="J331" t="str">
        <f>VLOOKUP(orders__17[[#This Row],[Customer_ID]],customers__2[#All],4,0)</f>
        <v>Home Office</v>
      </c>
      <c r="K331" t="str">
        <f>VLOOKUP(orders__17[[#This Row],[Product_ID]],products[#All],3,0)</f>
        <v>Furniture</v>
      </c>
      <c r="L331" s="1" t="str">
        <f>VLOOKUP(orders__17[[#This Row],[Product_ID]],products[#All],4,0)</f>
        <v>Desk</v>
      </c>
      <c r="M331" s="1" t="str">
        <f>VLOOKUP(orders__17[[#This Row],[Order_ID]],returns[#All],2,0)</f>
        <v>No</v>
      </c>
    </row>
    <row r="332" spans="1:13" x14ac:dyDescent="0.3">
      <c r="A332" s="1" t="s">
        <v>591</v>
      </c>
      <c r="B332" s="2">
        <v>44772</v>
      </c>
      <c r="C332" s="1" t="s">
        <v>165</v>
      </c>
      <c r="D332" s="1" t="s">
        <v>132</v>
      </c>
      <c r="E332">
        <v>3</v>
      </c>
      <c r="F332" s="4">
        <v>721.17</v>
      </c>
      <c r="G332" s="3">
        <v>0.3</v>
      </c>
      <c r="H332" s="4">
        <v>169.76</v>
      </c>
      <c r="I332" t="str">
        <f>VLOOKUP(orders__17[[#This Row],[Customer_ID]],customers__2[#All],3,0)</f>
        <v>West</v>
      </c>
      <c r="J332" t="str">
        <f>VLOOKUP(orders__17[[#This Row],[Customer_ID]],customers__2[#All],4,0)</f>
        <v>Corporate</v>
      </c>
      <c r="K332" t="str">
        <f>VLOOKUP(orders__17[[#This Row],[Product_ID]],products[#All],3,0)</f>
        <v>Furniture</v>
      </c>
      <c r="L332" s="1" t="str">
        <f>VLOOKUP(orders__17[[#This Row],[Product_ID]],products[#All],4,0)</f>
        <v>Shelf</v>
      </c>
      <c r="M332" s="1" t="str">
        <f>VLOOKUP(orders__17[[#This Row],[Order_ID]],returns[#All],2,0)</f>
        <v>No</v>
      </c>
    </row>
    <row r="333" spans="1:13" x14ac:dyDescent="0.3">
      <c r="A333" s="1" t="s">
        <v>592</v>
      </c>
      <c r="B333" s="2">
        <v>45236</v>
      </c>
      <c r="C333" s="1" t="s">
        <v>287</v>
      </c>
      <c r="D333" s="1" t="s">
        <v>242</v>
      </c>
      <c r="E333">
        <v>2</v>
      </c>
      <c r="F333" s="4">
        <v>382.89</v>
      </c>
      <c r="G333" s="3">
        <v>0</v>
      </c>
      <c r="H333" s="4">
        <v>71.47</v>
      </c>
      <c r="I333" t="str">
        <f>VLOOKUP(orders__17[[#This Row],[Customer_ID]],customers__2[#All],3,0)</f>
        <v>South</v>
      </c>
      <c r="J333" t="str">
        <f>VLOOKUP(orders__17[[#This Row],[Customer_ID]],customers__2[#All],4,0)</f>
        <v>Consumer</v>
      </c>
      <c r="K333" t="str">
        <f>VLOOKUP(orders__17[[#This Row],[Product_ID]],products[#All],3,0)</f>
        <v>Technology</v>
      </c>
      <c r="L333" s="1" t="str">
        <f>VLOOKUP(orders__17[[#This Row],[Product_ID]],products[#All],4,0)</f>
        <v>Phone</v>
      </c>
      <c r="M333" s="1" t="str">
        <f>VLOOKUP(orders__17[[#This Row],[Order_ID]],returns[#All],2,0)</f>
        <v>No</v>
      </c>
    </row>
    <row r="334" spans="1:13" x14ac:dyDescent="0.3">
      <c r="A334" s="1" t="s">
        <v>593</v>
      </c>
      <c r="B334" s="2">
        <v>45461</v>
      </c>
      <c r="C334" s="1" t="s">
        <v>208</v>
      </c>
      <c r="D334" s="1" t="s">
        <v>585</v>
      </c>
      <c r="E334">
        <v>1</v>
      </c>
      <c r="F334" s="4">
        <v>680.65</v>
      </c>
      <c r="G334" s="3">
        <v>0.2</v>
      </c>
      <c r="H334" s="4">
        <v>184.54</v>
      </c>
      <c r="I334" t="str">
        <f>VLOOKUP(orders__17[[#This Row],[Customer_ID]],customers__2[#All],3,0)</f>
        <v>North</v>
      </c>
      <c r="J334" t="str">
        <f>VLOOKUP(orders__17[[#This Row],[Customer_ID]],customers__2[#All],4,0)</f>
        <v>Home Office</v>
      </c>
      <c r="K334" t="str">
        <f>VLOOKUP(orders__17[[#This Row],[Product_ID]],products[#All],3,0)</f>
        <v>Office Supplies</v>
      </c>
      <c r="L334" s="1" t="str">
        <f>VLOOKUP(orders__17[[#This Row],[Product_ID]],products[#All],4,0)</f>
        <v>Storage</v>
      </c>
      <c r="M334" s="1" t="str">
        <f>VLOOKUP(orders__17[[#This Row],[Order_ID]],returns[#All],2,0)</f>
        <v>No</v>
      </c>
    </row>
    <row r="335" spans="1:13" x14ac:dyDescent="0.3">
      <c r="A335" s="1" t="s">
        <v>594</v>
      </c>
      <c r="B335" s="2">
        <v>45059</v>
      </c>
      <c r="C335" s="1" t="s">
        <v>491</v>
      </c>
      <c r="D335" s="1" t="s">
        <v>455</v>
      </c>
      <c r="E335">
        <v>5</v>
      </c>
      <c r="F335" s="4">
        <v>1765.64</v>
      </c>
      <c r="G335" s="3">
        <v>0.2</v>
      </c>
      <c r="H335" s="4">
        <v>332.82</v>
      </c>
      <c r="I335" t="str">
        <f>VLOOKUP(orders__17[[#This Row],[Customer_ID]],customers__2[#All],3,0)</f>
        <v>West</v>
      </c>
      <c r="J335" t="str">
        <f>VLOOKUP(orders__17[[#This Row],[Customer_ID]],customers__2[#All],4,0)</f>
        <v>Corporate</v>
      </c>
      <c r="K335" t="str">
        <f>VLOOKUP(orders__17[[#This Row],[Product_ID]],products[#All],3,0)</f>
        <v>Furniture</v>
      </c>
      <c r="L335" s="1" t="str">
        <f>VLOOKUP(orders__17[[#This Row],[Product_ID]],products[#All],4,0)</f>
        <v>Shelf</v>
      </c>
      <c r="M335" s="1" t="str">
        <f>VLOOKUP(orders__17[[#This Row],[Order_ID]],returns[#All],2,0)</f>
        <v>No</v>
      </c>
    </row>
    <row r="336" spans="1:13" x14ac:dyDescent="0.3">
      <c r="A336" s="1" t="s">
        <v>595</v>
      </c>
      <c r="B336" s="2">
        <v>45022</v>
      </c>
      <c r="C336" s="1" t="s">
        <v>526</v>
      </c>
      <c r="D336" s="1" t="s">
        <v>309</v>
      </c>
      <c r="E336">
        <v>4</v>
      </c>
      <c r="F336" s="4">
        <v>1993.04</v>
      </c>
      <c r="G336" s="3">
        <v>0.3</v>
      </c>
      <c r="H336" s="4">
        <v>366</v>
      </c>
      <c r="I336" t="str">
        <f>VLOOKUP(orders__17[[#This Row],[Customer_ID]],customers__2[#All],3,0)</f>
        <v>West</v>
      </c>
      <c r="J336" t="str">
        <f>VLOOKUP(orders__17[[#This Row],[Customer_ID]],customers__2[#All],4,0)</f>
        <v>Corporate</v>
      </c>
      <c r="K336" t="str">
        <f>VLOOKUP(orders__17[[#This Row],[Product_ID]],products[#All],3,0)</f>
        <v>Office Supplies</v>
      </c>
      <c r="L336" s="1" t="str">
        <f>VLOOKUP(orders__17[[#This Row],[Product_ID]],products[#All],4,0)</f>
        <v>Pen</v>
      </c>
      <c r="M336" s="1" t="str">
        <f>VLOOKUP(orders__17[[#This Row],[Order_ID]],returns[#All],2,0)</f>
        <v>No</v>
      </c>
    </row>
    <row r="337" spans="1:13" x14ac:dyDescent="0.3">
      <c r="A337" s="1" t="s">
        <v>596</v>
      </c>
      <c r="B337" s="2">
        <v>45393</v>
      </c>
      <c r="C337" s="1" t="s">
        <v>12</v>
      </c>
      <c r="D337" s="1" t="s">
        <v>239</v>
      </c>
      <c r="E337">
        <v>2</v>
      </c>
      <c r="F337" s="4">
        <v>799.79</v>
      </c>
      <c r="G337" s="3">
        <v>0</v>
      </c>
      <c r="H337" s="4">
        <v>79.069999999999993</v>
      </c>
      <c r="I337" t="str">
        <f>VLOOKUP(orders__17[[#This Row],[Customer_ID]],customers__2[#All],3,0)</f>
        <v>West</v>
      </c>
      <c r="J337" t="str">
        <f>VLOOKUP(orders__17[[#This Row],[Customer_ID]],customers__2[#All],4,0)</f>
        <v>Home Office</v>
      </c>
      <c r="K337" t="str">
        <f>VLOOKUP(orders__17[[#This Row],[Product_ID]],products[#All],3,0)</f>
        <v>Furniture</v>
      </c>
      <c r="L337" s="1" t="str">
        <f>VLOOKUP(orders__17[[#This Row],[Product_ID]],products[#All],4,0)</f>
        <v>Shelf</v>
      </c>
      <c r="M337" s="1" t="str">
        <f>VLOOKUP(orders__17[[#This Row],[Order_ID]],returns[#All],2,0)</f>
        <v>No</v>
      </c>
    </row>
    <row r="338" spans="1:13" x14ac:dyDescent="0.3">
      <c r="A338" s="1" t="s">
        <v>597</v>
      </c>
      <c r="B338" s="2">
        <v>45025</v>
      </c>
      <c r="C338" s="1" t="s">
        <v>598</v>
      </c>
      <c r="D338" s="1" t="s">
        <v>585</v>
      </c>
      <c r="E338">
        <v>1</v>
      </c>
      <c r="F338" s="4">
        <v>952.36</v>
      </c>
      <c r="G338" s="3">
        <v>0</v>
      </c>
      <c r="H338" s="4">
        <v>87.2</v>
      </c>
      <c r="I338" t="str">
        <f>VLOOKUP(orders__17[[#This Row],[Customer_ID]],customers__2[#All],3,0)</f>
        <v>South</v>
      </c>
      <c r="J338" t="str">
        <f>VLOOKUP(orders__17[[#This Row],[Customer_ID]],customers__2[#All],4,0)</f>
        <v>Home Office</v>
      </c>
      <c r="K338" t="str">
        <f>VLOOKUP(orders__17[[#This Row],[Product_ID]],products[#All],3,0)</f>
        <v>Office Supplies</v>
      </c>
      <c r="L338" s="1" t="str">
        <f>VLOOKUP(orders__17[[#This Row],[Product_ID]],products[#All],4,0)</f>
        <v>Storage</v>
      </c>
      <c r="M338" s="1" t="str">
        <f>VLOOKUP(orders__17[[#This Row],[Order_ID]],returns[#All],2,0)</f>
        <v>No</v>
      </c>
    </row>
    <row r="339" spans="1:13" x14ac:dyDescent="0.3">
      <c r="A339" s="1" t="s">
        <v>599</v>
      </c>
      <c r="B339" s="2">
        <v>45397</v>
      </c>
      <c r="C339" s="1" t="s">
        <v>194</v>
      </c>
      <c r="D339" s="1" t="s">
        <v>341</v>
      </c>
      <c r="E339">
        <v>4</v>
      </c>
      <c r="F339" s="4">
        <v>1471.93</v>
      </c>
      <c r="G339" s="3">
        <v>0.3</v>
      </c>
      <c r="H339" s="4">
        <v>410.85</v>
      </c>
      <c r="I339" t="str">
        <f>VLOOKUP(orders__17[[#This Row],[Customer_ID]],customers__2[#All],3,0)</f>
        <v>North</v>
      </c>
      <c r="J339" t="str">
        <f>VLOOKUP(orders__17[[#This Row],[Customer_ID]],customers__2[#All],4,0)</f>
        <v>Home Office</v>
      </c>
      <c r="K339" t="str">
        <f>VLOOKUP(orders__17[[#This Row],[Product_ID]],products[#All],3,0)</f>
        <v>Technology</v>
      </c>
      <c r="L339" s="1" t="str">
        <f>VLOOKUP(orders__17[[#This Row],[Product_ID]],products[#All],4,0)</f>
        <v>Phone</v>
      </c>
      <c r="M339" s="1" t="str">
        <f>VLOOKUP(orders__17[[#This Row],[Order_ID]],returns[#All],2,0)</f>
        <v>Yes</v>
      </c>
    </row>
    <row r="340" spans="1:13" x14ac:dyDescent="0.3">
      <c r="A340" s="1" t="s">
        <v>600</v>
      </c>
      <c r="B340" s="2">
        <v>44628</v>
      </c>
      <c r="C340" s="1" t="s">
        <v>260</v>
      </c>
      <c r="D340" s="1" t="s">
        <v>143</v>
      </c>
      <c r="E340">
        <v>5</v>
      </c>
      <c r="F340" s="4">
        <v>1783.77</v>
      </c>
      <c r="G340" s="3">
        <v>0.1</v>
      </c>
      <c r="H340" s="4">
        <v>235.39</v>
      </c>
      <c r="I340" t="str">
        <f>VLOOKUP(orders__17[[#This Row],[Customer_ID]],customers__2[#All],3,0)</f>
        <v>East</v>
      </c>
      <c r="J340" t="str">
        <f>VLOOKUP(orders__17[[#This Row],[Customer_ID]],customers__2[#All],4,0)</f>
        <v>Consumer</v>
      </c>
      <c r="K340" t="str">
        <f>VLOOKUP(orders__17[[#This Row],[Product_ID]],products[#All],3,0)</f>
        <v>Furniture</v>
      </c>
      <c r="L340" s="1" t="str">
        <f>VLOOKUP(orders__17[[#This Row],[Product_ID]],products[#All],4,0)</f>
        <v>Shelf</v>
      </c>
      <c r="M340" s="1" t="str">
        <f>VLOOKUP(orders__17[[#This Row],[Order_ID]],returns[#All],2,0)</f>
        <v>No</v>
      </c>
    </row>
    <row r="341" spans="1:13" x14ac:dyDescent="0.3">
      <c r="A341" s="1" t="s">
        <v>601</v>
      </c>
      <c r="B341" s="2">
        <v>45015</v>
      </c>
      <c r="C341" s="1" t="s">
        <v>271</v>
      </c>
      <c r="D341" s="1" t="s">
        <v>34</v>
      </c>
      <c r="E341">
        <v>4</v>
      </c>
      <c r="F341" s="4">
        <v>1226.78</v>
      </c>
      <c r="G341" s="3">
        <v>0.2</v>
      </c>
      <c r="H341" s="4">
        <v>175.45</v>
      </c>
      <c r="I341" t="str">
        <f>VLOOKUP(orders__17[[#This Row],[Customer_ID]],customers__2[#All],3,0)</f>
        <v>East</v>
      </c>
      <c r="J341" t="str">
        <f>VLOOKUP(orders__17[[#This Row],[Customer_ID]],customers__2[#All],4,0)</f>
        <v>Corporate</v>
      </c>
      <c r="K341" t="str">
        <f>VLOOKUP(orders__17[[#This Row],[Product_ID]],products[#All],3,0)</f>
        <v>Furniture</v>
      </c>
      <c r="L341" s="1" t="str">
        <f>VLOOKUP(orders__17[[#This Row],[Product_ID]],products[#All],4,0)</f>
        <v>Table</v>
      </c>
      <c r="M341" s="1" t="str">
        <f>VLOOKUP(orders__17[[#This Row],[Order_ID]],returns[#All],2,0)</f>
        <v>No</v>
      </c>
    </row>
    <row r="342" spans="1:13" x14ac:dyDescent="0.3">
      <c r="A342" s="1" t="s">
        <v>602</v>
      </c>
      <c r="B342" s="2">
        <v>45162</v>
      </c>
      <c r="C342" s="1" t="s">
        <v>160</v>
      </c>
      <c r="D342" s="1" t="s">
        <v>603</v>
      </c>
      <c r="E342">
        <v>1</v>
      </c>
      <c r="F342" s="4">
        <v>843.9</v>
      </c>
      <c r="G342" s="3">
        <v>0.1</v>
      </c>
      <c r="H342" s="4">
        <v>202.5</v>
      </c>
      <c r="I342" t="str">
        <f>VLOOKUP(orders__17[[#This Row],[Customer_ID]],customers__2[#All],3,0)</f>
        <v>East</v>
      </c>
      <c r="J342" t="str">
        <f>VLOOKUP(orders__17[[#This Row],[Customer_ID]],customers__2[#All],4,0)</f>
        <v>Corporate</v>
      </c>
      <c r="K342" t="str">
        <f>VLOOKUP(orders__17[[#This Row],[Product_ID]],products[#All],3,0)</f>
        <v>Technology</v>
      </c>
      <c r="L342" s="1" t="str">
        <f>VLOOKUP(orders__17[[#This Row],[Product_ID]],products[#All],4,0)</f>
        <v>Accessories</v>
      </c>
      <c r="M342" s="1" t="str">
        <f>VLOOKUP(orders__17[[#This Row],[Order_ID]],returns[#All],2,0)</f>
        <v>No</v>
      </c>
    </row>
    <row r="343" spans="1:13" x14ac:dyDescent="0.3">
      <c r="A343" s="1" t="s">
        <v>604</v>
      </c>
      <c r="B343" s="2">
        <v>44609</v>
      </c>
      <c r="C343" s="1" t="s">
        <v>605</v>
      </c>
      <c r="D343" s="1" t="s">
        <v>249</v>
      </c>
      <c r="E343">
        <v>4</v>
      </c>
      <c r="F343" s="4">
        <v>883.98</v>
      </c>
      <c r="G343" s="3">
        <v>0.2</v>
      </c>
      <c r="H343" s="4">
        <v>119.08</v>
      </c>
      <c r="I343" t="str">
        <f>VLOOKUP(orders__17[[#This Row],[Customer_ID]],customers__2[#All],3,0)</f>
        <v>West</v>
      </c>
      <c r="J343" t="str">
        <f>VLOOKUP(orders__17[[#This Row],[Customer_ID]],customers__2[#All],4,0)</f>
        <v>Corporate</v>
      </c>
      <c r="K343" t="str">
        <f>VLOOKUP(orders__17[[#This Row],[Product_ID]],products[#All],3,0)</f>
        <v>Office Supplies</v>
      </c>
      <c r="L343" s="1" t="str">
        <f>VLOOKUP(orders__17[[#This Row],[Product_ID]],products[#All],4,0)</f>
        <v>Paper</v>
      </c>
      <c r="M343" s="1" t="str">
        <f>VLOOKUP(orders__17[[#This Row],[Order_ID]],returns[#All],2,0)</f>
        <v>No</v>
      </c>
    </row>
    <row r="344" spans="1:13" x14ac:dyDescent="0.3">
      <c r="A344" s="1" t="s">
        <v>606</v>
      </c>
      <c r="B344" s="2">
        <v>45092</v>
      </c>
      <c r="C344" s="1" t="s">
        <v>607</v>
      </c>
      <c r="D344" s="1" t="s">
        <v>218</v>
      </c>
      <c r="E344">
        <v>3</v>
      </c>
      <c r="F344" s="4">
        <v>1421.67</v>
      </c>
      <c r="G344" s="3">
        <v>0.2</v>
      </c>
      <c r="H344" s="4">
        <v>409.46</v>
      </c>
      <c r="I344" t="str">
        <f>VLOOKUP(orders__17[[#This Row],[Customer_ID]],customers__2[#All],3,0)</f>
        <v>East</v>
      </c>
      <c r="J344" t="str">
        <f>VLOOKUP(orders__17[[#This Row],[Customer_ID]],customers__2[#All],4,0)</f>
        <v>Consumer</v>
      </c>
      <c r="K344" t="str">
        <f>VLOOKUP(orders__17[[#This Row],[Product_ID]],products[#All],3,0)</f>
        <v>Office Supplies</v>
      </c>
      <c r="L344" s="1" t="str">
        <f>VLOOKUP(orders__17[[#This Row],[Product_ID]],products[#All],4,0)</f>
        <v>Storage</v>
      </c>
      <c r="M344" s="1" t="str">
        <f>VLOOKUP(orders__17[[#This Row],[Order_ID]],returns[#All],2,0)</f>
        <v>No</v>
      </c>
    </row>
    <row r="345" spans="1:13" x14ac:dyDescent="0.3">
      <c r="A345" s="1" t="s">
        <v>608</v>
      </c>
      <c r="B345" s="2">
        <v>45436</v>
      </c>
      <c r="C345" s="1" t="s">
        <v>12</v>
      </c>
      <c r="D345" s="1" t="s">
        <v>72</v>
      </c>
      <c r="E345">
        <v>4</v>
      </c>
      <c r="F345" s="4">
        <v>106.11</v>
      </c>
      <c r="G345" s="3">
        <v>0.1</v>
      </c>
      <c r="H345" s="4">
        <v>24.88</v>
      </c>
      <c r="I345" t="str">
        <f>VLOOKUP(orders__17[[#This Row],[Customer_ID]],customers__2[#All],3,0)</f>
        <v>West</v>
      </c>
      <c r="J345" t="str">
        <f>VLOOKUP(orders__17[[#This Row],[Customer_ID]],customers__2[#All],4,0)</f>
        <v>Home Office</v>
      </c>
      <c r="K345" t="str">
        <f>VLOOKUP(orders__17[[#This Row],[Product_ID]],products[#All],3,0)</f>
        <v>Furniture</v>
      </c>
      <c r="L345" s="1" t="str">
        <f>VLOOKUP(orders__17[[#This Row],[Product_ID]],products[#All],4,0)</f>
        <v>Chair</v>
      </c>
      <c r="M345" s="1" t="str">
        <f>VLOOKUP(orders__17[[#This Row],[Order_ID]],returns[#All],2,0)</f>
        <v>Yes</v>
      </c>
    </row>
    <row r="346" spans="1:13" x14ac:dyDescent="0.3">
      <c r="A346" s="1" t="s">
        <v>609</v>
      </c>
      <c r="B346" s="2">
        <v>44562</v>
      </c>
      <c r="C346" s="1" t="s">
        <v>610</v>
      </c>
      <c r="D346" s="1" t="s">
        <v>122</v>
      </c>
      <c r="E346">
        <v>2</v>
      </c>
      <c r="F346" s="4">
        <v>1277.22</v>
      </c>
      <c r="G346" s="3">
        <v>0.3</v>
      </c>
      <c r="H346" s="4">
        <v>254.62</v>
      </c>
      <c r="I346" t="str">
        <f>VLOOKUP(orders__17[[#This Row],[Customer_ID]],customers__2[#All],3,0)</f>
        <v>West</v>
      </c>
      <c r="J346" t="str">
        <f>VLOOKUP(orders__17[[#This Row],[Customer_ID]],customers__2[#All],4,0)</f>
        <v>Home Office</v>
      </c>
      <c r="K346" t="str">
        <f>VLOOKUP(orders__17[[#This Row],[Product_ID]],products[#All],3,0)</f>
        <v>Office Supplies</v>
      </c>
      <c r="L346" s="1" t="str">
        <f>VLOOKUP(orders__17[[#This Row],[Product_ID]],products[#All],4,0)</f>
        <v>Storage</v>
      </c>
      <c r="M346" s="1" t="str">
        <f>VLOOKUP(orders__17[[#This Row],[Order_ID]],returns[#All],2,0)</f>
        <v>No</v>
      </c>
    </row>
    <row r="347" spans="1:13" x14ac:dyDescent="0.3">
      <c r="A347" s="1" t="s">
        <v>611</v>
      </c>
      <c r="B347" s="2">
        <v>45122</v>
      </c>
      <c r="C347" s="1" t="s">
        <v>50</v>
      </c>
      <c r="D347" s="1" t="s">
        <v>226</v>
      </c>
      <c r="E347">
        <v>2</v>
      </c>
      <c r="F347" s="4">
        <v>775.44</v>
      </c>
      <c r="G347" s="3">
        <v>0.3</v>
      </c>
      <c r="H347" s="4">
        <v>209.54</v>
      </c>
      <c r="I347" t="str">
        <f>VLOOKUP(orders__17[[#This Row],[Customer_ID]],customers__2[#All],3,0)</f>
        <v>East</v>
      </c>
      <c r="J347" t="str">
        <f>VLOOKUP(orders__17[[#This Row],[Customer_ID]],customers__2[#All],4,0)</f>
        <v>Corporate</v>
      </c>
      <c r="K347" t="str">
        <f>VLOOKUP(orders__17[[#This Row],[Product_ID]],products[#All],3,0)</f>
        <v>Technology</v>
      </c>
      <c r="L347" s="1" t="str">
        <f>VLOOKUP(orders__17[[#This Row],[Product_ID]],products[#All],4,0)</f>
        <v>Laptop</v>
      </c>
      <c r="M347" s="1" t="str">
        <f>VLOOKUP(orders__17[[#This Row],[Order_ID]],returns[#All],2,0)</f>
        <v>No</v>
      </c>
    </row>
    <row r="348" spans="1:13" x14ac:dyDescent="0.3">
      <c r="A348" s="1" t="s">
        <v>612</v>
      </c>
      <c r="B348" s="2">
        <v>44910</v>
      </c>
      <c r="C348" s="1" t="s">
        <v>325</v>
      </c>
      <c r="D348" s="1" t="s">
        <v>180</v>
      </c>
      <c r="E348">
        <v>3</v>
      </c>
      <c r="F348" s="4">
        <v>1608.97</v>
      </c>
      <c r="G348" s="3">
        <v>0.2</v>
      </c>
      <c r="H348" s="4">
        <v>100.4</v>
      </c>
      <c r="I348" t="str">
        <f>VLOOKUP(orders__17[[#This Row],[Customer_ID]],customers__2[#All],3,0)</f>
        <v>North</v>
      </c>
      <c r="J348" t="str">
        <f>VLOOKUP(orders__17[[#This Row],[Customer_ID]],customers__2[#All],4,0)</f>
        <v>Corporate</v>
      </c>
      <c r="K348" t="str">
        <f>VLOOKUP(orders__17[[#This Row],[Product_ID]],products[#All],3,0)</f>
        <v>Furniture</v>
      </c>
      <c r="L348" s="1" t="str">
        <f>VLOOKUP(orders__17[[#This Row],[Product_ID]],products[#All],4,0)</f>
        <v>Chair</v>
      </c>
      <c r="M348" s="1" t="str">
        <f>VLOOKUP(orders__17[[#This Row],[Order_ID]],returns[#All],2,0)</f>
        <v>No</v>
      </c>
    </row>
    <row r="349" spans="1:13" x14ac:dyDescent="0.3">
      <c r="A349" s="1" t="s">
        <v>613</v>
      </c>
      <c r="B349" s="2">
        <v>45424</v>
      </c>
      <c r="C349" s="1" t="s">
        <v>182</v>
      </c>
      <c r="D349" s="1" t="s">
        <v>296</v>
      </c>
      <c r="E349">
        <v>1</v>
      </c>
      <c r="F349" s="4">
        <v>276.68</v>
      </c>
      <c r="G349" s="3">
        <v>0.3</v>
      </c>
      <c r="H349" s="4">
        <v>31.62</v>
      </c>
      <c r="I349" t="str">
        <f>VLOOKUP(orders__17[[#This Row],[Customer_ID]],customers__2[#All],3,0)</f>
        <v>South</v>
      </c>
      <c r="J349" t="str">
        <f>VLOOKUP(orders__17[[#This Row],[Customer_ID]],customers__2[#All],4,0)</f>
        <v>Consumer</v>
      </c>
      <c r="K349" t="str">
        <f>VLOOKUP(orders__17[[#This Row],[Product_ID]],products[#All],3,0)</f>
        <v>Technology</v>
      </c>
      <c r="L349" s="1" t="str">
        <f>VLOOKUP(orders__17[[#This Row],[Product_ID]],products[#All],4,0)</f>
        <v>Accessories</v>
      </c>
      <c r="M349" s="1" t="str">
        <f>VLOOKUP(orders__17[[#This Row],[Order_ID]],returns[#All],2,0)</f>
        <v>Yes</v>
      </c>
    </row>
    <row r="350" spans="1:13" x14ac:dyDescent="0.3">
      <c r="A350" s="1" t="s">
        <v>614</v>
      </c>
      <c r="B350" s="2">
        <v>45216</v>
      </c>
      <c r="C350" s="1" t="s">
        <v>246</v>
      </c>
      <c r="D350" s="1" t="s">
        <v>83</v>
      </c>
      <c r="E350">
        <v>2</v>
      </c>
      <c r="F350" s="4">
        <v>1217.58</v>
      </c>
      <c r="G350" s="3">
        <v>0.2</v>
      </c>
      <c r="H350" s="4">
        <v>202.43</v>
      </c>
      <c r="I350" t="str">
        <f>VLOOKUP(orders__17[[#This Row],[Customer_ID]],customers__2[#All],3,0)</f>
        <v>West</v>
      </c>
      <c r="J350" t="str">
        <f>VLOOKUP(orders__17[[#This Row],[Customer_ID]],customers__2[#All],4,0)</f>
        <v>Home Office</v>
      </c>
      <c r="K350" t="str">
        <f>VLOOKUP(orders__17[[#This Row],[Product_ID]],products[#All],3,0)</f>
        <v>Furniture</v>
      </c>
      <c r="L350" s="1" t="str">
        <f>VLOOKUP(orders__17[[#This Row],[Product_ID]],products[#All],4,0)</f>
        <v>Table</v>
      </c>
      <c r="M350" s="1" t="str">
        <f>VLOOKUP(orders__17[[#This Row],[Order_ID]],returns[#All],2,0)</f>
        <v>No</v>
      </c>
    </row>
    <row r="351" spans="1:13" x14ac:dyDescent="0.3">
      <c r="A351" s="1" t="s">
        <v>615</v>
      </c>
      <c r="B351" s="2">
        <v>44676</v>
      </c>
      <c r="C351" s="1" t="s">
        <v>106</v>
      </c>
      <c r="D351" s="1" t="s">
        <v>122</v>
      </c>
      <c r="E351">
        <v>5</v>
      </c>
      <c r="F351" s="4">
        <v>1013.85</v>
      </c>
      <c r="G351" s="3">
        <v>0.3</v>
      </c>
      <c r="H351" s="4">
        <v>108.22</v>
      </c>
      <c r="I351" t="str">
        <f>VLOOKUP(orders__17[[#This Row],[Customer_ID]],customers__2[#All],3,0)</f>
        <v>South</v>
      </c>
      <c r="J351" t="str">
        <f>VLOOKUP(orders__17[[#This Row],[Customer_ID]],customers__2[#All],4,0)</f>
        <v>Consumer</v>
      </c>
      <c r="K351" t="str">
        <f>VLOOKUP(orders__17[[#This Row],[Product_ID]],products[#All],3,0)</f>
        <v>Office Supplies</v>
      </c>
      <c r="L351" s="1" t="str">
        <f>VLOOKUP(orders__17[[#This Row],[Product_ID]],products[#All],4,0)</f>
        <v>Storage</v>
      </c>
      <c r="M351" s="1" t="str">
        <f>VLOOKUP(orders__17[[#This Row],[Order_ID]],returns[#All],2,0)</f>
        <v>No</v>
      </c>
    </row>
    <row r="352" spans="1:13" x14ac:dyDescent="0.3">
      <c r="A352" s="1" t="s">
        <v>616</v>
      </c>
      <c r="B352" s="2">
        <v>44794</v>
      </c>
      <c r="C352" s="1" t="s">
        <v>607</v>
      </c>
      <c r="D352" s="1" t="s">
        <v>269</v>
      </c>
      <c r="E352">
        <v>2</v>
      </c>
      <c r="F352" s="4">
        <v>1320.42</v>
      </c>
      <c r="G352" s="3">
        <v>0.2</v>
      </c>
      <c r="H352" s="4">
        <v>311.58999999999997</v>
      </c>
      <c r="I352" t="str">
        <f>VLOOKUP(orders__17[[#This Row],[Customer_ID]],customers__2[#All],3,0)</f>
        <v>East</v>
      </c>
      <c r="J352" t="str">
        <f>VLOOKUP(orders__17[[#This Row],[Customer_ID]],customers__2[#All],4,0)</f>
        <v>Consumer</v>
      </c>
      <c r="K352" t="str">
        <f>VLOOKUP(orders__17[[#This Row],[Product_ID]],products[#All],3,0)</f>
        <v>Office Supplies</v>
      </c>
      <c r="L352" s="1" t="str">
        <f>VLOOKUP(orders__17[[#This Row],[Product_ID]],products[#All],4,0)</f>
        <v>Pen</v>
      </c>
      <c r="M352" s="1" t="str">
        <f>VLOOKUP(orders__17[[#This Row],[Order_ID]],returns[#All],2,0)</f>
        <v>No</v>
      </c>
    </row>
    <row r="353" spans="1:13" x14ac:dyDescent="0.3">
      <c r="A353" s="1" t="s">
        <v>617</v>
      </c>
      <c r="B353" s="2">
        <v>44928</v>
      </c>
      <c r="C353" s="1" t="s">
        <v>489</v>
      </c>
      <c r="D353" s="1" t="s">
        <v>70</v>
      </c>
      <c r="E353">
        <v>2</v>
      </c>
      <c r="F353" s="4">
        <v>223.22</v>
      </c>
      <c r="G353" s="3">
        <v>0.3</v>
      </c>
      <c r="H353" s="4">
        <v>62.46</v>
      </c>
      <c r="I353" t="str">
        <f>VLOOKUP(orders__17[[#This Row],[Customer_ID]],customers__2[#All],3,0)</f>
        <v>North</v>
      </c>
      <c r="J353" t="str">
        <f>VLOOKUP(orders__17[[#This Row],[Customer_ID]],customers__2[#All],4,0)</f>
        <v>Home Office</v>
      </c>
      <c r="K353" t="str">
        <f>VLOOKUP(orders__17[[#This Row],[Product_ID]],products[#All],3,0)</f>
        <v>Office Supplies</v>
      </c>
      <c r="L353" s="1" t="str">
        <f>VLOOKUP(orders__17[[#This Row],[Product_ID]],products[#All],4,0)</f>
        <v>Paper</v>
      </c>
      <c r="M353" s="1" t="str">
        <f>VLOOKUP(orders__17[[#This Row],[Order_ID]],returns[#All],2,0)</f>
        <v>No</v>
      </c>
    </row>
    <row r="354" spans="1:13" x14ac:dyDescent="0.3">
      <c r="A354" s="1" t="s">
        <v>618</v>
      </c>
      <c r="B354" s="2">
        <v>45168</v>
      </c>
      <c r="C354" s="1" t="s">
        <v>200</v>
      </c>
      <c r="D354" s="1" t="s">
        <v>100</v>
      </c>
      <c r="E354">
        <v>1</v>
      </c>
      <c r="F354" s="4">
        <v>1201.97</v>
      </c>
      <c r="G354" s="3">
        <v>0</v>
      </c>
      <c r="H354" s="4">
        <v>187.44</v>
      </c>
      <c r="I354" t="str">
        <f>VLOOKUP(orders__17[[#This Row],[Customer_ID]],customers__2[#All],3,0)</f>
        <v>East</v>
      </c>
      <c r="J354" t="str">
        <f>VLOOKUP(orders__17[[#This Row],[Customer_ID]],customers__2[#All],4,0)</f>
        <v>Consumer</v>
      </c>
      <c r="K354" t="str">
        <f>VLOOKUP(orders__17[[#This Row],[Product_ID]],products[#All],3,0)</f>
        <v>Technology</v>
      </c>
      <c r="L354" s="1" t="str">
        <f>VLOOKUP(orders__17[[#This Row],[Product_ID]],products[#All],4,0)</f>
        <v>Laptop</v>
      </c>
      <c r="M354" s="1" t="str">
        <f>VLOOKUP(orders__17[[#This Row],[Order_ID]],returns[#All],2,0)</f>
        <v>No</v>
      </c>
    </row>
    <row r="355" spans="1:13" x14ac:dyDescent="0.3">
      <c r="A355" s="1" t="s">
        <v>619</v>
      </c>
      <c r="B355" s="2">
        <v>45011</v>
      </c>
      <c r="C355" s="1" t="s">
        <v>182</v>
      </c>
      <c r="D355" s="1" t="s">
        <v>296</v>
      </c>
      <c r="E355">
        <v>4</v>
      </c>
      <c r="F355" s="4">
        <v>1166.82</v>
      </c>
      <c r="G355" s="3">
        <v>0.1</v>
      </c>
      <c r="H355" s="4">
        <v>158.13999999999999</v>
      </c>
      <c r="I355" t="str">
        <f>VLOOKUP(orders__17[[#This Row],[Customer_ID]],customers__2[#All],3,0)</f>
        <v>South</v>
      </c>
      <c r="J355" t="str">
        <f>VLOOKUP(orders__17[[#This Row],[Customer_ID]],customers__2[#All],4,0)</f>
        <v>Consumer</v>
      </c>
      <c r="K355" t="str">
        <f>VLOOKUP(orders__17[[#This Row],[Product_ID]],products[#All],3,0)</f>
        <v>Technology</v>
      </c>
      <c r="L355" s="1" t="str">
        <f>VLOOKUP(orders__17[[#This Row],[Product_ID]],products[#All],4,0)</f>
        <v>Accessories</v>
      </c>
      <c r="M355" s="1" t="str">
        <f>VLOOKUP(orders__17[[#This Row],[Order_ID]],returns[#All],2,0)</f>
        <v>Yes</v>
      </c>
    </row>
    <row r="356" spans="1:13" x14ac:dyDescent="0.3">
      <c r="A356" s="1" t="s">
        <v>620</v>
      </c>
      <c r="B356" s="2">
        <v>44575</v>
      </c>
      <c r="C356" s="1" t="s">
        <v>569</v>
      </c>
      <c r="D356" s="1" t="s">
        <v>309</v>
      </c>
      <c r="E356">
        <v>2</v>
      </c>
      <c r="F356" s="4">
        <v>1165.25</v>
      </c>
      <c r="G356" s="3">
        <v>0</v>
      </c>
      <c r="H356" s="4">
        <v>338.37</v>
      </c>
      <c r="I356" t="str">
        <f>VLOOKUP(orders__17[[#This Row],[Customer_ID]],customers__2[#All],3,0)</f>
        <v>West</v>
      </c>
      <c r="J356" t="str">
        <f>VLOOKUP(orders__17[[#This Row],[Customer_ID]],customers__2[#All],4,0)</f>
        <v>Consumer</v>
      </c>
      <c r="K356" t="str">
        <f>VLOOKUP(orders__17[[#This Row],[Product_ID]],products[#All],3,0)</f>
        <v>Office Supplies</v>
      </c>
      <c r="L356" s="1" t="str">
        <f>VLOOKUP(orders__17[[#This Row],[Product_ID]],products[#All],4,0)</f>
        <v>Pen</v>
      </c>
      <c r="M356" s="1" t="str">
        <f>VLOOKUP(orders__17[[#This Row],[Order_ID]],returns[#All],2,0)</f>
        <v>No</v>
      </c>
    </row>
    <row r="357" spans="1:13" x14ac:dyDescent="0.3">
      <c r="A357" s="1" t="s">
        <v>621</v>
      </c>
      <c r="B357" s="2">
        <v>44782</v>
      </c>
      <c r="C357" s="1" t="s">
        <v>622</v>
      </c>
      <c r="D357" s="1" t="s">
        <v>70</v>
      </c>
      <c r="E357">
        <v>3</v>
      </c>
      <c r="F357" s="4">
        <v>1246.6300000000001</v>
      </c>
      <c r="G357" s="3">
        <v>0.1</v>
      </c>
      <c r="H357" s="4">
        <v>200.97</v>
      </c>
      <c r="I357" t="str">
        <f>VLOOKUP(orders__17[[#This Row],[Customer_ID]],customers__2[#All],3,0)</f>
        <v>South</v>
      </c>
      <c r="J357" t="str">
        <f>VLOOKUP(orders__17[[#This Row],[Customer_ID]],customers__2[#All],4,0)</f>
        <v>Home Office</v>
      </c>
      <c r="K357" t="str">
        <f>VLOOKUP(orders__17[[#This Row],[Product_ID]],products[#All],3,0)</f>
        <v>Office Supplies</v>
      </c>
      <c r="L357" s="1" t="str">
        <f>VLOOKUP(orders__17[[#This Row],[Product_ID]],products[#All],4,0)</f>
        <v>Paper</v>
      </c>
      <c r="M357" s="1" t="str">
        <f>VLOOKUP(orders__17[[#This Row],[Order_ID]],returns[#All],2,0)</f>
        <v>Yes</v>
      </c>
    </row>
    <row r="358" spans="1:13" x14ac:dyDescent="0.3">
      <c r="A358" s="1" t="s">
        <v>623</v>
      </c>
      <c r="B358" s="2">
        <v>45414</v>
      </c>
      <c r="C358" s="1" t="s">
        <v>404</v>
      </c>
      <c r="D358" s="1" t="s">
        <v>111</v>
      </c>
      <c r="E358">
        <v>4</v>
      </c>
      <c r="F358" s="4">
        <v>1385.29</v>
      </c>
      <c r="G358" s="3">
        <v>0.1</v>
      </c>
      <c r="H358" s="4">
        <v>238.63</v>
      </c>
      <c r="I358" t="str">
        <f>VLOOKUP(orders__17[[#This Row],[Customer_ID]],customers__2[#All],3,0)</f>
        <v>West</v>
      </c>
      <c r="J358" t="str">
        <f>VLOOKUP(orders__17[[#This Row],[Customer_ID]],customers__2[#All],4,0)</f>
        <v>Home Office</v>
      </c>
      <c r="K358" t="str">
        <f>VLOOKUP(orders__17[[#This Row],[Product_ID]],products[#All],3,0)</f>
        <v>Technology</v>
      </c>
      <c r="L358" s="1" t="str">
        <f>VLOOKUP(orders__17[[#This Row],[Product_ID]],products[#All],4,0)</f>
        <v>Accessories</v>
      </c>
      <c r="M358" s="1" t="str">
        <f>VLOOKUP(orders__17[[#This Row],[Order_ID]],returns[#All],2,0)</f>
        <v>No</v>
      </c>
    </row>
    <row r="359" spans="1:13" x14ac:dyDescent="0.3">
      <c r="A359" s="1" t="s">
        <v>624</v>
      </c>
      <c r="B359" s="2">
        <v>45321</v>
      </c>
      <c r="C359" s="1" t="s">
        <v>350</v>
      </c>
      <c r="D359" s="1" t="s">
        <v>234</v>
      </c>
      <c r="E359">
        <v>5</v>
      </c>
      <c r="F359" s="4">
        <v>1629.48</v>
      </c>
      <c r="G359" s="3">
        <v>0.2</v>
      </c>
      <c r="H359" s="4">
        <v>224.73</v>
      </c>
      <c r="I359" t="str">
        <f>VLOOKUP(orders__17[[#This Row],[Customer_ID]],customers__2[#All],3,0)</f>
        <v>West</v>
      </c>
      <c r="J359" t="str">
        <f>VLOOKUP(orders__17[[#This Row],[Customer_ID]],customers__2[#All],4,0)</f>
        <v>Corporate</v>
      </c>
      <c r="K359" t="str">
        <f>VLOOKUP(orders__17[[#This Row],[Product_ID]],products[#All],3,0)</f>
        <v>Furniture</v>
      </c>
      <c r="L359" s="1" t="str">
        <f>VLOOKUP(orders__17[[#This Row],[Product_ID]],products[#All],4,0)</f>
        <v>Shelf</v>
      </c>
      <c r="M359" s="1" t="str">
        <f>VLOOKUP(orders__17[[#This Row],[Order_ID]],returns[#All],2,0)</f>
        <v>No</v>
      </c>
    </row>
    <row r="360" spans="1:13" x14ac:dyDescent="0.3">
      <c r="A360" s="1" t="s">
        <v>625</v>
      </c>
      <c r="B360" s="2">
        <v>44906</v>
      </c>
      <c r="C360" s="1" t="s">
        <v>336</v>
      </c>
      <c r="D360" s="1" t="s">
        <v>16</v>
      </c>
      <c r="E360">
        <v>1</v>
      </c>
      <c r="F360" s="4">
        <v>612.66</v>
      </c>
      <c r="G360" s="3">
        <v>0.1</v>
      </c>
      <c r="H360" s="4">
        <v>169.94</v>
      </c>
      <c r="I360" t="str">
        <f>VLOOKUP(orders__17[[#This Row],[Customer_ID]],customers__2[#All],3,0)</f>
        <v>South</v>
      </c>
      <c r="J360" t="str">
        <f>VLOOKUP(orders__17[[#This Row],[Customer_ID]],customers__2[#All],4,0)</f>
        <v>Consumer</v>
      </c>
      <c r="K360" t="str">
        <f>VLOOKUP(orders__17[[#This Row],[Product_ID]],products[#All],3,0)</f>
        <v>Technology</v>
      </c>
      <c r="L360" s="1" t="str">
        <f>VLOOKUP(orders__17[[#This Row],[Product_ID]],products[#All],4,0)</f>
        <v>Laptop</v>
      </c>
      <c r="M360" s="1" t="str">
        <f>VLOOKUP(orders__17[[#This Row],[Order_ID]],returns[#All],2,0)</f>
        <v>No</v>
      </c>
    </row>
    <row r="361" spans="1:13" x14ac:dyDescent="0.3">
      <c r="A361" s="1" t="s">
        <v>626</v>
      </c>
      <c r="B361" s="2">
        <v>45329</v>
      </c>
      <c r="C361" s="1" t="s">
        <v>179</v>
      </c>
      <c r="D361" s="1" t="s">
        <v>78</v>
      </c>
      <c r="E361">
        <v>5</v>
      </c>
      <c r="F361" s="4">
        <v>1667.59</v>
      </c>
      <c r="G361" s="3">
        <v>0</v>
      </c>
      <c r="H361" s="4">
        <v>320.58</v>
      </c>
      <c r="I361" t="str">
        <f>VLOOKUP(orders__17[[#This Row],[Customer_ID]],customers__2[#All],3,0)</f>
        <v>North</v>
      </c>
      <c r="J361" t="str">
        <f>VLOOKUP(orders__17[[#This Row],[Customer_ID]],customers__2[#All],4,0)</f>
        <v>Consumer</v>
      </c>
      <c r="K361" t="str">
        <f>VLOOKUP(orders__17[[#This Row],[Product_ID]],products[#All],3,0)</f>
        <v>Technology</v>
      </c>
      <c r="L361" s="1" t="str">
        <f>VLOOKUP(orders__17[[#This Row],[Product_ID]],products[#All],4,0)</f>
        <v>Accessories</v>
      </c>
      <c r="M361" s="1" t="str">
        <f>VLOOKUP(orders__17[[#This Row],[Order_ID]],returns[#All],2,0)</f>
        <v>No</v>
      </c>
    </row>
    <row r="362" spans="1:13" x14ac:dyDescent="0.3">
      <c r="A362" s="1" t="s">
        <v>627</v>
      </c>
      <c r="B362" s="2">
        <v>45178</v>
      </c>
      <c r="C362" s="1" t="s">
        <v>371</v>
      </c>
      <c r="D362" s="1" t="s">
        <v>180</v>
      </c>
      <c r="E362">
        <v>4</v>
      </c>
      <c r="F362" s="4">
        <v>1046.69</v>
      </c>
      <c r="G362" s="3">
        <v>0</v>
      </c>
      <c r="H362" s="4">
        <v>251.77</v>
      </c>
      <c r="I362" t="str">
        <f>VLOOKUP(orders__17[[#This Row],[Customer_ID]],customers__2[#All],3,0)</f>
        <v>East</v>
      </c>
      <c r="J362" t="str">
        <f>VLOOKUP(orders__17[[#This Row],[Customer_ID]],customers__2[#All],4,0)</f>
        <v>Corporate</v>
      </c>
      <c r="K362" t="str">
        <f>VLOOKUP(orders__17[[#This Row],[Product_ID]],products[#All],3,0)</f>
        <v>Furniture</v>
      </c>
      <c r="L362" s="1" t="str">
        <f>VLOOKUP(orders__17[[#This Row],[Product_ID]],products[#All],4,0)</f>
        <v>Chair</v>
      </c>
      <c r="M362" s="1" t="str">
        <f>VLOOKUP(orders__17[[#This Row],[Order_ID]],returns[#All],2,0)</f>
        <v>No</v>
      </c>
    </row>
    <row r="363" spans="1:13" x14ac:dyDescent="0.3">
      <c r="A363" s="1" t="s">
        <v>628</v>
      </c>
      <c r="B363" s="2">
        <v>45404</v>
      </c>
      <c r="C363" s="1" t="s">
        <v>271</v>
      </c>
      <c r="D363" s="1" t="s">
        <v>25</v>
      </c>
      <c r="E363">
        <v>4</v>
      </c>
      <c r="F363" s="4">
        <v>246.41</v>
      </c>
      <c r="G363" s="3">
        <v>0.3</v>
      </c>
      <c r="H363" s="4">
        <v>62.33</v>
      </c>
      <c r="I363" t="str">
        <f>VLOOKUP(orders__17[[#This Row],[Customer_ID]],customers__2[#All],3,0)</f>
        <v>East</v>
      </c>
      <c r="J363" t="str">
        <f>VLOOKUP(orders__17[[#This Row],[Customer_ID]],customers__2[#All],4,0)</f>
        <v>Corporate</v>
      </c>
      <c r="K363" t="str">
        <f>VLOOKUP(orders__17[[#This Row],[Product_ID]],products[#All],3,0)</f>
        <v>Office Supplies</v>
      </c>
      <c r="L363" s="1" t="str">
        <f>VLOOKUP(orders__17[[#This Row],[Product_ID]],products[#All],4,0)</f>
        <v>Paper</v>
      </c>
      <c r="M363" s="1" t="str">
        <f>VLOOKUP(orders__17[[#This Row],[Order_ID]],returns[#All],2,0)</f>
        <v>No</v>
      </c>
    </row>
    <row r="364" spans="1:13" x14ac:dyDescent="0.3">
      <c r="A364" s="1" t="s">
        <v>629</v>
      </c>
      <c r="B364" s="2">
        <v>44594</v>
      </c>
      <c r="C364" s="1" t="s">
        <v>184</v>
      </c>
      <c r="D364" s="1" t="s">
        <v>111</v>
      </c>
      <c r="E364">
        <v>4</v>
      </c>
      <c r="F364" s="4">
        <v>211.25</v>
      </c>
      <c r="G364" s="3">
        <v>0</v>
      </c>
      <c r="H364" s="4">
        <v>28.62</v>
      </c>
      <c r="I364" t="str">
        <f>VLOOKUP(orders__17[[#This Row],[Customer_ID]],customers__2[#All],3,0)</f>
        <v>East</v>
      </c>
      <c r="J364" t="str">
        <f>VLOOKUP(orders__17[[#This Row],[Customer_ID]],customers__2[#All],4,0)</f>
        <v>Consumer</v>
      </c>
      <c r="K364" t="str">
        <f>VLOOKUP(orders__17[[#This Row],[Product_ID]],products[#All],3,0)</f>
        <v>Technology</v>
      </c>
      <c r="L364" s="1" t="str">
        <f>VLOOKUP(orders__17[[#This Row],[Product_ID]],products[#All],4,0)</f>
        <v>Accessories</v>
      </c>
      <c r="M364" s="1" t="str">
        <f>VLOOKUP(orders__17[[#This Row],[Order_ID]],returns[#All],2,0)</f>
        <v>No</v>
      </c>
    </row>
    <row r="365" spans="1:13" x14ac:dyDescent="0.3">
      <c r="A365" s="1" t="s">
        <v>630</v>
      </c>
      <c r="B365" s="2">
        <v>44654</v>
      </c>
      <c r="C365" s="1" t="s">
        <v>598</v>
      </c>
      <c r="D365" s="1" t="s">
        <v>304</v>
      </c>
      <c r="E365">
        <v>5</v>
      </c>
      <c r="F365" s="4">
        <v>735.05</v>
      </c>
      <c r="G365" s="3">
        <v>0.3</v>
      </c>
      <c r="H365" s="4">
        <v>116.45</v>
      </c>
      <c r="I365" t="str">
        <f>VLOOKUP(orders__17[[#This Row],[Customer_ID]],customers__2[#All],3,0)</f>
        <v>South</v>
      </c>
      <c r="J365" t="str">
        <f>VLOOKUP(orders__17[[#This Row],[Customer_ID]],customers__2[#All],4,0)</f>
        <v>Home Office</v>
      </c>
      <c r="K365" t="str">
        <f>VLOOKUP(orders__17[[#This Row],[Product_ID]],products[#All],3,0)</f>
        <v>Technology</v>
      </c>
      <c r="L365" s="1" t="str">
        <f>VLOOKUP(orders__17[[#This Row],[Product_ID]],products[#All],4,0)</f>
        <v>Accessories</v>
      </c>
      <c r="M365" s="1" t="str">
        <f>VLOOKUP(orders__17[[#This Row],[Order_ID]],returns[#All],2,0)</f>
        <v>No</v>
      </c>
    </row>
    <row r="366" spans="1:13" x14ac:dyDescent="0.3">
      <c r="A366" s="1" t="s">
        <v>631</v>
      </c>
      <c r="B366" s="2">
        <v>45393</v>
      </c>
      <c r="C366" s="1" t="s">
        <v>85</v>
      </c>
      <c r="D366" s="1" t="s">
        <v>64</v>
      </c>
      <c r="E366">
        <v>4</v>
      </c>
      <c r="F366" s="4">
        <v>1591.3</v>
      </c>
      <c r="G366" s="3">
        <v>0.1</v>
      </c>
      <c r="H366" s="4">
        <v>417.11</v>
      </c>
      <c r="I366" t="str">
        <f>VLOOKUP(orders__17[[#This Row],[Customer_ID]],customers__2[#All],3,0)</f>
        <v>East</v>
      </c>
      <c r="J366" t="str">
        <f>VLOOKUP(orders__17[[#This Row],[Customer_ID]],customers__2[#All],4,0)</f>
        <v>Corporate</v>
      </c>
      <c r="K366" t="str">
        <f>VLOOKUP(orders__17[[#This Row],[Product_ID]],products[#All],3,0)</f>
        <v>Office Supplies</v>
      </c>
      <c r="L366" s="1" t="str">
        <f>VLOOKUP(orders__17[[#This Row],[Product_ID]],products[#All],4,0)</f>
        <v>Storage</v>
      </c>
      <c r="M366" s="1" t="str">
        <f>VLOOKUP(orders__17[[#This Row],[Order_ID]],returns[#All],2,0)</f>
        <v>No</v>
      </c>
    </row>
    <row r="367" spans="1:13" x14ac:dyDescent="0.3">
      <c r="A367" s="1" t="s">
        <v>632</v>
      </c>
      <c r="B367" s="2">
        <v>45372</v>
      </c>
      <c r="C367" s="1" t="s">
        <v>190</v>
      </c>
      <c r="D367" s="1" t="s">
        <v>304</v>
      </c>
      <c r="E367">
        <v>5</v>
      </c>
      <c r="F367" s="4">
        <v>1444.59</v>
      </c>
      <c r="G367" s="3">
        <v>0</v>
      </c>
      <c r="H367" s="4">
        <v>203.42</v>
      </c>
      <c r="I367" t="str">
        <f>VLOOKUP(orders__17[[#This Row],[Customer_ID]],customers__2[#All],3,0)</f>
        <v>East</v>
      </c>
      <c r="J367" t="str">
        <f>VLOOKUP(orders__17[[#This Row],[Customer_ID]],customers__2[#All],4,0)</f>
        <v>Home Office</v>
      </c>
      <c r="K367" t="str">
        <f>VLOOKUP(orders__17[[#This Row],[Product_ID]],products[#All],3,0)</f>
        <v>Technology</v>
      </c>
      <c r="L367" s="1" t="str">
        <f>VLOOKUP(orders__17[[#This Row],[Product_ID]],products[#All],4,0)</f>
        <v>Accessories</v>
      </c>
      <c r="M367" s="1" t="str">
        <f>VLOOKUP(orders__17[[#This Row],[Order_ID]],returns[#All],2,0)</f>
        <v>Yes</v>
      </c>
    </row>
    <row r="368" spans="1:13" x14ac:dyDescent="0.3">
      <c r="A368" s="1" t="s">
        <v>633</v>
      </c>
      <c r="B368" s="2">
        <v>45058</v>
      </c>
      <c r="C368" s="1" t="s">
        <v>347</v>
      </c>
      <c r="D368" s="1" t="s">
        <v>209</v>
      </c>
      <c r="E368">
        <v>4</v>
      </c>
      <c r="F368" s="4">
        <v>1598.37</v>
      </c>
      <c r="G368" s="3">
        <v>0.1</v>
      </c>
      <c r="H368" s="4">
        <v>397.17</v>
      </c>
      <c r="I368" t="str">
        <f>VLOOKUP(orders__17[[#This Row],[Customer_ID]],customers__2[#All],3,0)</f>
        <v>South</v>
      </c>
      <c r="J368" t="str">
        <f>VLOOKUP(orders__17[[#This Row],[Customer_ID]],customers__2[#All],4,0)</f>
        <v>Home Office</v>
      </c>
      <c r="K368" t="str">
        <f>VLOOKUP(orders__17[[#This Row],[Product_ID]],products[#All],3,0)</f>
        <v>Office Supplies</v>
      </c>
      <c r="L368" s="1" t="str">
        <f>VLOOKUP(orders__17[[#This Row],[Product_ID]],products[#All],4,0)</f>
        <v>Paper</v>
      </c>
      <c r="M368" s="1" t="str">
        <f>VLOOKUP(orders__17[[#This Row],[Order_ID]],returns[#All],2,0)</f>
        <v>No</v>
      </c>
    </row>
    <row r="369" spans="1:13" x14ac:dyDescent="0.3">
      <c r="A369" s="1" t="s">
        <v>634</v>
      </c>
      <c r="B369" s="2">
        <v>45181</v>
      </c>
      <c r="C369" s="1" t="s">
        <v>77</v>
      </c>
      <c r="D369" s="1" t="s">
        <v>253</v>
      </c>
      <c r="E369">
        <v>3</v>
      </c>
      <c r="F369" s="4">
        <v>1082.81</v>
      </c>
      <c r="G369" s="3">
        <v>0</v>
      </c>
      <c r="H369" s="4">
        <v>308.87</v>
      </c>
      <c r="I369" t="str">
        <f>VLOOKUP(orders__17[[#This Row],[Customer_ID]],customers__2[#All],3,0)</f>
        <v>West</v>
      </c>
      <c r="J369" t="str">
        <f>VLOOKUP(orders__17[[#This Row],[Customer_ID]],customers__2[#All],4,0)</f>
        <v>Consumer</v>
      </c>
      <c r="K369" t="str">
        <f>VLOOKUP(orders__17[[#This Row],[Product_ID]],products[#All],3,0)</f>
        <v>Technology</v>
      </c>
      <c r="L369" s="1" t="str">
        <f>VLOOKUP(orders__17[[#This Row],[Product_ID]],products[#All],4,0)</f>
        <v>Accessories</v>
      </c>
      <c r="M369" s="1" t="str">
        <f>VLOOKUP(orders__17[[#This Row],[Order_ID]],returns[#All],2,0)</f>
        <v>No</v>
      </c>
    </row>
    <row r="370" spans="1:13" x14ac:dyDescent="0.3">
      <c r="A370" s="1" t="s">
        <v>635</v>
      </c>
      <c r="B370" s="2">
        <v>45191</v>
      </c>
      <c r="C370" s="1" t="s">
        <v>121</v>
      </c>
      <c r="D370" s="1" t="s">
        <v>239</v>
      </c>
      <c r="E370">
        <v>4</v>
      </c>
      <c r="F370" s="4">
        <v>936.38</v>
      </c>
      <c r="G370" s="3">
        <v>0</v>
      </c>
      <c r="H370" s="4">
        <v>192.71</v>
      </c>
      <c r="I370" t="str">
        <f>VLOOKUP(orders__17[[#This Row],[Customer_ID]],customers__2[#All],3,0)</f>
        <v>East</v>
      </c>
      <c r="J370" t="str">
        <f>VLOOKUP(orders__17[[#This Row],[Customer_ID]],customers__2[#All],4,0)</f>
        <v>Corporate</v>
      </c>
      <c r="K370" t="str">
        <f>VLOOKUP(orders__17[[#This Row],[Product_ID]],products[#All],3,0)</f>
        <v>Furniture</v>
      </c>
      <c r="L370" s="1" t="str">
        <f>VLOOKUP(orders__17[[#This Row],[Product_ID]],products[#All],4,0)</f>
        <v>Shelf</v>
      </c>
      <c r="M370" s="1" t="str">
        <f>VLOOKUP(orders__17[[#This Row],[Order_ID]],returns[#All],2,0)</f>
        <v>Yes</v>
      </c>
    </row>
    <row r="371" spans="1:13" x14ac:dyDescent="0.3">
      <c r="A371" s="1" t="s">
        <v>636</v>
      </c>
      <c r="B371" s="2">
        <v>44722</v>
      </c>
      <c r="C371" s="1" t="s">
        <v>637</v>
      </c>
      <c r="D371" s="1" t="s">
        <v>13</v>
      </c>
      <c r="E371">
        <v>5</v>
      </c>
      <c r="F371" s="4">
        <v>380.16</v>
      </c>
      <c r="G371" s="3">
        <v>0.3</v>
      </c>
      <c r="H371" s="4">
        <v>89.49</v>
      </c>
      <c r="I371" t="str">
        <f>VLOOKUP(orders__17[[#This Row],[Customer_ID]],customers__2[#All],3,0)</f>
        <v>North</v>
      </c>
      <c r="J371" t="str">
        <f>VLOOKUP(orders__17[[#This Row],[Customer_ID]],customers__2[#All],4,0)</f>
        <v>Corporate</v>
      </c>
      <c r="K371" t="str">
        <f>VLOOKUP(orders__17[[#This Row],[Product_ID]],products[#All],3,0)</f>
        <v>Furniture</v>
      </c>
      <c r="L371" s="1" t="str">
        <f>VLOOKUP(orders__17[[#This Row],[Product_ID]],products[#All],4,0)</f>
        <v>Desk</v>
      </c>
      <c r="M371" s="1" t="str">
        <f>VLOOKUP(orders__17[[#This Row],[Order_ID]],returns[#All],2,0)</f>
        <v>No</v>
      </c>
    </row>
    <row r="372" spans="1:13" x14ac:dyDescent="0.3">
      <c r="A372" s="1" t="s">
        <v>638</v>
      </c>
      <c r="B372" s="2">
        <v>45121</v>
      </c>
      <c r="C372" s="1" t="s">
        <v>367</v>
      </c>
      <c r="D372" s="1" t="s">
        <v>301</v>
      </c>
      <c r="E372">
        <v>2</v>
      </c>
      <c r="F372" s="4">
        <v>723.57</v>
      </c>
      <c r="G372" s="3">
        <v>0.1</v>
      </c>
      <c r="H372" s="4">
        <v>181.81</v>
      </c>
      <c r="I372" t="str">
        <f>VLOOKUP(orders__17[[#This Row],[Customer_ID]],customers__2[#All],3,0)</f>
        <v>South</v>
      </c>
      <c r="J372" t="str">
        <f>VLOOKUP(orders__17[[#This Row],[Customer_ID]],customers__2[#All],4,0)</f>
        <v>Home Office</v>
      </c>
      <c r="K372" t="str">
        <f>VLOOKUP(orders__17[[#This Row],[Product_ID]],products[#All],3,0)</f>
        <v>Furniture</v>
      </c>
      <c r="L372" s="1" t="str">
        <f>VLOOKUP(orders__17[[#This Row],[Product_ID]],products[#All],4,0)</f>
        <v>Table</v>
      </c>
      <c r="M372" s="1" t="str">
        <f>VLOOKUP(orders__17[[#This Row],[Order_ID]],returns[#All],2,0)</f>
        <v>No</v>
      </c>
    </row>
    <row r="373" spans="1:13" x14ac:dyDescent="0.3">
      <c r="A373" s="1" t="s">
        <v>639</v>
      </c>
      <c r="B373" s="2">
        <v>44778</v>
      </c>
      <c r="C373" s="1" t="s">
        <v>145</v>
      </c>
      <c r="D373" s="1" t="s">
        <v>127</v>
      </c>
      <c r="E373">
        <v>4</v>
      </c>
      <c r="F373" s="4">
        <v>924.64</v>
      </c>
      <c r="G373" s="3">
        <v>0</v>
      </c>
      <c r="H373" s="4">
        <v>241.57</v>
      </c>
      <c r="I373" t="str">
        <f>VLOOKUP(orders__17[[#This Row],[Customer_ID]],customers__2[#All],3,0)</f>
        <v>West</v>
      </c>
      <c r="J373" t="str">
        <f>VLOOKUP(orders__17[[#This Row],[Customer_ID]],customers__2[#All],4,0)</f>
        <v>Corporate</v>
      </c>
      <c r="K373" t="str">
        <f>VLOOKUP(orders__17[[#This Row],[Product_ID]],products[#All],3,0)</f>
        <v>Furniture</v>
      </c>
      <c r="L373" s="1" t="str">
        <f>VLOOKUP(orders__17[[#This Row],[Product_ID]],products[#All],4,0)</f>
        <v>Chair</v>
      </c>
      <c r="M373" s="1" t="str">
        <f>VLOOKUP(orders__17[[#This Row],[Order_ID]],returns[#All],2,0)</f>
        <v>Yes</v>
      </c>
    </row>
    <row r="374" spans="1:13" x14ac:dyDescent="0.3">
      <c r="A374" s="1" t="s">
        <v>640</v>
      </c>
      <c r="B374" s="2">
        <v>44569</v>
      </c>
      <c r="C374" s="1" t="s">
        <v>85</v>
      </c>
      <c r="D374" s="1" t="s">
        <v>25</v>
      </c>
      <c r="E374">
        <v>2</v>
      </c>
      <c r="F374" s="4">
        <v>268.33999999999997</v>
      </c>
      <c r="G374" s="3">
        <v>0.2</v>
      </c>
      <c r="H374" s="4">
        <v>39.92</v>
      </c>
      <c r="I374" t="str">
        <f>VLOOKUP(orders__17[[#This Row],[Customer_ID]],customers__2[#All],3,0)</f>
        <v>East</v>
      </c>
      <c r="J374" t="str">
        <f>VLOOKUP(orders__17[[#This Row],[Customer_ID]],customers__2[#All],4,0)</f>
        <v>Corporate</v>
      </c>
      <c r="K374" t="str">
        <f>VLOOKUP(orders__17[[#This Row],[Product_ID]],products[#All],3,0)</f>
        <v>Office Supplies</v>
      </c>
      <c r="L374" s="1" t="str">
        <f>VLOOKUP(orders__17[[#This Row],[Product_ID]],products[#All],4,0)</f>
        <v>Paper</v>
      </c>
      <c r="M374" s="1" t="str">
        <f>VLOOKUP(orders__17[[#This Row],[Order_ID]],returns[#All],2,0)</f>
        <v>No</v>
      </c>
    </row>
    <row r="375" spans="1:13" x14ac:dyDescent="0.3">
      <c r="A375" s="1" t="s">
        <v>641</v>
      </c>
      <c r="B375" s="2">
        <v>44808</v>
      </c>
      <c r="C375" s="1" t="s">
        <v>391</v>
      </c>
      <c r="D375" s="1" t="s">
        <v>40</v>
      </c>
      <c r="E375">
        <v>3</v>
      </c>
      <c r="F375" s="4">
        <v>519.16</v>
      </c>
      <c r="G375" s="3">
        <v>0.1</v>
      </c>
      <c r="H375" s="4">
        <v>32.61</v>
      </c>
      <c r="I375" t="str">
        <f>VLOOKUP(orders__17[[#This Row],[Customer_ID]],customers__2[#All],3,0)</f>
        <v>West</v>
      </c>
      <c r="J375" t="str">
        <f>VLOOKUP(orders__17[[#This Row],[Customer_ID]],customers__2[#All],4,0)</f>
        <v>Corporate</v>
      </c>
      <c r="K375" t="str">
        <f>VLOOKUP(orders__17[[#This Row],[Product_ID]],products[#All],3,0)</f>
        <v>Office Supplies</v>
      </c>
      <c r="L375" s="1" t="str">
        <f>VLOOKUP(orders__17[[#This Row],[Product_ID]],products[#All],4,0)</f>
        <v>Storage</v>
      </c>
      <c r="M375" s="1" t="str">
        <f>VLOOKUP(orders__17[[#This Row],[Order_ID]],returns[#All],2,0)</f>
        <v>No</v>
      </c>
    </row>
    <row r="376" spans="1:13" x14ac:dyDescent="0.3">
      <c r="A376" s="1" t="s">
        <v>642</v>
      </c>
      <c r="B376" s="2">
        <v>44581</v>
      </c>
      <c r="C376" s="1" t="s">
        <v>39</v>
      </c>
      <c r="D376" s="1" t="s">
        <v>10</v>
      </c>
      <c r="E376">
        <v>1</v>
      </c>
      <c r="F376" s="4">
        <v>1236.6300000000001</v>
      </c>
      <c r="G376" s="3">
        <v>0.1</v>
      </c>
      <c r="H376" s="4">
        <v>186.07</v>
      </c>
      <c r="I376" t="str">
        <f>VLOOKUP(orders__17[[#This Row],[Customer_ID]],customers__2[#All],3,0)</f>
        <v>West</v>
      </c>
      <c r="J376" t="str">
        <f>VLOOKUP(orders__17[[#This Row],[Customer_ID]],customers__2[#All],4,0)</f>
        <v>Consumer</v>
      </c>
      <c r="K376" t="str">
        <f>VLOOKUP(orders__17[[#This Row],[Product_ID]],products[#All],3,0)</f>
        <v>Technology</v>
      </c>
      <c r="L376" s="1" t="str">
        <f>VLOOKUP(orders__17[[#This Row],[Product_ID]],products[#All],4,0)</f>
        <v>Tablet</v>
      </c>
      <c r="M376" s="1" t="str">
        <f>VLOOKUP(orders__17[[#This Row],[Order_ID]],returns[#All],2,0)</f>
        <v>No</v>
      </c>
    </row>
    <row r="377" spans="1:13" x14ac:dyDescent="0.3">
      <c r="A377" s="1" t="s">
        <v>643</v>
      </c>
      <c r="B377" s="2">
        <v>45129</v>
      </c>
      <c r="C377" s="1" t="s">
        <v>290</v>
      </c>
      <c r="D377" s="1" t="s">
        <v>116</v>
      </c>
      <c r="E377">
        <v>3</v>
      </c>
      <c r="F377" s="4">
        <v>1497.76</v>
      </c>
      <c r="G377" s="3">
        <v>0.1</v>
      </c>
      <c r="H377" s="4">
        <v>327.17</v>
      </c>
      <c r="I377" t="str">
        <f>VLOOKUP(orders__17[[#This Row],[Customer_ID]],customers__2[#All],3,0)</f>
        <v>East</v>
      </c>
      <c r="J377" t="str">
        <f>VLOOKUP(orders__17[[#This Row],[Customer_ID]],customers__2[#All],4,0)</f>
        <v>Home Office</v>
      </c>
      <c r="K377" t="str">
        <f>VLOOKUP(orders__17[[#This Row],[Product_ID]],products[#All],3,0)</f>
        <v>Furniture</v>
      </c>
      <c r="L377" s="1" t="str">
        <f>VLOOKUP(orders__17[[#This Row],[Product_ID]],products[#All],4,0)</f>
        <v>Shelf</v>
      </c>
      <c r="M377" s="1" t="str">
        <f>VLOOKUP(orders__17[[#This Row],[Order_ID]],returns[#All],2,0)</f>
        <v>Yes</v>
      </c>
    </row>
    <row r="378" spans="1:13" x14ac:dyDescent="0.3">
      <c r="A378" s="1" t="s">
        <v>644</v>
      </c>
      <c r="B378" s="2">
        <v>44758</v>
      </c>
      <c r="C378" s="1" t="s">
        <v>412</v>
      </c>
      <c r="D378" s="1" t="s">
        <v>221</v>
      </c>
      <c r="E378">
        <v>4</v>
      </c>
      <c r="F378" s="4">
        <v>1996.86</v>
      </c>
      <c r="G378" s="3">
        <v>0.3</v>
      </c>
      <c r="H378" s="4">
        <v>324.66000000000003</v>
      </c>
      <c r="I378" t="str">
        <f>VLOOKUP(orders__17[[#This Row],[Customer_ID]],customers__2[#All],3,0)</f>
        <v>North</v>
      </c>
      <c r="J378" t="str">
        <f>VLOOKUP(orders__17[[#This Row],[Customer_ID]],customers__2[#All],4,0)</f>
        <v>Consumer</v>
      </c>
      <c r="K378" t="str">
        <f>VLOOKUP(orders__17[[#This Row],[Product_ID]],products[#All],3,0)</f>
        <v>Technology</v>
      </c>
      <c r="L378" s="1" t="str">
        <f>VLOOKUP(orders__17[[#This Row],[Product_ID]],products[#All],4,0)</f>
        <v>Laptop</v>
      </c>
      <c r="M378" s="1" t="str">
        <f>VLOOKUP(orders__17[[#This Row],[Order_ID]],returns[#All],2,0)</f>
        <v>No</v>
      </c>
    </row>
    <row r="379" spans="1:13" x14ac:dyDescent="0.3">
      <c r="A379" s="1" t="s">
        <v>645</v>
      </c>
      <c r="B379" s="2">
        <v>45015</v>
      </c>
      <c r="C379" s="1" t="s">
        <v>30</v>
      </c>
      <c r="D379" s="1" t="s">
        <v>392</v>
      </c>
      <c r="E379">
        <v>2</v>
      </c>
      <c r="F379" s="4">
        <v>1872.92</v>
      </c>
      <c r="G379" s="3">
        <v>0.2</v>
      </c>
      <c r="H379" s="4">
        <v>444.33</v>
      </c>
      <c r="I379" t="str">
        <f>VLOOKUP(orders__17[[#This Row],[Customer_ID]],customers__2[#All],3,0)</f>
        <v>South</v>
      </c>
      <c r="J379" t="str">
        <f>VLOOKUP(orders__17[[#This Row],[Customer_ID]],customers__2[#All],4,0)</f>
        <v>Home Office</v>
      </c>
      <c r="K379" t="str">
        <f>VLOOKUP(orders__17[[#This Row],[Product_ID]],products[#All],3,0)</f>
        <v>Furniture</v>
      </c>
      <c r="L379" s="1" t="str">
        <f>VLOOKUP(orders__17[[#This Row],[Product_ID]],products[#All],4,0)</f>
        <v>Desk</v>
      </c>
      <c r="M379" s="1" t="str">
        <f>VLOOKUP(orders__17[[#This Row],[Order_ID]],returns[#All],2,0)</f>
        <v>No</v>
      </c>
    </row>
    <row r="380" spans="1:13" x14ac:dyDescent="0.3">
      <c r="A380" s="1" t="s">
        <v>646</v>
      </c>
      <c r="B380" s="2">
        <v>45232</v>
      </c>
      <c r="C380" s="1" t="s">
        <v>647</v>
      </c>
      <c r="D380" s="1" t="s">
        <v>156</v>
      </c>
      <c r="E380">
        <v>2</v>
      </c>
      <c r="F380" s="4">
        <v>1320.87</v>
      </c>
      <c r="G380" s="3">
        <v>0.1</v>
      </c>
      <c r="H380" s="4">
        <v>183.93</v>
      </c>
      <c r="I380" t="str">
        <f>VLOOKUP(orders__17[[#This Row],[Customer_ID]],customers__2[#All],3,0)</f>
        <v>South</v>
      </c>
      <c r="J380" t="str">
        <f>VLOOKUP(orders__17[[#This Row],[Customer_ID]],customers__2[#All],4,0)</f>
        <v>Consumer</v>
      </c>
      <c r="K380" t="str">
        <f>VLOOKUP(orders__17[[#This Row],[Product_ID]],products[#All],3,0)</f>
        <v>Furniture</v>
      </c>
      <c r="L380" s="1" t="str">
        <f>VLOOKUP(orders__17[[#This Row],[Product_ID]],products[#All],4,0)</f>
        <v>Desk</v>
      </c>
      <c r="M380" s="1" t="str">
        <f>VLOOKUP(orders__17[[#This Row],[Order_ID]],returns[#All],2,0)</f>
        <v>No</v>
      </c>
    </row>
    <row r="381" spans="1:13" x14ac:dyDescent="0.3">
      <c r="A381" s="1" t="s">
        <v>648</v>
      </c>
      <c r="B381" s="2">
        <v>45003</v>
      </c>
      <c r="C381" s="1" t="s">
        <v>491</v>
      </c>
      <c r="D381" s="1" t="s">
        <v>502</v>
      </c>
      <c r="E381">
        <v>5</v>
      </c>
      <c r="F381" s="4">
        <v>900.37</v>
      </c>
      <c r="G381" s="3">
        <v>0</v>
      </c>
      <c r="H381" s="4">
        <v>187.89</v>
      </c>
      <c r="I381" t="str">
        <f>VLOOKUP(orders__17[[#This Row],[Customer_ID]],customers__2[#All],3,0)</f>
        <v>West</v>
      </c>
      <c r="J381" t="str">
        <f>VLOOKUP(orders__17[[#This Row],[Customer_ID]],customers__2[#All],4,0)</f>
        <v>Corporate</v>
      </c>
      <c r="K381" t="str">
        <f>VLOOKUP(orders__17[[#This Row],[Product_ID]],products[#All],3,0)</f>
        <v>Furniture</v>
      </c>
      <c r="L381" s="1" t="str">
        <f>VLOOKUP(orders__17[[#This Row],[Product_ID]],products[#All],4,0)</f>
        <v>Shelf</v>
      </c>
      <c r="M381" s="1" t="str">
        <f>VLOOKUP(orders__17[[#This Row],[Order_ID]],returns[#All],2,0)</f>
        <v>No</v>
      </c>
    </row>
    <row r="382" spans="1:13" x14ac:dyDescent="0.3">
      <c r="A382" s="1" t="s">
        <v>649</v>
      </c>
      <c r="B382" s="2">
        <v>45283</v>
      </c>
      <c r="C382" s="1" t="s">
        <v>332</v>
      </c>
      <c r="D382" s="1" t="s">
        <v>400</v>
      </c>
      <c r="E382">
        <v>2</v>
      </c>
      <c r="F382" s="4">
        <v>1308.74</v>
      </c>
      <c r="G382" s="3">
        <v>0</v>
      </c>
      <c r="H382" s="4">
        <v>126.43</v>
      </c>
      <c r="I382" t="str">
        <f>VLOOKUP(orders__17[[#This Row],[Customer_ID]],customers__2[#All],3,0)</f>
        <v>North</v>
      </c>
      <c r="J382" t="str">
        <f>VLOOKUP(orders__17[[#This Row],[Customer_ID]],customers__2[#All],4,0)</f>
        <v>Home Office</v>
      </c>
      <c r="K382" t="str">
        <f>VLOOKUP(orders__17[[#This Row],[Product_ID]],products[#All],3,0)</f>
        <v>Office Supplies</v>
      </c>
      <c r="L382" s="1" t="str">
        <f>VLOOKUP(orders__17[[#This Row],[Product_ID]],products[#All],4,0)</f>
        <v>Paper</v>
      </c>
      <c r="M382" s="1" t="str">
        <f>VLOOKUP(orders__17[[#This Row],[Order_ID]],returns[#All],2,0)</f>
        <v>No</v>
      </c>
    </row>
    <row r="383" spans="1:13" x14ac:dyDescent="0.3">
      <c r="A383" s="1" t="s">
        <v>650</v>
      </c>
      <c r="B383" s="2">
        <v>45235</v>
      </c>
      <c r="C383" s="1" t="s">
        <v>579</v>
      </c>
      <c r="D383" s="1" t="s">
        <v>34</v>
      </c>
      <c r="E383">
        <v>5</v>
      </c>
      <c r="F383" s="4">
        <v>1592.74</v>
      </c>
      <c r="G383" s="3">
        <v>0.3</v>
      </c>
      <c r="H383" s="4">
        <v>378.02</v>
      </c>
      <c r="I383" t="str">
        <f>VLOOKUP(orders__17[[#This Row],[Customer_ID]],customers__2[#All],3,0)</f>
        <v>West</v>
      </c>
      <c r="J383" t="str">
        <f>VLOOKUP(orders__17[[#This Row],[Customer_ID]],customers__2[#All],4,0)</f>
        <v>Corporate</v>
      </c>
      <c r="K383" t="str">
        <f>VLOOKUP(orders__17[[#This Row],[Product_ID]],products[#All],3,0)</f>
        <v>Furniture</v>
      </c>
      <c r="L383" s="1" t="str">
        <f>VLOOKUP(orders__17[[#This Row],[Product_ID]],products[#All],4,0)</f>
        <v>Table</v>
      </c>
      <c r="M383" s="1" t="str">
        <f>VLOOKUP(orders__17[[#This Row],[Order_ID]],returns[#All],2,0)</f>
        <v>No</v>
      </c>
    </row>
    <row r="384" spans="1:13" x14ac:dyDescent="0.3">
      <c r="A384" s="1" t="s">
        <v>651</v>
      </c>
      <c r="B384" s="2">
        <v>44772</v>
      </c>
      <c r="C384" s="1" t="s">
        <v>449</v>
      </c>
      <c r="D384" s="1" t="s">
        <v>83</v>
      </c>
      <c r="E384">
        <v>1</v>
      </c>
      <c r="F384" s="4">
        <v>324.83999999999997</v>
      </c>
      <c r="G384" s="3">
        <v>0</v>
      </c>
      <c r="H384" s="4">
        <v>60.56</v>
      </c>
      <c r="I384" t="str">
        <f>VLOOKUP(orders__17[[#This Row],[Customer_ID]],customers__2[#All],3,0)</f>
        <v>North</v>
      </c>
      <c r="J384" t="str">
        <f>VLOOKUP(orders__17[[#This Row],[Customer_ID]],customers__2[#All],4,0)</f>
        <v>Consumer</v>
      </c>
      <c r="K384" t="str">
        <f>VLOOKUP(orders__17[[#This Row],[Product_ID]],products[#All],3,0)</f>
        <v>Furniture</v>
      </c>
      <c r="L384" s="1" t="str">
        <f>VLOOKUP(orders__17[[#This Row],[Product_ID]],products[#All],4,0)</f>
        <v>Table</v>
      </c>
      <c r="M384" s="1" t="str">
        <f>VLOOKUP(orders__17[[#This Row],[Order_ID]],returns[#All],2,0)</f>
        <v>No</v>
      </c>
    </row>
    <row r="385" spans="1:13" x14ac:dyDescent="0.3">
      <c r="A385" s="1" t="s">
        <v>652</v>
      </c>
      <c r="B385" s="2">
        <v>45266</v>
      </c>
      <c r="C385" s="1" t="s">
        <v>384</v>
      </c>
      <c r="D385" s="1" t="s">
        <v>92</v>
      </c>
      <c r="E385">
        <v>4</v>
      </c>
      <c r="F385" s="4">
        <v>878.82</v>
      </c>
      <c r="G385" s="3">
        <v>0.1</v>
      </c>
      <c r="H385" s="4">
        <v>88.77</v>
      </c>
      <c r="I385" t="str">
        <f>VLOOKUP(orders__17[[#This Row],[Customer_ID]],customers__2[#All],3,0)</f>
        <v>East</v>
      </c>
      <c r="J385" t="str">
        <f>VLOOKUP(orders__17[[#This Row],[Customer_ID]],customers__2[#All],4,0)</f>
        <v>Corporate</v>
      </c>
      <c r="K385" t="str">
        <f>VLOOKUP(orders__17[[#This Row],[Product_ID]],products[#All],3,0)</f>
        <v>Furniture</v>
      </c>
      <c r="L385" s="1" t="str">
        <f>VLOOKUP(orders__17[[#This Row],[Product_ID]],products[#All],4,0)</f>
        <v>Shelf</v>
      </c>
      <c r="M385" s="1" t="str">
        <f>VLOOKUP(orders__17[[#This Row],[Order_ID]],returns[#All],2,0)</f>
        <v>No</v>
      </c>
    </row>
    <row r="386" spans="1:13" x14ac:dyDescent="0.3">
      <c r="A386" s="1" t="s">
        <v>653</v>
      </c>
      <c r="B386" s="2">
        <v>45366</v>
      </c>
      <c r="C386" s="1" t="s">
        <v>473</v>
      </c>
      <c r="D386" s="1" t="s">
        <v>392</v>
      </c>
      <c r="E386">
        <v>5</v>
      </c>
      <c r="F386" s="4">
        <v>1695.62</v>
      </c>
      <c r="G386" s="3">
        <v>0</v>
      </c>
      <c r="H386" s="4">
        <v>208.52</v>
      </c>
      <c r="I386" t="str">
        <f>VLOOKUP(orders__17[[#This Row],[Customer_ID]],customers__2[#All],3,0)</f>
        <v>North</v>
      </c>
      <c r="J386" t="str">
        <f>VLOOKUP(orders__17[[#This Row],[Customer_ID]],customers__2[#All],4,0)</f>
        <v>Corporate</v>
      </c>
      <c r="K386" t="str">
        <f>VLOOKUP(orders__17[[#This Row],[Product_ID]],products[#All],3,0)</f>
        <v>Furniture</v>
      </c>
      <c r="L386" s="1" t="str">
        <f>VLOOKUP(orders__17[[#This Row],[Product_ID]],products[#All],4,0)</f>
        <v>Desk</v>
      </c>
      <c r="M386" s="1" t="str">
        <f>VLOOKUP(orders__17[[#This Row],[Order_ID]],returns[#All],2,0)</f>
        <v>No</v>
      </c>
    </row>
    <row r="387" spans="1:13" x14ac:dyDescent="0.3">
      <c r="A387" s="1" t="s">
        <v>654</v>
      </c>
      <c r="B387" s="2">
        <v>45133</v>
      </c>
      <c r="C387" s="1" t="s">
        <v>439</v>
      </c>
      <c r="D387" s="1" t="s">
        <v>209</v>
      </c>
      <c r="E387">
        <v>1</v>
      </c>
      <c r="F387" s="4">
        <v>829.28</v>
      </c>
      <c r="G387" s="3">
        <v>0.1</v>
      </c>
      <c r="H387" s="4">
        <v>196.67</v>
      </c>
      <c r="I387" t="str">
        <f>VLOOKUP(orders__17[[#This Row],[Customer_ID]],customers__2[#All],3,0)</f>
        <v>West</v>
      </c>
      <c r="J387" t="str">
        <f>VLOOKUP(orders__17[[#This Row],[Customer_ID]],customers__2[#All],4,0)</f>
        <v>Corporate</v>
      </c>
      <c r="K387" t="str">
        <f>VLOOKUP(orders__17[[#This Row],[Product_ID]],products[#All],3,0)</f>
        <v>Office Supplies</v>
      </c>
      <c r="L387" s="1" t="str">
        <f>VLOOKUP(orders__17[[#This Row],[Product_ID]],products[#All],4,0)</f>
        <v>Paper</v>
      </c>
      <c r="M387" s="1" t="str">
        <f>VLOOKUP(orders__17[[#This Row],[Order_ID]],returns[#All],2,0)</f>
        <v>No</v>
      </c>
    </row>
    <row r="388" spans="1:13" x14ac:dyDescent="0.3">
      <c r="A388" s="1" t="s">
        <v>655</v>
      </c>
      <c r="B388" s="2">
        <v>44785</v>
      </c>
      <c r="C388" s="1" t="s">
        <v>15</v>
      </c>
      <c r="D388" s="1" t="s">
        <v>188</v>
      </c>
      <c r="E388">
        <v>2</v>
      </c>
      <c r="F388" s="4">
        <v>1186.56</v>
      </c>
      <c r="G388" s="3">
        <v>0</v>
      </c>
      <c r="H388" s="4">
        <v>202.49</v>
      </c>
      <c r="I388" t="str">
        <f>VLOOKUP(orders__17[[#This Row],[Customer_ID]],customers__2[#All],3,0)</f>
        <v>West</v>
      </c>
      <c r="J388" t="str">
        <f>VLOOKUP(orders__17[[#This Row],[Customer_ID]],customers__2[#All],4,0)</f>
        <v>Corporate</v>
      </c>
      <c r="K388" t="str">
        <f>VLOOKUP(orders__17[[#This Row],[Product_ID]],products[#All],3,0)</f>
        <v>Technology</v>
      </c>
      <c r="L388" s="1" t="str">
        <f>VLOOKUP(orders__17[[#This Row],[Product_ID]],products[#All],4,0)</f>
        <v>Laptop</v>
      </c>
      <c r="M388" s="1" t="str">
        <f>VLOOKUP(orders__17[[#This Row],[Order_ID]],returns[#All],2,0)</f>
        <v>No</v>
      </c>
    </row>
    <row r="389" spans="1:13" x14ac:dyDescent="0.3">
      <c r="A389" s="1" t="s">
        <v>656</v>
      </c>
      <c r="B389" s="2">
        <v>45264</v>
      </c>
      <c r="C389" s="1" t="s">
        <v>657</v>
      </c>
      <c r="D389" s="1" t="s">
        <v>141</v>
      </c>
      <c r="E389">
        <v>2</v>
      </c>
      <c r="F389" s="4">
        <v>1216.76</v>
      </c>
      <c r="G389" s="3">
        <v>0.2</v>
      </c>
      <c r="H389" s="4">
        <v>126.55</v>
      </c>
      <c r="I389" t="str">
        <f>VLOOKUP(orders__17[[#This Row],[Customer_ID]],customers__2[#All],3,0)</f>
        <v>East</v>
      </c>
      <c r="J389" t="str">
        <f>VLOOKUP(orders__17[[#This Row],[Customer_ID]],customers__2[#All],4,0)</f>
        <v>Corporate</v>
      </c>
      <c r="K389" t="str">
        <f>VLOOKUP(orders__17[[#This Row],[Product_ID]],products[#All],3,0)</f>
        <v>Technology</v>
      </c>
      <c r="L389" s="1" t="str">
        <f>VLOOKUP(orders__17[[#This Row],[Product_ID]],products[#All],4,0)</f>
        <v>Phone</v>
      </c>
      <c r="M389" s="1" t="str">
        <f>VLOOKUP(orders__17[[#This Row],[Order_ID]],returns[#All],2,0)</f>
        <v>Yes</v>
      </c>
    </row>
    <row r="390" spans="1:13" x14ac:dyDescent="0.3">
      <c r="A390" s="1" t="s">
        <v>658</v>
      </c>
      <c r="B390" s="2">
        <v>45066</v>
      </c>
      <c r="C390" s="1" t="s">
        <v>213</v>
      </c>
      <c r="D390" s="1" t="s">
        <v>275</v>
      </c>
      <c r="E390">
        <v>1</v>
      </c>
      <c r="F390" s="4">
        <v>450.5</v>
      </c>
      <c r="G390" s="3">
        <v>0.3</v>
      </c>
      <c r="H390" s="4">
        <v>131.46</v>
      </c>
      <c r="I390" t="str">
        <f>VLOOKUP(orders__17[[#This Row],[Customer_ID]],customers__2[#All],3,0)</f>
        <v>East</v>
      </c>
      <c r="J390" t="str">
        <f>VLOOKUP(orders__17[[#This Row],[Customer_ID]],customers__2[#All],4,0)</f>
        <v>Corporate</v>
      </c>
      <c r="K390" t="str">
        <f>VLOOKUP(orders__17[[#This Row],[Product_ID]],products[#All],3,0)</f>
        <v>Furniture</v>
      </c>
      <c r="L390" s="1" t="str">
        <f>VLOOKUP(orders__17[[#This Row],[Product_ID]],products[#All],4,0)</f>
        <v>Table</v>
      </c>
      <c r="M390" s="1" t="str">
        <f>VLOOKUP(orders__17[[#This Row],[Order_ID]],returns[#All],2,0)</f>
        <v>No</v>
      </c>
    </row>
    <row r="391" spans="1:13" x14ac:dyDescent="0.3">
      <c r="A391" s="1" t="s">
        <v>659</v>
      </c>
      <c r="B391" s="2">
        <v>44581</v>
      </c>
      <c r="C391" s="1" t="s">
        <v>124</v>
      </c>
      <c r="D391" s="1" t="s">
        <v>660</v>
      </c>
      <c r="E391">
        <v>2</v>
      </c>
      <c r="F391" s="4">
        <v>788.25</v>
      </c>
      <c r="G391" s="3">
        <v>0.3</v>
      </c>
      <c r="H391" s="4">
        <v>180.34</v>
      </c>
      <c r="I391" t="str">
        <f>VLOOKUP(orders__17[[#This Row],[Customer_ID]],customers__2[#All],3,0)</f>
        <v>North</v>
      </c>
      <c r="J391" t="str">
        <f>VLOOKUP(orders__17[[#This Row],[Customer_ID]],customers__2[#All],4,0)</f>
        <v>Consumer</v>
      </c>
      <c r="K391" t="str">
        <f>VLOOKUP(orders__17[[#This Row],[Product_ID]],products[#All],3,0)</f>
        <v>Office Supplies</v>
      </c>
      <c r="L391" s="1" t="str">
        <f>VLOOKUP(orders__17[[#This Row],[Product_ID]],products[#All],4,0)</f>
        <v>Storage</v>
      </c>
      <c r="M391" s="1" t="str">
        <f>VLOOKUP(orders__17[[#This Row],[Order_ID]],returns[#All],2,0)</f>
        <v>No</v>
      </c>
    </row>
    <row r="392" spans="1:13" x14ac:dyDescent="0.3">
      <c r="A392" s="1" t="s">
        <v>661</v>
      </c>
      <c r="B392" s="2">
        <v>44842</v>
      </c>
      <c r="C392" s="1" t="s">
        <v>662</v>
      </c>
      <c r="D392" s="1" t="s">
        <v>130</v>
      </c>
      <c r="E392">
        <v>1</v>
      </c>
      <c r="F392" s="4">
        <v>735.57</v>
      </c>
      <c r="G392" s="3">
        <v>0.2</v>
      </c>
      <c r="H392" s="4">
        <v>212.79</v>
      </c>
      <c r="I392" t="str">
        <f>VLOOKUP(orders__17[[#This Row],[Customer_ID]],customers__2[#All],3,0)</f>
        <v>North</v>
      </c>
      <c r="J392" t="str">
        <f>VLOOKUP(orders__17[[#This Row],[Customer_ID]],customers__2[#All],4,0)</f>
        <v>Corporate</v>
      </c>
      <c r="K392" t="str">
        <f>VLOOKUP(orders__17[[#This Row],[Product_ID]],products[#All],3,0)</f>
        <v>Furniture</v>
      </c>
      <c r="L392" s="1" t="str">
        <f>VLOOKUP(orders__17[[#This Row],[Product_ID]],products[#All],4,0)</f>
        <v>Desk</v>
      </c>
      <c r="M392" s="1" t="str">
        <f>VLOOKUP(orders__17[[#This Row],[Order_ID]],returns[#All],2,0)</f>
        <v>No</v>
      </c>
    </row>
    <row r="393" spans="1:13" x14ac:dyDescent="0.3">
      <c r="A393" s="1" t="s">
        <v>663</v>
      </c>
      <c r="B393" s="2">
        <v>44630</v>
      </c>
      <c r="C393" s="1" t="s">
        <v>18</v>
      </c>
      <c r="D393" s="1" t="s">
        <v>177</v>
      </c>
      <c r="E393">
        <v>5</v>
      </c>
      <c r="F393" s="4">
        <v>149.77000000000001</v>
      </c>
      <c r="G393" s="3">
        <v>0.2</v>
      </c>
      <c r="H393" s="4">
        <v>23.48</v>
      </c>
      <c r="I393" t="str">
        <f>VLOOKUP(orders__17[[#This Row],[Customer_ID]],customers__2[#All],3,0)</f>
        <v>North</v>
      </c>
      <c r="J393" t="str">
        <f>VLOOKUP(orders__17[[#This Row],[Customer_ID]],customers__2[#All],4,0)</f>
        <v>Home Office</v>
      </c>
      <c r="K393" t="str">
        <f>VLOOKUP(orders__17[[#This Row],[Product_ID]],products[#All],3,0)</f>
        <v>Furniture</v>
      </c>
      <c r="L393" s="1" t="str">
        <f>VLOOKUP(orders__17[[#This Row],[Product_ID]],products[#All],4,0)</f>
        <v>Table</v>
      </c>
      <c r="M393" s="1" t="str">
        <f>VLOOKUP(orders__17[[#This Row],[Order_ID]],returns[#All],2,0)</f>
        <v>No</v>
      </c>
    </row>
    <row r="394" spans="1:13" x14ac:dyDescent="0.3">
      <c r="A394" s="1" t="s">
        <v>664</v>
      </c>
      <c r="B394" s="2">
        <v>44890</v>
      </c>
      <c r="C394" s="1" t="s">
        <v>313</v>
      </c>
      <c r="D394" s="1" t="s">
        <v>451</v>
      </c>
      <c r="E394">
        <v>5</v>
      </c>
      <c r="F394" s="4">
        <v>145.96</v>
      </c>
      <c r="G394" s="3">
        <v>0.3</v>
      </c>
      <c r="H394" s="4">
        <v>24.63</v>
      </c>
      <c r="I394" t="str">
        <f>VLOOKUP(orders__17[[#This Row],[Customer_ID]],customers__2[#All],3,0)</f>
        <v>West</v>
      </c>
      <c r="J394" t="str">
        <f>VLOOKUP(orders__17[[#This Row],[Customer_ID]],customers__2[#All],4,0)</f>
        <v>Home Office</v>
      </c>
      <c r="K394" t="str">
        <f>VLOOKUP(orders__17[[#This Row],[Product_ID]],products[#All],3,0)</f>
        <v>Technology</v>
      </c>
      <c r="L394" s="1" t="str">
        <f>VLOOKUP(orders__17[[#This Row],[Product_ID]],products[#All],4,0)</f>
        <v>Laptop</v>
      </c>
      <c r="M394" s="1" t="str">
        <f>VLOOKUP(orders__17[[#This Row],[Order_ID]],returns[#All],2,0)</f>
        <v>Yes</v>
      </c>
    </row>
    <row r="395" spans="1:13" x14ac:dyDescent="0.3">
      <c r="A395" s="1" t="s">
        <v>665</v>
      </c>
      <c r="B395" s="2">
        <v>44676</v>
      </c>
      <c r="C395" s="1" t="s">
        <v>313</v>
      </c>
      <c r="D395" s="1" t="s">
        <v>180</v>
      </c>
      <c r="E395">
        <v>1</v>
      </c>
      <c r="F395" s="4">
        <v>1680.22</v>
      </c>
      <c r="G395" s="3">
        <v>0.2</v>
      </c>
      <c r="H395" s="4">
        <v>461.2</v>
      </c>
      <c r="I395" t="str">
        <f>VLOOKUP(orders__17[[#This Row],[Customer_ID]],customers__2[#All],3,0)</f>
        <v>West</v>
      </c>
      <c r="J395" t="str">
        <f>VLOOKUP(orders__17[[#This Row],[Customer_ID]],customers__2[#All],4,0)</f>
        <v>Home Office</v>
      </c>
      <c r="K395" t="str">
        <f>VLOOKUP(orders__17[[#This Row],[Product_ID]],products[#All],3,0)</f>
        <v>Furniture</v>
      </c>
      <c r="L395" s="1" t="str">
        <f>VLOOKUP(orders__17[[#This Row],[Product_ID]],products[#All],4,0)</f>
        <v>Chair</v>
      </c>
      <c r="M395" s="1" t="str">
        <f>VLOOKUP(orders__17[[#This Row],[Order_ID]],returns[#All],2,0)</f>
        <v>No</v>
      </c>
    </row>
    <row r="396" spans="1:13" x14ac:dyDescent="0.3">
      <c r="A396" s="1" t="s">
        <v>666</v>
      </c>
      <c r="B396" s="2">
        <v>44903</v>
      </c>
      <c r="C396" s="1" t="s">
        <v>88</v>
      </c>
      <c r="D396" s="1" t="s">
        <v>100</v>
      </c>
      <c r="E396">
        <v>5</v>
      </c>
      <c r="F396" s="4">
        <v>618.83000000000004</v>
      </c>
      <c r="G396" s="3">
        <v>0.1</v>
      </c>
      <c r="H396" s="4">
        <v>112.17</v>
      </c>
      <c r="I396" t="str">
        <f>VLOOKUP(orders__17[[#This Row],[Customer_ID]],customers__2[#All],3,0)</f>
        <v>West</v>
      </c>
      <c r="J396" t="str">
        <f>VLOOKUP(orders__17[[#This Row],[Customer_ID]],customers__2[#All],4,0)</f>
        <v>Corporate</v>
      </c>
      <c r="K396" t="str">
        <f>VLOOKUP(orders__17[[#This Row],[Product_ID]],products[#All],3,0)</f>
        <v>Technology</v>
      </c>
      <c r="L396" s="1" t="str">
        <f>VLOOKUP(orders__17[[#This Row],[Product_ID]],products[#All],4,0)</f>
        <v>Laptop</v>
      </c>
      <c r="M396" s="1" t="str">
        <f>VLOOKUP(orders__17[[#This Row],[Order_ID]],returns[#All],2,0)</f>
        <v>Yes</v>
      </c>
    </row>
    <row r="397" spans="1:13" x14ac:dyDescent="0.3">
      <c r="A397" s="1" t="s">
        <v>667</v>
      </c>
      <c r="B397" s="2">
        <v>45231</v>
      </c>
      <c r="C397" s="1" t="s">
        <v>529</v>
      </c>
      <c r="D397" s="1" t="s">
        <v>40</v>
      </c>
      <c r="E397">
        <v>5</v>
      </c>
      <c r="F397" s="4">
        <v>1084.3499999999999</v>
      </c>
      <c r="G397" s="3">
        <v>0</v>
      </c>
      <c r="H397" s="4">
        <v>245.95</v>
      </c>
      <c r="I397" t="str">
        <f>VLOOKUP(orders__17[[#This Row],[Customer_ID]],customers__2[#All],3,0)</f>
        <v>South</v>
      </c>
      <c r="J397" t="str">
        <f>VLOOKUP(orders__17[[#This Row],[Customer_ID]],customers__2[#All],4,0)</f>
        <v>Corporate</v>
      </c>
      <c r="K397" t="str">
        <f>VLOOKUP(orders__17[[#This Row],[Product_ID]],products[#All],3,0)</f>
        <v>Office Supplies</v>
      </c>
      <c r="L397" s="1" t="str">
        <f>VLOOKUP(orders__17[[#This Row],[Product_ID]],products[#All],4,0)</f>
        <v>Storage</v>
      </c>
      <c r="M397" s="1" t="str">
        <f>VLOOKUP(orders__17[[#This Row],[Order_ID]],returns[#All],2,0)</f>
        <v>No</v>
      </c>
    </row>
    <row r="398" spans="1:13" x14ac:dyDescent="0.3">
      <c r="A398" s="1" t="s">
        <v>668</v>
      </c>
      <c r="B398" s="2">
        <v>44826</v>
      </c>
      <c r="C398" s="1" t="s">
        <v>579</v>
      </c>
      <c r="D398" s="1" t="s">
        <v>669</v>
      </c>
      <c r="E398">
        <v>5</v>
      </c>
      <c r="F398" s="4">
        <v>667.58</v>
      </c>
      <c r="G398" s="3">
        <v>0.3</v>
      </c>
      <c r="H398" s="4">
        <v>75.47</v>
      </c>
      <c r="I398" t="str">
        <f>VLOOKUP(orders__17[[#This Row],[Customer_ID]],customers__2[#All],3,0)</f>
        <v>West</v>
      </c>
      <c r="J398" t="str">
        <f>VLOOKUP(orders__17[[#This Row],[Customer_ID]],customers__2[#All],4,0)</f>
        <v>Corporate</v>
      </c>
      <c r="K398" t="str">
        <f>VLOOKUP(orders__17[[#This Row],[Product_ID]],products[#All],3,0)</f>
        <v>Office Supplies</v>
      </c>
      <c r="L398" s="1" t="str">
        <f>VLOOKUP(orders__17[[#This Row],[Product_ID]],products[#All],4,0)</f>
        <v>Pen</v>
      </c>
      <c r="M398" s="1" t="str">
        <f>VLOOKUP(orders__17[[#This Row],[Order_ID]],returns[#All],2,0)</f>
        <v>No</v>
      </c>
    </row>
    <row r="399" spans="1:13" x14ac:dyDescent="0.3">
      <c r="A399" s="1" t="s">
        <v>670</v>
      </c>
      <c r="B399" s="2">
        <v>45287</v>
      </c>
      <c r="C399" s="1" t="s">
        <v>671</v>
      </c>
      <c r="D399" s="1" t="s">
        <v>296</v>
      </c>
      <c r="E399">
        <v>3</v>
      </c>
      <c r="F399" s="4">
        <v>1887.29</v>
      </c>
      <c r="G399" s="3">
        <v>0.2</v>
      </c>
      <c r="H399" s="4">
        <v>305.14</v>
      </c>
      <c r="I399" t="str">
        <f>VLOOKUP(orders__17[[#This Row],[Customer_ID]],customers__2[#All],3,0)</f>
        <v>North</v>
      </c>
      <c r="J399" t="str">
        <f>VLOOKUP(orders__17[[#This Row],[Customer_ID]],customers__2[#All],4,0)</f>
        <v>Corporate</v>
      </c>
      <c r="K399" t="str">
        <f>VLOOKUP(orders__17[[#This Row],[Product_ID]],products[#All],3,0)</f>
        <v>Technology</v>
      </c>
      <c r="L399" s="1" t="str">
        <f>VLOOKUP(orders__17[[#This Row],[Product_ID]],products[#All],4,0)</f>
        <v>Accessories</v>
      </c>
      <c r="M399" s="1" t="str">
        <f>VLOOKUP(orders__17[[#This Row],[Order_ID]],returns[#All],2,0)</f>
        <v>No</v>
      </c>
    </row>
    <row r="400" spans="1:13" x14ac:dyDescent="0.3">
      <c r="A400" s="1" t="s">
        <v>672</v>
      </c>
      <c r="B400" s="2">
        <v>44729</v>
      </c>
      <c r="C400" s="1" t="s">
        <v>673</v>
      </c>
      <c r="D400" s="1" t="s">
        <v>177</v>
      </c>
      <c r="E400">
        <v>4</v>
      </c>
      <c r="F400" s="4">
        <v>592.66</v>
      </c>
      <c r="G400" s="3">
        <v>0.1</v>
      </c>
      <c r="H400" s="4">
        <v>47.92</v>
      </c>
      <c r="I400" t="str">
        <f>VLOOKUP(orders__17[[#This Row],[Customer_ID]],customers__2[#All],3,0)</f>
        <v>West</v>
      </c>
      <c r="J400" t="str">
        <f>VLOOKUP(orders__17[[#This Row],[Customer_ID]],customers__2[#All],4,0)</f>
        <v>Consumer</v>
      </c>
      <c r="K400" t="str">
        <f>VLOOKUP(orders__17[[#This Row],[Product_ID]],products[#All],3,0)</f>
        <v>Furniture</v>
      </c>
      <c r="L400" s="1" t="str">
        <f>VLOOKUP(orders__17[[#This Row],[Product_ID]],products[#All],4,0)</f>
        <v>Table</v>
      </c>
      <c r="M400" s="1" t="str">
        <f>VLOOKUP(orders__17[[#This Row],[Order_ID]],returns[#All],2,0)</f>
        <v>No</v>
      </c>
    </row>
    <row r="401" spans="1:13" x14ac:dyDescent="0.3">
      <c r="A401" s="1" t="s">
        <v>674</v>
      </c>
      <c r="B401" s="2">
        <v>45262</v>
      </c>
      <c r="C401" s="1" t="s">
        <v>328</v>
      </c>
      <c r="D401" s="1" t="s">
        <v>10</v>
      </c>
      <c r="E401">
        <v>2</v>
      </c>
      <c r="F401" s="4">
        <v>916.35</v>
      </c>
      <c r="G401" s="3">
        <v>0.3</v>
      </c>
      <c r="H401" s="4">
        <v>93</v>
      </c>
      <c r="I401" t="str">
        <f>VLOOKUP(orders__17[[#This Row],[Customer_ID]],customers__2[#All],3,0)</f>
        <v>South</v>
      </c>
      <c r="J401" t="str">
        <f>VLOOKUP(orders__17[[#This Row],[Customer_ID]],customers__2[#All],4,0)</f>
        <v>Corporate</v>
      </c>
      <c r="K401" t="str">
        <f>VLOOKUP(orders__17[[#This Row],[Product_ID]],products[#All],3,0)</f>
        <v>Technology</v>
      </c>
      <c r="L401" s="1" t="str">
        <f>VLOOKUP(orders__17[[#This Row],[Product_ID]],products[#All],4,0)</f>
        <v>Tablet</v>
      </c>
      <c r="M401" s="1" t="str">
        <f>VLOOKUP(orders__17[[#This Row],[Order_ID]],returns[#All],2,0)</f>
        <v>No</v>
      </c>
    </row>
    <row r="402" spans="1:13" x14ac:dyDescent="0.3">
      <c r="A402" s="1" t="s">
        <v>675</v>
      </c>
      <c r="B402" s="2">
        <v>45425</v>
      </c>
      <c r="C402" s="1" t="s">
        <v>244</v>
      </c>
      <c r="D402" s="1" t="s">
        <v>188</v>
      </c>
      <c r="E402">
        <v>3</v>
      </c>
      <c r="F402" s="4">
        <v>1758.19</v>
      </c>
      <c r="G402" s="3">
        <v>0.2</v>
      </c>
      <c r="H402" s="4">
        <v>88.32</v>
      </c>
      <c r="I402" t="str">
        <f>VLOOKUP(orders__17[[#This Row],[Customer_ID]],customers__2[#All],3,0)</f>
        <v>South</v>
      </c>
      <c r="J402" t="str">
        <f>VLOOKUP(orders__17[[#This Row],[Customer_ID]],customers__2[#All],4,0)</f>
        <v>Corporate</v>
      </c>
      <c r="K402" t="str">
        <f>VLOOKUP(orders__17[[#This Row],[Product_ID]],products[#All],3,0)</f>
        <v>Technology</v>
      </c>
      <c r="L402" s="1" t="str">
        <f>VLOOKUP(orders__17[[#This Row],[Product_ID]],products[#All],4,0)</f>
        <v>Laptop</v>
      </c>
      <c r="M402" s="1" t="str">
        <f>VLOOKUP(orders__17[[#This Row],[Order_ID]],returns[#All],2,0)</f>
        <v>No</v>
      </c>
    </row>
    <row r="403" spans="1:13" x14ac:dyDescent="0.3">
      <c r="A403" s="1" t="s">
        <v>676</v>
      </c>
      <c r="B403" s="2">
        <v>44882</v>
      </c>
      <c r="C403" s="1" t="s">
        <v>657</v>
      </c>
      <c r="D403" s="1" t="s">
        <v>22</v>
      </c>
      <c r="E403">
        <v>5</v>
      </c>
      <c r="F403" s="4">
        <v>1699.67</v>
      </c>
      <c r="G403" s="3">
        <v>0.3</v>
      </c>
      <c r="H403" s="4">
        <v>101.67</v>
      </c>
      <c r="I403" t="str">
        <f>VLOOKUP(orders__17[[#This Row],[Customer_ID]],customers__2[#All],3,0)</f>
        <v>East</v>
      </c>
      <c r="J403" t="str">
        <f>VLOOKUP(orders__17[[#This Row],[Customer_ID]],customers__2[#All],4,0)</f>
        <v>Corporate</v>
      </c>
      <c r="K403" t="str">
        <f>VLOOKUP(orders__17[[#This Row],[Product_ID]],products[#All],3,0)</f>
        <v>Furniture</v>
      </c>
      <c r="L403" s="1" t="str">
        <f>VLOOKUP(orders__17[[#This Row],[Product_ID]],products[#All],4,0)</f>
        <v>Chair</v>
      </c>
      <c r="M403" s="1" t="str">
        <f>VLOOKUP(orders__17[[#This Row],[Order_ID]],returns[#All],2,0)</f>
        <v>Yes</v>
      </c>
    </row>
    <row r="404" spans="1:13" x14ac:dyDescent="0.3">
      <c r="A404" s="1" t="s">
        <v>677</v>
      </c>
      <c r="B404" s="2">
        <v>44640</v>
      </c>
      <c r="C404" s="1" t="s">
        <v>678</v>
      </c>
      <c r="D404" s="1" t="s">
        <v>679</v>
      </c>
      <c r="E404">
        <v>1</v>
      </c>
      <c r="F404" s="4">
        <v>453.59</v>
      </c>
      <c r="G404" s="3">
        <v>0.2</v>
      </c>
      <c r="H404" s="4">
        <v>133.5</v>
      </c>
      <c r="I404" t="str">
        <f>VLOOKUP(orders__17[[#This Row],[Customer_ID]],customers__2[#All],3,0)</f>
        <v>West</v>
      </c>
      <c r="J404" t="str">
        <f>VLOOKUP(orders__17[[#This Row],[Customer_ID]],customers__2[#All],4,0)</f>
        <v>Consumer</v>
      </c>
      <c r="K404" t="str">
        <f>VLOOKUP(orders__17[[#This Row],[Product_ID]],products[#All],3,0)</f>
        <v>Office Supplies</v>
      </c>
      <c r="L404" s="1" t="str">
        <f>VLOOKUP(orders__17[[#This Row],[Product_ID]],products[#All],4,0)</f>
        <v>Paper</v>
      </c>
      <c r="M404" s="1" t="str">
        <f>VLOOKUP(orders__17[[#This Row],[Order_ID]],returns[#All],2,0)</f>
        <v>Yes</v>
      </c>
    </row>
    <row r="405" spans="1:13" x14ac:dyDescent="0.3">
      <c r="A405" s="1" t="s">
        <v>680</v>
      </c>
      <c r="B405" s="2">
        <v>44946</v>
      </c>
      <c r="C405" s="1" t="s">
        <v>468</v>
      </c>
      <c r="D405" s="1" t="s">
        <v>218</v>
      </c>
      <c r="E405">
        <v>5</v>
      </c>
      <c r="F405" s="4">
        <v>1625.02</v>
      </c>
      <c r="G405" s="3">
        <v>0.3</v>
      </c>
      <c r="H405" s="4">
        <v>179.71</v>
      </c>
      <c r="I405" t="str">
        <f>VLOOKUP(orders__17[[#This Row],[Customer_ID]],customers__2[#All],3,0)</f>
        <v>South</v>
      </c>
      <c r="J405" t="str">
        <f>VLOOKUP(orders__17[[#This Row],[Customer_ID]],customers__2[#All],4,0)</f>
        <v>Consumer</v>
      </c>
      <c r="K405" t="str">
        <f>VLOOKUP(orders__17[[#This Row],[Product_ID]],products[#All],3,0)</f>
        <v>Office Supplies</v>
      </c>
      <c r="L405" s="1" t="str">
        <f>VLOOKUP(orders__17[[#This Row],[Product_ID]],products[#All],4,0)</f>
        <v>Storage</v>
      </c>
      <c r="M405" s="1" t="str">
        <f>VLOOKUP(orders__17[[#This Row],[Order_ID]],returns[#All],2,0)</f>
        <v>No</v>
      </c>
    </row>
    <row r="406" spans="1:13" x14ac:dyDescent="0.3">
      <c r="A406" s="1" t="s">
        <v>681</v>
      </c>
      <c r="B406" s="2">
        <v>44827</v>
      </c>
      <c r="C406" s="1" t="s">
        <v>412</v>
      </c>
      <c r="D406" s="1" t="s">
        <v>28</v>
      </c>
      <c r="E406">
        <v>4</v>
      </c>
      <c r="F406" s="4">
        <v>970.56</v>
      </c>
      <c r="G406" s="3">
        <v>0.1</v>
      </c>
      <c r="H406" s="4">
        <v>209.47</v>
      </c>
      <c r="I406" t="str">
        <f>VLOOKUP(orders__17[[#This Row],[Customer_ID]],customers__2[#All],3,0)</f>
        <v>North</v>
      </c>
      <c r="J406" t="str">
        <f>VLOOKUP(orders__17[[#This Row],[Customer_ID]],customers__2[#All],4,0)</f>
        <v>Consumer</v>
      </c>
      <c r="K406" t="str">
        <f>VLOOKUP(orders__17[[#This Row],[Product_ID]],products[#All],3,0)</f>
        <v>Office Supplies</v>
      </c>
      <c r="L406" s="1" t="str">
        <f>VLOOKUP(orders__17[[#This Row],[Product_ID]],products[#All],4,0)</f>
        <v>Storage</v>
      </c>
      <c r="M406" s="1" t="str">
        <f>VLOOKUP(orders__17[[#This Row],[Order_ID]],returns[#All],2,0)</f>
        <v>No</v>
      </c>
    </row>
    <row r="407" spans="1:13" x14ac:dyDescent="0.3">
      <c r="A407" s="1" t="s">
        <v>682</v>
      </c>
      <c r="B407" s="2">
        <v>45170</v>
      </c>
      <c r="C407" s="1" t="s">
        <v>683</v>
      </c>
      <c r="D407" s="1" t="s">
        <v>226</v>
      </c>
      <c r="E407">
        <v>5</v>
      </c>
      <c r="F407" s="4">
        <v>1017.64</v>
      </c>
      <c r="G407" s="3">
        <v>0.1</v>
      </c>
      <c r="H407" s="4">
        <v>264.36</v>
      </c>
      <c r="I407" t="str">
        <f>VLOOKUP(orders__17[[#This Row],[Customer_ID]],customers__2[#All],3,0)</f>
        <v>East</v>
      </c>
      <c r="J407" t="str">
        <f>VLOOKUP(orders__17[[#This Row],[Customer_ID]],customers__2[#All],4,0)</f>
        <v>Corporate</v>
      </c>
      <c r="K407" t="str">
        <f>VLOOKUP(orders__17[[#This Row],[Product_ID]],products[#All],3,0)</f>
        <v>Technology</v>
      </c>
      <c r="L407" s="1" t="str">
        <f>VLOOKUP(orders__17[[#This Row],[Product_ID]],products[#All],4,0)</f>
        <v>Laptop</v>
      </c>
      <c r="M407" s="1" t="str">
        <f>VLOOKUP(orders__17[[#This Row],[Order_ID]],returns[#All],2,0)</f>
        <v>No</v>
      </c>
    </row>
    <row r="408" spans="1:13" x14ac:dyDescent="0.3">
      <c r="A408" s="1" t="s">
        <v>684</v>
      </c>
      <c r="B408" s="2">
        <v>45253</v>
      </c>
      <c r="C408" s="1" t="s">
        <v>685</v>
      </c>
      <c r="D408" s="1" t="s">
        <v>61</v>
      </c>
      <c r="E408">
        <v>1</v>
      </c>
      <c r="F408" s="4">
        <v>353.61</v>
      </c>
      <c r="G408" s="3">
        <v>0</v>
      </c>
      <c r="H408" s="4">
        <v>66.36</v>
      </c>
      <c r="I408" t="str">
        <f>VLOOKUP(orders__17[[#This Row],[Customer_ID]],customers__2[#All],3,0)</f>
        <v>East</v>
      </c>
      <c r="J408" t="str">
        <f>VLOOKUP(orders__17[[#This Row],[Customer_ID]],customers__2[#All],4,0)</f>
        <v>Home Office</v>
      </c>
      <c r="K408" t="str">
        <f>VLOOKUP(orders__17[[#This Row],[Product_ID]],products[#All],3,0)</f>
        <v>Office Supplies</v>
      </c>
      <c r="L408" s="1" t="str">
        <f>VLOOKUP(orders__17[[#This Row],[Product_ID]],products[#All],4,0)</f>
        <v>Binder</v>
      </c>
      <c r="M408" s="1" t="str">
        <f>VLOOKUP(orders__17[[#This Row],[Order_ID]],returns[#All],2,0)</f>
        <v>No</v>
      </c>
    </row>
    <row r="409" spans="1:13" x14ac:dyDescent="0.3">
      <c r="A409" s="1" t="s">
        <v>686</v>
      </c>
      <c r="B409" s="2">
        <v>44806</v>
      </c>
      <c r="C409" s="1" t="s">
        <v>96</v>
      </c>
      <c r="D409" s="1" t="s">
        <v>400</v>
      </c>
      <c r="E409">
        <v>4</v>
      </c>
      <c r="F409" s="4">
        <v>253.14</v>
      </c>
      <c r="G409" s="3">
        <v>0.3</v>
      </c>
      <c r="H409" s="4">
        <v>22.35</v>
      </c>
      <c r="I409" t="str">
        <f>VLOOKUP(orders__17[[#This Row],[Customer_ID]],customers__2[#All],3,0)</f>
        <v>West</v>
      </c>
      <c r="J409" t="str">
        <f>VLOOKUP(orders__17[[#This Row],[Customer_ID]],customers__2[#All],4,0)</f>
        <v>Corporate</v>
      </c>
      <c r="K409" t="str">
        <f>VLOOKUP(orders__17[[#This Row],[Product_ID]],products[#All],3,0)</f>
        <v>Office Supplies</v>
      </c>
      <c r="L409" s="1" t="str">
        <f>VLOOKUP(orders__17[[#This Row],[Product_ID]],products[#All],4,0)</f>
        <v>Paper</v>
      </c>
      <c r="M409" s="1" t="str">
        <f>VLOOKUP(orders__17[[#This Row],[Order_ID]],returns[#All],2,0)</f>
        <v>No</v>
      </c>
    </row>
    <row r="410" spans="1:13" x14ac:dyDescent="0.3">
      <c r="A410" s="1" t="s">
        <v>687</v>
      </c>
      <c r="B410" s="2">
        <v>44974</v>
      </c>
      <c r="C410" s="1" t="s">
        <v>113</v>
      </c>
      <c r="D410" s="1" t="s">
        <v>72</v>
      </c>
      <c r="E410">
        <v>5</v>
      </c>
      <c r="F410" s="4">
        <v>1483.08</v>
      </c>
      <c r="G410" s="3">
        <v>0</v>
      </c>
      <c r="H410" s="4">
        <v>344.12</v>
      </c>
      <c r="I410" t="str">
        <f>VLOOKUP(orders__17[[#This Row],[Customer_ID]],customers__2[#All],3,0)</f>
        <v>West</v>
      </c>
      <c r="J410" t="str">
        <f>VLOOKUP(orders__17[[#This Row],[Customer_ID]],customers__2[#All],4,0)</f>
        <v>Consumer</v>
      </c>
      <c r="K410" t="str">
        <f>VLOOKUP(orders__17[[#This Row],[Product_ID]],products[#All],3,0)</f>
        <v>Furniture</v>
      </c>
      <c r="L410" s="1" t="str">
        <f>VLOOKUP(orders__17[[#This Row],[Product_ID]],products[#All],4,0)</f>
        <v>Chair</v>
      </c>
      <c r="M410" s="1" t="str">
        <f>VLOOKUP(orders__17[[#This Row],[Order_ID]],returns[#All],2,0)</f>
        <v>No</v>
      </c>
    </row>
    <row r="411" spans="1:13" x14ac:dyDescent="0.3">
      <c r="A411" s="1" t="s">
        <v>688</v>
      </c>
      <c r="B411" s="2">
        <v>44704</v>
      </c>
      <c r="C411" s="1" t="s">
        <v>637</v>
      </c>
      <c r="D411" s="1" t="s">
        <v>109</v>
      </c>
      <c r="E411">
        <v>4</v>
      </c>
      <c r="F411" s="4">
        <v>1043.28</v>
      </c>
      <c r="G411" s="3">
        <v>0.3</v>
      </c>
      <c r="H411" s="4">
        <v>208.72</v>
      </c>
      <c r="I411" t="str">
        <f>VLOOKUP(orders__17[[#This Row],[Customer_ID]],customers__2[#All],3,0)</f>
        <v>North</v>
      </c>
      <c r="J411" t="str">
        <f>VLOOKUP(orders__17[[#This Row],[Customer_ID]],customers__2[#All],4,0)</f>
        <v>Corporate</v>
      </c>
      <c r="K411" t="str">
        <f>VLOOKUP(orders__17[[#This Row],[Product_ID]],products[#All],3,0)</f>
        <v>Furniture</v>
      </c>
      <c r="L411" s="1" t="str">
        <f>VLOOKUP(orders__17[[#This Row],[Product_ID]],products[#All],4,0)</f>
        <v>Chair</v>
      </c>
      <c r="M411" s="1" t="str">
        <f>VLOOKUP(orders__17[[#This Row],[Order_ID]],returns[#All],2,0)</f>
        <v>No</v>
      </c>
    </row>
    <row r="412" spans="1:13" x14ac:dyDescent="0.3">
      <c r="A412" s="1" t="s">
        <v>689</v>
      </c>
      <c r="B412" s="2">
        <v>44881</v>
      </c>
      <c r="C412" s="1" t="s">
        <v>542</v>
      </c>
      <c r="D412" s="1" t="s">
        <v>211</v>
      </c>
      <c r="E412">
        <v>2</v>
      </c>
      <c r="F412" s="4">
        <v>930.02</v>
      </c>
      <c r="G412" s="3">
        <v>0.2</v>
      </c>
      <c r="H412" s="4">
        <v>216.52</v>
      </c>
      <c r="I412" t="str">
        <f>VLOOKUP(orders__17[[#This Row],[Customer_ID]],customers__2[#All],3,0)</f>
        <v>West</v>
      </c>
      <c r="J412" t="str">
        <f>VLOOKUP(orders__17[[#This Row],[Customer_ID]],customers__2[#All],4,0)</f>
        <v>Home Office</v>
      </c>
      <c r="K412" t="str">
        <f>VLOOKUP(orders__17[[#This Row],[Product_ID]],products[#All],3,0)</f>
        <v>Office Supplies</v>
      </c>
      <c r="L412" s="1" t="str">
        <f>VLOOKUP(orders__17[[#This Row],[Product_ID]],products[#All],4,0)</f>
        <v>Binder</v>
      </c>
      <c r="M412" s="1" t="str">
        <f>VLOOKUP(orders__17[[#This Row],[Order_ID]],returns[#All],2,0)</f>
        <v>Yes</v>
      </c>
    </row>
    <row r="413" spans="1:13" x14ac:dyDescent="0.3">
      <c r="A413" s="1" t="s">
        <v>690</v>
      </c>
      <c r="B413" s="2">
        <v>44609</v>
      </c>
      <c r="C413" s="1" t="s">
        <v>691</v>
      </c>
      <c r="D413" s="1" t="s">
        <v>156</v>
      </c>
      <c r="E413">
        <v>2</v>
      </c>
      <c r="F413" s="4">
        <v>1486.07</v>
      </c>
      <c r="G413" s="3">
        <v>0.2</v>
      </c>
      <c r="H413" s="4">
        <v>360.28</v>
      </c>
      <c r="I413" t="str">
        <f>VLOOKUP(orders__17[[#This Row],[Customer_ID]],customers__2[#All],3,0)</f>
        <v>West</v>
      </c>
      <c r="J413" t="str">
        <f>VLOOKUP(orders__17[[#This Row],[Customer_ID]],customers__2[#All],4,0)</f>
        <v>Corporate</v>
      </c>
      <c r="K413" t="str">
        <f>VLOOKUP(orders__17[[#This Row],[Product_ID]],products[#All],3,0)</f>
        <v>Furniture</v>
      </c>
      <c r="L413" s="1" t="str">
        <f>VLOOKUP(orders__17[[#This Row],[Product_ID]],products[#All],4,0)</f>
        <v>Desk</v>
      </c>
      <c r="M413" s="1" t="str">
        <f>VLOOKUP(orders__17[[#This Row],[Order_ID]],returns[#All],2,0)</f>
        <v>Yes</v>
      </c>
    </row>
    <row r="414" spans="1:13" x14ac:dyDescent="0.3">
      <c r="A414" s="1" t="s">
        <v>692</v>
      </c>
      <c r="B414" s="2">
        <v>44608</v>
      </c>
      <c r="C414" s="1" t="s">
        <v>662</v>
      </c>
      <c r="D414" s="1" t="s">
        <v>22</v>
      </c>
      <c r="E414">
        <v>5</v>
      </c>
      <c r="F414" s="4">
        <v>1554.47</v>
      </c>
      <c r="G414" s="3">
        <v>0</v>
      </c>
      <c r="H414" s="4">
        <v>456.79</v>
      </c>
      <c r="I414" t="str">
        <f>VLOOKUP(orders__17[[#This Row],[Customer_ID]],customers__2[#All],3,0)</f>
        <v>North</v>
      </c>
      <c r="J414" t="str">
        <f>VLOOKUP(orders__17[[#This Row],[Customer_ID]],customers__2[#All],4,0)</f>
        <v>Corporate</v>
      </c>
      <c r="K414" t="str">
        <f>VLOOKUP(orders__17[[#This Row],[Product_ID]],products[#All],3,0)</f>
        <v>Furniture</v>
      </c>
      <c r="L414" s="1" t="str">
        <f>VLOOKUP(orders__17[[#This Row],[Product_ID]],products[#All],4,0)</f>
        <v>Chair</v>
      </c>
      <c r="M414" s="1" t="str">
        <f>VLOOKUP(orders__17[[#This Row],[Order_ID]],returns[#All],2,0)</f>
        <v>No</v>
      </c>
    </row>
    <row r="415" spans="1:13" x14ac:dyDescent="0.3">
      <c r="A415" s="1" t="s">
        <v>693</v>
      </c>
      <c r="B415" s="2">
        <v>45162</v>
      </c>
      <c r="C415" s="1" t="s">
        <v>233</v>
      </c>
      <c r="D415" s="1" t="s">
        <v>301</v>
      </c>
      <c r="E415">
        <v>4</v>
      </c>
      <c r="F415" s="4">
        <v>401.93</v>
      </c>
      <c r="G415" s="3">
        <v>0.3</v>
      </c>
      <c r="H415" s="4">
        <v>77.73</v>
      </c>
      <c r="I415" t="str">
        <f>VLOOKUP(orders__17[[#This Row],[Customer_ID]],customers__2[#All],3,0)</f>
        <v>South</v>
      </c>
      <c r="J415" t="str">
        <f>VLOOKUP(orders__17[[#This Row],[Customer_ID]],customers__2[#All],4,0)</f>
        <v>Home Office</v>
      </c>
      <c r="K415" t="str">
        <f>VLOOKUP(orders__17[[#This Row],[Product_ID]],products[#All],3,0)</f>
        <v>Furniture</v>
      </c>
      <c r="L415" s="1" t="str">
        <f>VLOOKUP(orders__17[[#This Row],[Product_ID]],products[#All],4,0)</f>
        <v>Table</v>
      </c>
      <c r="M415" s="1" t="str">
        <f>VLOOKUP(orders__17[[#This Row],[Order_ID]],returns[#All],2,0)</f>
        <v>No</v>
      </c>
    </row>
    <row r="416" spans="1:13" x14ac:dyDescent="0.3">
      <c r="A416" s="1" t="s">
        <v>694</v>
      </c>
      <c r="B416" s="2">
        <v>44690</v>
      </c>
      <c r="C416" s="1" t="s">
        <v>598</v>
      </c>
      <c r="D416" s="1" t="s">
        <v>70</v>
      </c>
      <c r="E416">
        <v>1</v>
      </c>
      <c r="F416" s="4">
        <v>1259.43</v>
      </c>
      <c r="G416" s="3">
        <v>0</v>
      </c>
      <c r="H416" s="4">
        <v>170.54</v>
      </c>
      <c r="I416" t="str">
        <f>VLOOKUP(orders__17[[#This Row],[Customer_ID]],customers__2[#All],3,0)</f>
        <v>South</v>
      </c>
      <c r="J416" t="str">
        <f>VLOOKUP(orders__17[[#This Row],[Customer_ID]],customers__2[#All],4,0)</f>
        <v>Home Office</v>
      </c>
      <c r="K416" t="str">
        <f>VLOOKUP(orders__17[[#This Row],[Product_ID]],products[#All],3,0)</f>
        <v>Office Supplies</v>
      </c>
      <c r="L416" s="1" t="str">
        <f>VLOOKUP(orders__17[[#This Row],[Product_ID]],products[#All],4,0)</f>
        <v>Paper</v>
      </c>
      <c r="M416" s="1" t="str">
        <f>VLOOKUP(orders__17[[#This Row],[Order_ID]],returns[#All],2,0)</f>
        <v>No</v>
      </c>
    </row>
    <row r="417" spans="1:13" x14ac:dyDescent="0.3">
      <c r="A417" s="1" t="s">
        <v>695</v>
      </c>
      <c r="B417" s="2">
        <v>44747</v>
      </c>
      <c r="C417" s="1" t="s">
        <v>99</v>
      </c>
      <c r="D417" s="1" t="s">
        <v>361</v>
      </c>
      <c r="E417">
        <v>5</v>
      </c>
      <c r="F417" s="4">
        <v>357.17</v>
      </c>
      <c r="G417" s="3">
        <v>0.1</v>
      </c>
      <c r="H417" s="4">
        <v>75.760000000000005</v>
      </c>
      <c r="I417" t="str">
        <f>VLOOKUP(orders__17[[#This Row],[Customer_ID]],customers__2[#All],3,0)</f>
        <v>East</v>
      </c>
      <c r="J417" t="str">
        <f>VLOOKUP(orders__17[[#This Row],[Customer_ID]],customers__2[#All],4,0)</f>
        <v>Corporate</v>
      </c>
      <c r="K417" t="str">
        <f>VLOOKUP(orders__17[[#This Row],[Product_ID]],products[#All],3,0)</f>
        <v>Furniture</v>
      </c>
      <c r="L417" s="1" t="str">
        <f>VLOOKUP(orders__17[[#This Row],[Product_ID]],products[#All],4,0)</f>
        <v>Shelf</v>
      </c>
      <c r="M417" s="1" t="str">
        <f>VLOOKUP(orders__17[[#This Row],[Order_ID]],returns[#All],2,0)</f>
        <v>Yes</v>
      </c>
    </row>
    <row r="418" spans="1:13" x14ac:dyDescent="0.3">
      <c r="A418" s="1" t="s">
        <v>696</v>
      </c>
      <c r="B418" s="2">
        <v>45124</v>
      </c>
      <c r="C418" s="1" t="s">
        <v>697</v>
      </c>
      <c r="D418" s="1" t="s">
        <v>70</v>
      </c>
      <c r="E418">
        <v>2</v>
      </c>
      <c r="F418" s="4">
        <v>1527.61</v>
      </c>
      <c r="G418" s="3">
        <v>0</v>
      </c>
      <c r="H418" s="4">
        <v>102.52</v>
      </c>
      <c r="I418" t="str">
        <f>VLOOKUP(orders__17[[#This Row],[Customer_ID]],customers__2[#All],3,0)</f>
        <v>South</v>
      </c>
      <c r="J418" t="str">
        <f>VLOOKUP(orders__17[[#This Row],[Customer_ID]],customers__2[#All],4,0)</f>
        <v>Corporate</v>
      </c>
      <c r="K418" t="str">
        <f>VLOOKUP(orders__17[[#This Row],[Product_ID]],products[#All],3,0)</f>
        <v>Office Supplies</v>
      </c>
      <c r="L418" s="1" t="str">
        <f>VLOOKUP(orders__17[[#This Row],[Product_ID]],products[#All],4,0)</f>
        <v>Paper</v>
      </c>
      <c r="M418" s="1" t="str">
        <f>VLOOKUP(orders__17[[#This Row],[Order_ID]],returns[#All],2,0)</f>
        <v>No</v>
      </c>
    </row>
    <row r="419" spans="1:13" x14ac:dyDescent="0.3">
      <c r="A419" s="1" t="s">
        <v>698</v>
      </c>
      <c r="B419" s="2">
        <v>45389</v>
      </c>
      <c r="C419" s="1" t="s">
        <v>384</v>
      </c>
      <c r="D419" s="1" t="s">
        <v>61</v>
      </c>
      <c r="E419">
        <v>2</v>
      </c>
      <c r="F419" s="4">
        <v>1348.21</v>
      </c>
      <c r="G419" s="3">
        <v>0</v>
      </c>
      <c r="H419" s="4">
        <v>369.88</v>
      </c>
      <c r="I419" t="str">
        <f>VLOOKUP(orders__17[[#This Row],[Customer_ID]],customers__2[#All],3,0)</f>
        <v>East</v>
      </c>
      <c r="J419" t="str">
        <f>VLOOKUP(orders__17[[#This Row],[Customer_ID]],customers__2[#All],4,0)</f>
        <v>Corporate</v>
      </c>
      <c r="K419" t="str">
        <f>VLOOKUP(orders__17[[#This Row],[Product_ID]],products[#All],3,0)</f>
        <v>Office Supplies</v>
      </c>
      <c r="L419" s="1" t="str">
        <f>VLOOKUP(orders__17[[#This Row],[Product_ID]],products[#All],4,0)</f>
        <v>Binder</v>
      </c>
      <c r="M419" s="1" t="str">
        <f>VLOOKUP(orders__17[[#This Row],[Order_ID]],returns[#All],2,0)</f>
        <v>No</v>
      </c>
    </row>
    <row r="420" spans="1:13" x14ac:dyDescent="0.3">
      <c r="A420" s="1" t="s">
        <v>699</v>
      </c>
      <c r="B420" s="2">
        <v>45429</v>
      </c>
      <c r="C420" s="1" t="s">
        <v>56</v>
      </c>
      <c r="D420" s="1" t="s">
        <v>288</v>
      </c>
      <c r="E420">
        <v>5</v>
      </c>
      <c r="F420" s="4">
        <v>1917.57</v>
      </c>
      <c r="G420" s="3">
        <v>0.2</v>
      </c>
      <c r="H420" s="4">
        <v>153.11000000000001</v>
      </c>
      <c r="I420" t="str">
        <f>VLOOKUP(orders__17[[#This Row],[Customer_ID]],customers__2[#All],3,0)</f>
        <v>South</v>
      </c>
      <c r="J420" t="str">
        <f>VLOOKUP(orders__17[[#This Row],[Customer_ID]],customers__2[#All],4,0)</f>
        <v>Consumer</v>
      </c>
      <c r="K420" t="str">
        <f>VLOOKUP(orders__17[[#This Row],[Product_ID]],products[#All],3,0)</f>
        <v>Furniture</v>
      </c>
      <c r="L420" s="1" t="str">
        <f>VLOOKUP(orders__17[[#This Row],[Product_ID]],products[#All],4,0)</f>
        <v>Chair</v>
      </c>
      <c r="M420" s="1" t="str">
        <f>VLOOKUP(orders__17[[#This Row],[Order_ID]],returns[#All],2,0)</f>
        <v>No</v>
      </c>
    </row>
    <row r="421" spans="1:13" x14ac:dyDescent="0.3">
      <c r="A421" s="1" t="s">
        <v>700</v>
      </c>
      <c r="B421" s="2">
        <v>45309</v>
      </c>
      <c r="C421" s="1" t="s">
        <v>657</v>
      </c>
      <c r="D421" s="1" t="s">
        <v>234</v>
      </c>
      <c r="E421">
        <v>4</v>
      </c>
      <c r="F421" s="4">
        <v>231.02</v>
      </c>
      <c r="G421" s="3">
        <v>0</v>
      </c>
      <c r="H421" s="4">
        <v>30.49</v>
      </c>
      <c r="I421" t="str">
        <f>VLOOKUP(orders__17[[#This Row],[Customer_ID]],customers__2[#All],3,0)</f>
        <v>East</v>
      </c>
      <c r="J421" t="str">
        <f>VLOOKUP(orders__17[[#This Row],[Customer_ID]],customers__2[#All],4,0)</f>
        <v>Corporate</v>
      </c>
      <c r="K421" t="str">
        <f>VLOOKUP(orders__17[[#This Row],[Product_ID]],products[#All],3,0)</f>
        <v>Furniture</v>
      </c>
      <c r="L421" s="1" t="str">
        <f>VLOOKUP(orders__17[[#This Row],[Product_ID]],products[#All],4,0)</f>
        <v>Shelf</v>
      </c>
      <c r="M421" s="1" t="str">
        <f>VLOOKUP(orders__17[[#This Row],[Order_ID]],returns[#All],2,0)</f>
        <v>No</v>
      </c>
    </row>
    <row r="422" spans="1:13" x14ac:dyDescent="0.3">
      <c r="A422" s="1" t="s">
        <v>701</v>
      </c>
      <c r="B422" s="2">
        <v>44933</v>
      </c>
      <c r="C422" s="1" t="s">
        <v>422</v>
      </c>
      <c r="D422" s="1" t="s">
        <v>64</v>
      </c>
      <c r="E422">
        <v>2</v>
      </c>
      <c r="F422" s="4">
        <v>208.4</v>
      </c>
      <c r="G422" s="3">
        <v>0.3</v>
      </c>
      <c r="H422" s="4">
        <v>52.92</v>
      </c>
      <c r="I422" t="str">
        <f>VLOOKUP(orders__17[[#This Row],[Customer_ID]],customers__2[#All],3,0)</f>
        <v>East</v>
      </c>
      <c r="J422" t="str">
        <f>VLOOKUP(orders__17[[#This Row],[Customer_ID]],customers__2[#All],4,0)</f>
        <v>Home Office</v>
      </c>
      <c r="K422" t="str">
        <f>VLOOKUP(orders__17[[#This Row],[Product_ID]],products[#All],3,0)</f>
        <v>Office Supplies</v>
      </c>
      <c r="L422" s="1" t="str">
        <f>VLOOKUP(orders__17[[#This Row],[Product_ID]],products[#All],4,0)</f>
        <v>Storage</v>
      </c>
      <c r="M422" s="1" t="str">
        <f>VLOOKUP(orders__17[[#This Row],[Order_ID]],returns[#All],2,0)</f>
        <v>No</v>
      </c>
    </row>
    <row r="423" spans="1:13" x14ac:dyDescent="0.3">
      <c r="A423" s="1" t="s">
        <v>702</v>
      </c>
      <c r="B423" s="2">
        <v>44755</v>
      </c>
      <c r="C423" s="1" t="s">
        <v>172</v>
      </c>
      <c r="D423" s="1" t="s">
        <v>34</v>
      </c>
      <c r="E423">
        <v>4</v>
      </c>
      <c r="F423" s="4">
        <v>636.16</v>
      </c>
      <c r="G423" s="3">
        <v>0.2</v>
      </c>
      <c r="H423" s="4">
        <v>126.8</v>
      </c>
      <c r="I423" t="str">
        <f>VLOOKUP(orders__17[[#This Row],[Customer_ID]],customers__2[#All],3,0)</f>
        <v>East</v>
      </c>
      <c r="J423" t="str">
        <f>VLOOKUP(orders__17[[#This Row],[Customer_ID]],customers__2[#All],4,0)</f>
        <v>Home Office</v>
      </c>
      <c r="K423" t="str">
        <f>VLOOKUP(orders__17[[#This Row],[Product_ID]],products[#All],3,0)</f>
        <v>Furniture</v>
      </c>
      <c r="L423" s="1" t="str">
        <f>VLOOKUP(orders__17[[#This Row],[Product_ID]],products[#All],4,0)</f>
        <v>Table</v>
      </c>
      <c r="M423" s="1" t="str">
        <f>VLOOKUP(orders__17[[#This Row],[Order_ID]],returns[#All],2,0)</f>
        <v>No</v>
      </c>
    </row>
    <row r="424" spans="1:13" x14ac:dyDescent="0.3">
      <c r="A424" s="1" t="s">
        <v>703</v>
      </c>
      <c r="B424" s="2">
        <v>44941</v>
      </c>
      <c r="C424" s="1" t="s">
        <v>367</v>
      </c>
      <c r="D424" s="1" t="s">
        <v>269</v>
      </c>
      <c r="E424">
        <v>2</v>
      </c>
      <c r="F424" s="4">
        <v>597.24</v>
      </c>
      <c r="G424" s="3">
        <v>0</v>
      </c>
      <c r="H424" s="4">
        <v>88.64</v>
      </c>
      <c r="I424" t="str">
        <f>VLOOKUP(orders__17[[#This Row],[Customer_ID]],customers__2[#All],3,0)</f>
        <v>South</v>
      </c>
      <c r="J424" t="str">
        <f>VLOOKUP(orders__17[[#This Row],[Customer_ID]],customers__2[#All],4,0)</f>
        <v>Home Office</v>
      </c>
      <c r="K424" t="str">
        <f>VLOOKUP(orders__17[[#This Row],[Product_ID]],products[#All],3,0)</f>
        <v>Office Supplies</v>
      </c>
      <c r="L424" s="1" t="str">
        <f>VLOOKUP(orders__17[[#This Row],[Product_ID]],products[#All],4,0)</f>
        <v>Pen</v>
      </c>
      <c r="M424" s="1" t="str">
        <f>VLOOKUP(orders__17[[#This Row],[Order_ID]],returns[#All],2,0)</f>
        <v>Yes</v>
      </c>
    </row>
    <row r="425" spans="1:13" x14ac:dyDescent="0.3">
      <c r="A425" s="1" t="s">
        <v>704</v>
      </c>
      <c r="B425" s="2">
        <v>44995</v>
      </c>
      <c r="C425" s="1" t="s">
        <v>238</v>
      </c>
      <c r="D425" s="1" t="s">
        <v>195</v>
      </c>
      <c r="E425">
        <v>2</v>
      </c>
      <c r="F425" s="4">
        <v>569.26</v>
      </c>
      <c r="G425" s="3">
        <v>0.1</v>
      </c>
      <c r="H425" s="4">
        <v>95.84</v>
      </c>
      <c r="I425" t="str">
        <f>VLOOKUP(orders__17[[#This Row],[Customer_ID]],customers__2[#All],3,0)</f>
        <v>West</v>
      </c>
      <c r="J425" t="str">
        <f>VLOOKUP(orders__17[[#This Row],[Customer_ID]],customers__2[#All],4,0)</f>
        <v>Corporate</v>
      </c>
      <c r="K425" t="str">
        <f>VLOOKUP(orders__17[[#This Row],[Product_ID]],products[#All],3,0)</f>
        <v>Furniture</v>
      </c>
      <c r="L425" s="1" t="str">
        <f>VLOOKUP(orders__17[[#This Row],[Product_ID]],products[#All],4,0)</f>
        <v>Chair</v>
      </c>
      <c r="M425" s="1" t="str">
        <f>VLOOKUP(orders__17[[#This Row],[Order_ID]],returns[#All],2,0)</f>
        <v>Yes</v>
      </c>
    </row>
    <row r="426" spans="1:13" x14ac:dyDescent="0.3">
      <c r="A426" s="1" t="s">
        <v>705</v>
      </c>
      <c r="B426" s="2">
        <v>45204</v>
      </c>
      <c r="C426" s="1" t="s">
        <v>683</v>
      </c>
      <c r="D426" s="1" t="s">
        <v>37</v>
      </c>
      <c r="E426">
        <v>3</v>
      </c>
      <c r="F426" s="4">
        <v>1821.88</v>
      </c>
      <c r="G426" s="3">
        <v>0</v>
      </c>
      <c r="H426" s="4">
        <v>480.31</v>
      </c>
      <c r="I426" t="str">
        <f>VLOOKUP(orders__17[[#This Row],[Customer_ID]],customers__2[#All],3,0)</f>
        <v>East</v>
      </c>
      <c r="J426" t="str">
        <f>VLOOKUP(orders__17[[#This Row],[Customer_ID]],customers__2[#All],4,0)</f>
        <v>Corporate</v>
      </c>
      <c r="K426" t="str">
        <f>VLOOKUP(orders__17[[#This Row],[Product_ID]],products[#All],3,0)</f>
        <v>Furniture</v>
      </c>
      <c r="L426" s="1" t="str">
        <f>VLOOKUP(orders__17[[#This Row],[Product_ID]],products[#All],4,0)</f>
        <v>Desk</v>
      </c>
      <c r="M426" s="1" t="str">
        <f>VLOOKUP(orders__17[[#This Row],[Order_ID]],returns[#All],2,0)</f>
        <v>No</v>
      </c>
    </row>
    <row r="427" spans="1:13" x14ac:dyDescent="0.3">
      <c r="A427" s="1" t="s">
        <v>706</v>
      </c>
      <c r="B427" s="2">
        <v>44596</v>
      </c>
      <c r="C427" s="1" t="s">
        <v>150</v>
      </c>
      <c r="D427" s="1" t="s">
        <v>107</v>
      </c>
      <c r="E427">
        <v>2</v>
      </c>
      <c r="F427" s="4">
        <v>574.14</v>
      </c>
      <c r="G427" s="3">
        <v>0</v>
      </c>
      <c r="H427" s="4">
        <v>77.510000000000005</v>
      </c>
      <c r="I427" t="str">
        <f>VLOOKUP(orders__17[[#This Row],[Customer_ID]],customers__2[#All],3,0)</f>
        <v>West</v>
      </c>
      <c r="J427" t="str">
        <f>VLOOKUP(orders__17[[#This Row],[Customer_ID]],customers__2[#All],4,0)</f>
        <v>Consumer</v>
      </c>
      <c r="K427" t="str">
        <f>VLOOKUP(orders__17[[#This Row],[Product_ID]],products[#All],3,0)</f>
        <v>Office Supplies</v>
      </c>
      <c r="L427" s="1" t="str">
        <f>VLOOKUP(orders__17[[#This Row],[Product_ID]],products[#All],4,0)</f>
        <v>Pen</v>
      </c>
      <c r="M427" s="1" t="str">
        <f>VLOOKUP(orders__17[[#This Row],[Order_ID]],returns[#All],2,0)</f>
        <v>No</v>
      </c>
    </row>
    <row r="428" spans="1:13" x14ac:dyDescent="0.3">
      <c r="A428" s="1" t="s">
        <v>707</v>
      </c>
      <c r="B428" s="2">
        <v>44947</v>
      </c>
      <c r="C428" s="1" t="s">
        <v>330</v>
      </c>
      <c r="D428" s="1" t="s">
        <v>304</v>
      </c>
      <c r="E428">
        <v>1</v>
      </c>
      <c r="F428" s="4">
        <v>616.70000000000005</v>
      </c>
      <c r="G428" s="3">
        <v>0</v>
      </c>
      <c r="H428" s="4">
        <v>164.91</v>
      </c>
      <c r="I428" t="str">
        <f>VLOOKUP(orders__17[[#This Row],[Customer_ID]],customers__2[#All],3,0)</f>
        <v>South</v>
      </c>
      <c r="J428" t="str">
        <f>VLOOKUP(orders__17[[#This Row],[Customer_ID]],customers__2[#All],4,0)</f>
        <v>Consumer</v>
      </c>
      <c r="K428" t="str">
        <f>VLOOKUP(orders__17[[#This Row],[Product_ID]],products[#All],3,0)</f>
        <v>Technology</v>
      </c>
      <c r="L428" s="1" t="str">
        <f>VLOOKUP(orders__17[[#This Row],[Product_ID]],products[#All],4,0)</f>
        <v>Accessories</v>
      </c>
      <c r="M428" s="1" t="str">
        <f>VLOOKUP(orders__17[[#This Row],[Order_ID]],returns[#All],2,0)</f>
        <v>No</v>
      </c>
    </row>
    <row r="429" spans="1:13" x14ac:dyDescent="0.3">
      <c r="A429" s="1" t="s">
        <v>708</v>
      </c>
      <c r="B429" s="2">
        <v>44959</v>
      </c>
      <c r="C429" s="1" t="s">
        <v>709</v>
      </c>
      <c r="D429" s="1" t="s">
        <v>89</v>
      </c>
      <c r="E429">
        <v>5</v>
      </c>
      <c r="F429" s="4">
        <v>1542.86</v>
      </c>
      <c r="G429" s="3">
        <v>0.2</v>
      </c>
      <c r="H429" s="4">
        <v>111.14</v>
      </c>
      <c r="I429" t="str">
        <f>VLOOKUP(orders__17[[#This Row],[Customer_ID]],customers__2[#All],3,0)</f>
        <v>East</v>
      </c>
      <c r="J429" t="str">
        <f>VLOOKUP(orders__17[[#This Row],[Customer_ID]],customers__2[#All],4,0)</f>
        <v>Home Office</v>
      </c>
      <c r="K429" t="str">
        <f>VLOOKUP(orders__17[[#This Row],[Product_ID]],products[#All],3,0)</f>
        <v>Technology</v>
      </c>
      <c r="L429" s="1" t="str">
        <f>VLOOKUP(orders__17[[#This Row],[Product_ID]],products[#All],4,0)</f>
        <v>Phone</v>
      </c>
      <c r="M429" s="1" t="str">
        <f>VLOOKUP(orders__17[[#This Row],[Order_ID]],returns[#All],2,0)</f>
        <v>No</v>
      </c>
    </row>
    <row r="430" spans="1:13" x14ac:dyDescent="0.3">
      <c r="A430" s="1" t="s">
        <v>710</v>
      </c>
      <c r="B430" s="2">
        <v>45377</v>
      </c>
      <c r="C430" s="1" t="s">
        <v>434</v>
      </c>
      <c r="D430" s="1" t="s">
        <v>201</v>
      </c>
      <c r="E430">
        <v>5</v>
      </c>
      <c r="F430" s="4">
        <v>954.51</v>
      </c>
      <c r="G430" s="3">
        <v>0.3</v>
      </c>
      <c r="H430" s="4">
        <v>233.09</v>
      </c>
      <c r="I430" t="str">
        <f>VLOOKUP(orders__17[[#This Row],[Customer_ID]],customers__2[#All],3,0)</f>
        <v>North</v>
      </c>
      <c r="J430" t="str">
        <f>VLOOKUP(orders__17[[#This Row],[Customer_ID]],customers__2[#All],4,0)</f>
        <v>Corporate</v>
      </c>
      <c r="K430" t="str">
        <f>VLOOKUP(orders__17[[#This Row],[Product_ID]],products[#All],3,0)</f>
        <v>Office Supplies</v>
      </c>
      <c r="L430" s="1" t="str">
        <f>VLOOKUP(orders__17[[#This Row],[Product_ID]],products[#All],4,0)</f>
        <v>Paper</v>
      </c>
      <c r="M430" s="1" t="str">
        <f>VLOOKUP(orders__17[[#This Row],[Order_ID]],returns[#All],2,0)</f>
        <v>No</v>
      </c>
    </row>
    <row r="431" spans="1:13" x14ac:dyDescent="0.3">
      <c r="A431" s="1" t="s">
        <v>711</v>
      </c>
      <c r="B431" s="2">
        <v>44757</v>
      </c>
      <c r="C431" s="1" t="s">
        <v>285</v>
      </c>
      <c r="D431" s="1" t="s">
        <v>451</v>
      </c>
      <c r="E431">
        <v>4</v>
      </c>
      <c r="F431" s="4">
        <v>1575.75</v>
      </c>
      <c r="G431" s="3">
        <v>0.1</v>
      </c>
      <c r="H431" s="4">
        <v>412.67</v>
      </c>
      <c r="I431" t="str">
        <f>VLOOKUP(orders__17[[#This Row],[Customer_ID]],customers__2[#All],3,0)</f>
        <v>South</v>
      </c>
      <c r="J431" t="str">
        <f>VLOOKUP(orders__17[[#This Row],[Customer_ID]],customers__2[#All],4,0)</f>
        <v>Corporate</v>
      </c>
      <c r="K431" t="str">
        <f>VLOOKUP(orders__17[[#This Row],[Product_ID]],products[#All],3,0)</f>
        <v>Technology</v>
      </c>
      <c r="L431" s="1" t="str">
        <f>VLOOKUP(orders__17[[#This Row],[Product_ID]],products[#All],4,0)</f>
        <v>Laptop</v>
      </c>
      <c r="M431" s="1" t="str">
        <f>VLOOKUP(orders__17[[#This Row],[Order_ID]],returns[#All],2,0)</f>
        <v>Yes</v>
      </c>
    </row>
    <row r="432" spans="1:13" x14ac:dyDescent="0.3">
      <c r="A432" s="1" t="s">
        <v>712</v>
      </c>
      <c r="B432" s="2">
        <v>44991</v>
      </c>
      <c r="C432" s="1" t="s">
        <v>9</v>
      </c>
      <c r="D432" s="1" t="s">
        <v>48</v>
      </c>
      <c r="E432">
        <v>2</v>
      </c>
      <c r="F432" s="4">
        <v>224.2</v>
      </c>
      <c r="G432" s="3">
        <v>0</v>
      </c>
      <c r="H432" s="4">
        <v>21.4</v>
      </c>
      <c r="I432" t="str">
        <f>VLOOKUP(orders__17[[#This Row],[Customer_ID]],customers__2[#All],3,0)</f>
        <v>East</v>
      </c>
      <c r="J432" t="str">
        <f>VLOOKUP(orders__17[[#This Row],[Customer_ID]],customers__2[#All],4,0)</f>
        <v>Consumer</v>
      </c>
      <c r="K432" t="str">
        <f>VLOOKUP(orders__17[[#This Row],[Product_ID]],products[#All],3,0)</f>
        <v>Office Supplies</v>
      </c>
      <c r="L432" s="1" t="str">
        <f>VLOOKUP(orders__17[[#This Row],[Product_ID]],products[#All],4,0)</f>
        <v>Pen</v>
      </c>
      <c r="M432" s="1" t="str">
        <f>VLOOKUP(orders__17[[#This Row],[Order_ID]],returns[#All],2,0)</f>
        <v>No</v>
      </c>
    </row>
    <row r="433" spans="1:13" x14ac:dyDescent="0.3">
      <c r="A433" s="1" t="s">
        <v>713</v>
      </c>
      <c r="B433" s="2">
        <v>44783</v>
      </c>
      <c r="C433" s="1" t="s">
        <v>350</v>
      </c>
      <c r="D433" s="1" t="s">
        <v>283</v>
      </c>
      <c r="E433">
        <v>1</v>
      </c>
      <c r="F433" s="4">
        <v>1026.3900000000001</v>
      </c>
      <c r="G433" s="3">
        <v>0.3</v>
      </c>
      <c r="H433" s="4">
        <v>161.75</v>
      </c>
      <c r="I433" t="str">
        <f>VLOOKUP(orders__17[[#This Row],[Customer_ID]],customers__2[#All],3,0)</f>
        <v>West</v>
      </c>
      <c r="J433" t="str">
        <f>VLOOKUP(orders__17[[#This Row],[Customer_ID]],customers__2[#All],4,0)</f>
        <v>Corporate</v>
      </c>
      <c r="K433" t="str">
        <f>VLOOKUP(orders__17[[#This Row],[Product_ID]],products[#All],3,0)</f>
        <v>Furniture</v>
      </c>
      <c r="L433" s="1" t="str">
        <f>VLOOKUP(orders__17[[#This Row],[Product_ID]],products[#All],4,0)</f>
        <v>Chair</v>
      </c>
      <c r="M433" s="1" t="str">
        <f>VLOOKUP(orders__17[[#This Row],[Order_ID]],returns[#All],2,0)</f>
        <v>No</v>
      </c>
    </row>
    <row r="434" spans="1:13" x14ac:dyDescent="0.3">
      <c r="A434" s="1" t="s">
        <v>714</v>
      </c>
      <c r="B434" s="2">
        <v>45299</v>
      </c>
      <c r="C434" s="1" t="s">
        <v>434</v>
      </c>
      <c r="D434" s="1" t="s">
        <v>585</v>
      </c>
      <c r="E434">
        <v>4</v>
      </c>
      <c r="F434" s="4">
        <v>163.87</v>
      </c>
      <c r="G434" s="3">
        <v>0.3</v>
      </c>
      <c r="H434" s="4">
        <v>14.97</v>
      </c>
      <c r="I434" t="str">
        <f>VLOOKUP(orders__17[[#This Row],[Customer_ID]],customers__2[#All],3,0)</f>
        <v>North</v>
      </c>
      <c r="J434" t="str">
        <f>VLOOKUP(orders__17[[#This Row],[Customer_ID]],customers__2[#All],4,0)</f>
        <v>Corporate</v>
      </c>
      <c r="K434" t="str">
        <f>VLOOKUP(orders__17[[#This Row],[Product_ID]],products[#All],3,0)</f>
        <v>Office Supplies</v>
      </c>
      <c r="L434" s="1" t="str">
        <f>VLOOKUP(orders__17[[#This Row],[Product_ID]],products[#All],4,0)</f>
        <v>Storage</v>
      </c>
      <c r="M434" s="1" t="str">
        <f>VLOOKUP(orders__17[[#This Row],[Order_ID]],returns[#All],2,0)</f>
        <v>No</v>
      </c>
    </row>
    <row r="435" spans="1:13" x14ac:dyDescent="0.3">
      <c r="A435" s="1" t="s">
        <v>715</v>
      </c>
      <c r="B435" s="2">
        <v>45236</v>
      </c>
      <c r="C435" s="1" t="s">
        <v>260</v>
      </c>
      <c r="D435" s="1" t="s">
        <v>278</v>
      </c>
      <c r="E435">
        <v>3</v>
      </c>
      <c r="F435" s="4">
        <v>219.04</v>
      </c>
      <c r="G435" s="3">
        <v>0.2</v>
      </c>
      <c r="H435" s="4">
        <v>49.65</v>
      </c>
      <c r="I435" t="str">
        <f>VLOOKUP(orders__17[[#This Row],[Customer_ID]],customers__2[#All],3,0)</f>
        <v>East</v>
      </c>
      <c r="J435" t="str">
        <f>VLOOKUP(orders__17[[#This Row],[Customer_ID]],customers__2[#All],4,0)</f>
        <v>Consumer</v>
      </c>
      <c r="K435" t="str">
        <f>VLOOKUP(orders__17[[#This Row],[Product_ID]],products[#All],3,0)</f>
        <v>Office Supplies</v>
      </c>
      <c r="L435" s="1" t="str">
        <f>VLOOKUP(orders__17[[#This Row],[Product_ID]],products[#All],4,0)</f>
        <v>Pen</v>
      </c>
      <c r="M435" s="1" t="str">
        <f>VLOOKUP(orders__17[[#This Row],[Order_ID]],returns[#All],2,0)</f>
        <v>No</v>
      </c>
    </row>
    <row r="436" spans="1:13" x14ac:dyDescent="0.3">
      <c r="A436" s="1" t="s">
        <v>716</v>
      </c>
      <c r="B436" s="2">
        <v>45343</v>
      </c>
      <c r="C436" s="1" t="s">
        <v>102</v>
      </c>
      <c r="D436" s="1" t="s">
        <v>143</v>
      </c>
      <c r="E436">
        <v>4</v>
      </c>
      <c r="F436" s="4">
        <v>1822.23</v>
      </c>
      <c r="G436" s="3">
        <v>0.1</v>
      </c>
      <c r="H436" s="4">
        <v>334.99</v>
      </c>
      <c r="I436" t="str">
        <f>VLOOKUP(orders__17[[#This Row],[Customer_ID]],customers__2[#All],3,0)</f>
        <v>West</v>
      </c>
      <c r="J436" t="str">
        <f>VLOOKUP(orders__17[[#This Row],[Customer_ID]],customers__2[#All],4,0)</f>
        <v>Corporate</v>
      </c>
      <c r="K436" t="str">
        <f>VLOOKUP(orders__17[[#This Row],[Product_ID]],products[#All],3,0)</f>
        <v>Furniture</v>
      </c>
      <c r="L436" s="1" t="str">
        <f>VLOOKUP(orders__17[[#This Row],[Product_ID]],products[#All],4,0)</f>
        <v>Shelf</v>
      </c>
      <c r="M436" s="1" t="str">
        <f>VLOOKUP(orders__17[[#This Row],[Order_ID]],returns[#All],2,0)</f>
        <v>No</v>
      </c>
    </row>
    <row r="437" spans="1:13" x14ac:dyDescent="0.3">
      <c r="A437" s="1" t="s">
        <v>717</v>
      </c>
      <c r="B437" s="2">
        <v>45114</v>
      </c>
      <c r="C437" s="1" t="s">
        <v>69</v>
      </c>
      <c r="D437" s="1" t="s">
        <v>301</v>
      </c>
      <c r="E437">
        <v>4</v>
      </c>
      <c r="F437" s="4">
        <v>364.57</v>
      </c>
      <c r="G437" s="3">
        <v>0.2</v>
      </c>
      <c r="H437" s="4">
        <v>76.13</v>
      </c>
      <c r="I437" t="str">
        <f>VLOOKUP(orders__17[[#This Row],[Customer_ID]],customers__2[#All],3,0)</f>
        <v>West</v>
      </c>
      <c r="J437" t="str">
        <f>VLOOKUP(orders__17[[#This Row],[Customer_ID]],customers__2[#All],4,0)</f>
        <v>Corporate</v>
      </c>
      <c r="K437" t="str">
        <f>VLOOKUP(orders__17[[#This Row],[Product_ID]],products[#All],3,0)</f>
        <v>Furniture</v>
      </c>
      <c r="L437" s="1" t="str">
        <f>VLOOKUP(orders__17[[#This Row],[Product_ID]],products[#All],4,0)</f>
        <v>Table</v>
      </c>
      <c r="M437" s="1" t="str">
        <f>VLOOKUP(orders__17[[#This Row],[Order_ID]],returns[#All],2,0)</f>
        <v>Yes</v>
      </c>
    </row>
    <row r="438" spans="1:13" x14ac:dyDescent="0.3">
      <c r="A438" s="1" t="s">
        <v>718</v>
      </c>
      <c r="B438" s="2">
        <v>45439</v>
      </c>
      <c r="C438" s="1" t="s">
        <v>96</v>
      </c>
      <c r="D438" s="1" t="s">
        <v>679</v>
      </c>
      <c r="E438">
        <v>2</v>
      </c>
      <c r="F438" s="4">
        <v>1111.5999999999999</v>
      </c>
      <c r="G438" s="3">
        <v>0.3</v>
      </c>
      <c r="H438" s="4">
        <v>110.18</v>
      </c>
      <c r="I438" t="str">
        <f>VLOOKUP(orders__17[[#This Row],[Customer_ID]],customers__2[#All],3,0)</f>
        <v>West</v>
      </c>
      <c r="J438" t="str">
        <f>VLOOKUP(orders__17[[#This Row],[Customer_ID]],customers__2[#All],4,0)</f>
        <v>Corporate</v>
      </c>
      <c r="K438" t="str">
        <f>VLOOKUP(orders__17[[#This Row],[Product_ID]],products[#All],3,0)</f>
        <v>Office Supplies</v>
      </c>
      <c r="L438" s="1" t="str">
        <f>VLOOKUP(orders__17[[#This Row],[Product_ID]],products[#All],4,0)</f>
        <v>Paper</v>
      </c>
      <c r="M438" s="1" t="str">
        <f>VLOOKUP(orders__17[[#This Row],[Order_ID]],returns[#All],2,0)</f>
        <v>No</v>
      </c>
    </row>
    <row r="439" spans="1:13" x14ac:dyDescent="0.3">
      <c r="A439" s="1" t="s">
        <v>719</v>
      </c>
      <c r="B439" s="2">
        <v>44686</v>
      </c>
      <c r="C439" s="1" t="s">
        <v>205</v>
      </c>
      <c r="D439" s="1" t="s">
        <v>16</v>
      </c>
      <c r="E439">
        <v>3</v>
      </c>
      <c r="F439" s="4">
        <v>881.08</v>
      </c>
      <c r="G439" s="3">
        <v>0.3</v>
      </c>
      <c r="H439" s="4">
        <v>90.7</v>
      </c>
      <c r="I439" t="str">
        <f>VLOOKUP(orders__17[[#This Row],[Customer_ID]],customers__2[#All],3,0)</f>
        <v>North</v>
      </c>
      <c r="J439" t="str">
        <f>VLOOKUP(orders__17[[#This Row],[Customer_ID]],customers__2[#All],4,0)</f>
        <v>Consumer</v>
      </c>
      <c r="K439" t="str">
        <f>VLOOKUP(orders__17[[#This Row],[Product_ID]],products[#All],3,0)</f>
        <v>Technology</v>
      </c>
      <c r="L439" s="1" t="str">
        <f>VLOOKUP(orders__17[[#This Row],[Product_ID]],products[#All],4,0)</f>
        <v>Laptop</v>
      </c>
      <c r="M439" s="1" t="str">
        <f>VLOOKUP(orders__17[[#This Row],[Order_ID]],returns[#All],2,0)</f>
        <v>No</v>
      </c>
    </row>
    <row r="440" spans="1:13" x14ac:dyDescent="0.3">
      <c r="A440" s="1" t="s">
        <v>720</v>
      </c>
      <c r="B440" s="2">
        <v>45273</v>
      </c>
      <c r="C440" s="1" t="s">
        <v>347</v>
      </c>
      <c r="D440" s="1" t="s">
        <v>249</v>
      </c>
      <c r="E440">
        <v>4</v>
      </c>
      <c r="F440" s="4">
        <v>759.95</v>
      </c>
      <c r="G440" s="3">
        <v>0.3</v>
      </c>
      <c r="H440" s="4">
        <v>45.88</v>
      </c>
      <c r="I440" t="str">
        <f>VLOOKUP(orders__17[[#This Row],[Customer_ID]],customers__2[#All],3,0)</f>
        <v>South</v>
      </c>
      <c r="J440" t="str">
        <f>VLOOKUP(orders__17[[#This Row],[Customer_ID]],customers__2[#All],4,0)</f>
        <v>Home Office</v>
      </c>
      <c r="K440" t="str">
        <f>VLOOKUP(orders__17[[#This Row],[Product_ID]],products[#All],3,0)</f>
        <v>Office Supplies</v>
      </c>
      <c r="L440" s="1" t="str">
        <f>VLOOKUP(orders__17[[#This Row],[Product_ID]],products[#All],4,0)</f>
        <v>Paper</v>
      </c>
      <c r="M440" s="1" t="str">
        <f>VLOOKUP(orders__17[[#This Row],[Order_ID]],returns[#All],2,0)</f>
        <v>No</v>
      </c>
    </row>
    <row r="441" spans="1:13" x14ac:dyDescent="0.3">
      <c r="A441" s="1" t="s">
        <v>721</v>
      </c>
      <c r="B441" s="2">
        <v>44803</v>
      </c>
      <c r="C441" s="1" t="s">
        <v>338</v>
      </c>
      <c r="D441" s="1" t="s">
        <v>72</v>
      </c>
      <c r="E441">
        <v>1</v>
      </c>
      <c r="F441" s="4">
        <v>1809.68</v>
      </c>
      <c r="G441" s="3">
        <v>0.2</v>
      </c>
      <c r="H441" s="4">
        <v>236.19</v>
      </c>
      <c r="I441" t="str">
        <f>VLOOKUP(orders__17[[#This Row],[Customer_ID]],customers__2[#All],3,0)</f>
        <v>East</v>
      </c>
      <c r="J441" t="str">
        <f>VLOOKUP(orders__17[[#This Row],[Customer_ID]],customers__2[#All],4,0)</f>
        <v>Corporate</v>
      </c>
      <c r="K441" t="str">
        <f>VLOOKUP(orders__17[[#This Row],[Product_ID]],products[#All],3,0)</f>
        <v>Furniture</v>
      </c>
      <c r="L441" s="1" t="str">
        <f>VLOOKUP(orders__17[[#This Row],[Product_ID]],products[#All],4,0)</f>
        <v>Chair</v>
      </c>
      <c r="M441" s="1" t="str">
        <f>VLOOKUP(orders__17[[#This Row],[Order_ID]],returns[#All],2,0)</f>
        <v>Yes</v>
      </c>
    </row>
    <row r="442" spans="1:13" x14ac:dyDescent="0.3">
      <c r="A442" s="1" t="s">
        <v>722</v>
      </c>
      <c r="B442" s="2">
        <v>45122</v>
      </c>
      <c r="C442" s="1" t="s">
        <v>723</v>
      </c>
      <c r="D442" s="1" t="s">
        <v>141</v>
      </c>
      <c r="E442">
        <v>1</v>
      </c>
      <c r="F442" s="4">
        <v>141.46</v>
      </c>
      <c r="G442" s="3">
        <v>0.1</v>
      </c>
      <c r="H442" s="4">
        <v>26.87</v>
      </c>
      <c r="I442" t="str">
        <f>VLOOKUP(orders__17[[#This Row],[Customer_ID]],customers__2[#All],3,0)</f>
        <v>North</v>
      </c>
      <c r="J442" t="str">
        <f>VLOOKUP(orders__17[[#This Row],[Customer_ID]],customers__2[#All],4,0)</f>
        <v>Home Office</v>
      </c>
      <c r="K442" t="str">
        <f>VLOOKUP(orders__17[[#This Row],[Product_ID]],products[#All],3,0)</f>
        <v>Technology</v>
      </c>
      <c r="L442" s="1" t="str">
        <f>VLOOKUP(orders__17[[#This Row],[Product_ID]],products[#All],4,0)</f>
        <v>Phone</v>
      </c>
      <c r="M442" s="1" t="str">
        <f>VLOOKUP(orders__17[[#This Row],[Order_ID]],returns[#All],2,0)</f>
        <v>No</v>
      </c>
    </row>
    <row r="443" spans="1:13" x14ac:dyDescent="0.3">
      <c r="A443" s="1" t="s">
        <v>724</v>
      </c>
      <c r="B443" s="2">
        <v>45347</v>
      </c>
      <c r="C443" s="1" t="s">
        <v>598</v>
      </c>
      <c r="D443" s="1" t="s">
        <v>86</v>
      </c>
      <c r="E443">
        <v>5</v>
      </c>
      <c r="F443" s="4">
        <v>1361.2</v>
      </c>
      <c r="G443" s="3">
        <v>0</v>
      </c>
      <c r="H443" s="4">
        <v>360.02</v>
      </c>
      <c r="I443" t="str">
        <f>VLOOKUP(orders__17[[#This Row],[Customer_ID]],customers__2[#All],3,0)</f>
        <v>South</v>
      </c>
      <c r="J443" t="str">
        <f>VLOOKUP(orders__17[[#This Row],[Customer_ID]],customers__2[#All],4,0)</f>
        <v>Home Office</v>
      </c>
      <c r="K443" t="str">
        <f>VLOOKUP(orders__17[[#This Row],[Product_ID]],products[#All],3,0)</f>
        <v>Furniture</v>
      </c>
      <c r="L443" s="1" t="str">
        <f>VLOOKUP(orders__17[[#This Row],[Product_ID]],products[#All],4,0)</f>
        <v>Table</v>
      </c>
      <c r="M443" s="1" t="str">
        <f>VLOOKUP(orders__17[[#This Row],[Order_ID]],returns[#All],2,0)</f>
        <v>No</v>
      </c>
    </row>
    <row r="444" spans="1:13" x14ac:dyDescent="0.3">
      <c r="A444" s="1" t="s">
        <v>725</v>
      </c>
      <c r="B444" s="2">
        <v>45267</v>
      </c>
      <c r="C444" s="1" t="s">
        <v>115</v>
      </c>
      <c r="D444" s="1" t="s">
        <v>132</v>
      </c>
      <c r="E444">
        <v>3</v>
      </c>
      <c r="F444" s="4">
        <v>1930.45</v>
      </c>
      <c r="G444" s="3">
        <v>0.2</v>
      </c>
      <c r="H444" s="4">
        <v>418.39</v>
      </c>
      <c r="I444" t="str">
        <f>VLOOKUP(orders__17[[#This Row],[Customer_ID]],customers__2[#All],3,0)</f>
        <v>South</v>
      </c>
      <c r="J444" t="str">
        <f>VLOOKUP(orders__17[[#This Row],[Customer_ID]],customers__2[#All],4,0)</f>
        <v>Consumer</v>
      </c>
      <c r="K444" t="str">
        <f>VLOOKUP(orders__17[[#This Row],[Product_ID]],products[#All],3,0)</f>
        <v>Furniture</v>
      </c>
      <c r="L444" s="1" t="str">
        <f>VLOOKUP(orders__17[[#This Row],[Product_ID]],products[#All],4,0)</f>
        <v>Shelf</v>
      </c>
      <c r="M444" s="1" t="str">
        <f>VLOOKUP(orders__17[[#This Row],[Order_ID]],returns[#All],2,0)</f>
        <v>No</v>
      </c>
    </row>
    <row r="445" spans="1:13" x14ac:dyDescent="0.3">
      <c r="A445" s="1" t="s">
        <v>726</v>
      </c>
      <c r="B445" s="2">
        <v>45358</v>
      </c>
      <c r="C445" s="1" t="s">
        <v>21</v>
      </c>
      <c r="D445" s="1" t="s">
        <v>727</v>
      </c>
      <c r="E445">
        <v>3</v>
      </c>
      <c r="F445" s="4">
        <v>1164.32</v>
      </c>
      <c r="G445" s="3">
        <v>0.3</v>
      </c>
      <c r="H445" s="4">
        <v>184.95</v>
      </c>
      <c r="I445" t="str">
        <f>VLOOKUP(orders__17[[#This Row],[Customer_ID]],customers__2[#All],3,0)</f>
        <v>West</v>
      </c>
      <c r="J445" t="str">
        <f>VLOOKUP(orders__17[[#This Row],[Customer_ID]],customers__2[#All],4,0)</f>
        <v>Corporate</v>
      </c>
      <c r="K445" t="str">
        <f>VLOOKUP(orders__17[[#This Row],[Product_ID]],products[#All],3,0)</f>
        <v>Furniture</v>
      </c>
      <c r="L445" s="1" t="str">
        <f>VLOOKUP(orders__17[[#This Row],[Product_ID]],products[#All],4,0)</f>
        <v>Chair</v>
      </c>
      <c r="M445" s="1" t="str">
        <f>VLOOKUP(orders__17[[#This Row],[Order_ID]],returns[#All],2,0)</f>
        <v>No</v>
      </c>
    </row>
    <row r="446" spans="1:13" x14ac:dyDescent="0.3">
      <c r="A446" s="1" t="s">
        <v>728</v>
      </c>
      <c r="B446" s="2">
        <v>45051</v>
      </c>
      <c r="C446" s="1" t="s">
        <v>729</v>
      </c>
      <c r="D446" s="1" t="s">
        <v>61</v>
      </c>
      <c r="E446">
        <v>5</v>
      </c>
      <c r="F446" s="4">
        <v>1879.96</v>
      </c>
      <c r="G446" s="3">
        <v>0.2</v>
      </c>
      <c r="H446" s="4">
        <v>541.95000000000005</v>
      </c>
      <c r="I446" t="str">
        <f>VLOOKUP(orders__17[[#This Row],[Customer_ID]],customers__2[#All],3,0)</f>
        <v>North</v>
      </c>
      <c r="J446" t="str">
        <f>VLOOKUP(orders__17[[#This Row],[Customer_ID]],customers__2[#All],4,0)</f>
        <v>Home Office</v>
      </c>
      <c r="K446" t="str">
        <f>VLOOKUP(orders__17[[#This Row],[Product_ID]],products[#All],3,0)</f>
        <v>Office Supplies</v>
      </c>
      <c r="L446" s="1" t="str">
        <f>VLOOKUP(orders__17[[#This Row],[Product_ID]],products[#All],4,0)</f>
        <v>Binder</v>
      </c>
      <c r="M446" s="1" t="str">
        <f>VLOOKUP(orders__17[[#This Row],[Order_ID]],returns[#All],2,0)</f>
        <v>No</v>
      </c>
    </row>
    <row r="447" spans="1:13" x14ac:dyDescent="0.3">
      <c r="A447" s="1" t="s">
        <v>730</v>
      </c>
      <c r="B447" s="2">
        <v>44865</v>
      </c>
      <c r="C447" s="1" t="s">
        <v>190</v>
      </c>
      <c r="D447" s="1" t="s">
        <v>242</v>
      </c>
      <c r="E447">
        <v>4</v>
      </c>
      <c r="F447" s="4">
        <v>199.29</v>
      </c>
      <c r="G447" s="3">
        <v>0.3</v>
      </c>
      <c r="H447" s="4">
        <v>45.8</v>
      </c>
      <c r="I447" t="str">
        <f>VLOOKUP(orders__17[[#This Row],[Customer_ID]],customers__2[#All],3,0)</f>
        <v>East</v>
      </c>
      <c r="J447" t="str">
        <f>VLOOKUP(orders__17[[#This Row],[Customer_ID]],customers__2[#All],4,0)</f>
        <v>Home Office</v>
      </c>
      <c r="K447" t="str">
        <f>VLOOKUP(orders__17[[#This Row],[Product_ID]],products[#All],3,0)</f>
        <v>Technology</v>
      </c>
      <c r="L447" s="1" t="str">
        <f>VLOOKUP(orders__17[[#This Row],[Product_ID]],products[#All],4,0)</f>
        <v>Phone</v>
      </c>
      <c r="M447" s="1" t="str">
        <f>VLOOKUP(orders__17[[#This Row],[Order_ID]],returns[#All],2,0)</f>
        <v>No</v>
      </c>
    </row>
    <row r="448" spans="1:13" x14ac:dyDescent="0.3">
      <c r="A448" s="1" t="s">
        <v>731</v>
      </c>
      <c r="B448" s="2">
        <v>44685</v>
      </c>
      <c r="C448" s="1" t="s">
        <v>265</v>
      </c>
      <c r="D448" s="1" t="s">
        <v>130</v>
      </c>
      <c r="E448">
        <v>3</v>
      </c>
      <c r="F448" s="4">
        <v>895.71</v>
      </c>
      <c r="G448" s="3">
        <v>0</v>
      </c>
      <c r="H448" s="4">
        <v>253.08</v>
      </c>
      <c r="I448" t="str">
        <f>VLOOKUP(orders__17[[#This Row],[Customer_ID]],customers__2[#All],3,0)</f>
        <v>East</v>
      </c>
      <c r="J448" t="str">
        <f>VLOOKUP(orders__17[[#This Row],[Customer_ID]],customers__2[#All],4,0)</f>
        <v>Consumer</v>
      </c>
      <c r="K448" t="str">
        <f>VLOOKUP(orders__17[[#This Row],[Product_ID]],products[#All],3,0)</f>
        <v>Furniture</v>
      </c>
      <c r="L448" s="1" t="str">
        <f>VLOOKUP(orders__17[[#This Row],[Product_ID]],products[#All],4,0)</f>
        <v>Desk</v>
      </c>
      <c r="M448" s="1" t="str">
        <f>VLOOKUP(orders__17[[#This Row],[Order_ID]],returns[#All],2,0)</f>
        <v>No</v>
      </c>
    </row>
    <row r="449" spans="1:13" x14ac:dyDescent="0.3">
      <c r="A449" s="1" t="s">
        <v>732</v>
      </c>
      <c r="B449" s="2">
        <v>45218</v>
      </c>
      <c r="C449" s="1" t="s">
        <v>402</v>
      </c>
      <c r="D449" s="1" t="s">
        <v>161</v>
      </c>
      <c r="E449">
        <v>1</v>
      </c>
      <c r="F449" s="4">
        <v>594.29999999999995</v>
      </c>
      <c r="G449" s="3">
        <v>0</v>
      </c>
      <c r="H449" s="4">
        <v>108.1</v>
      </c>
      <c r="I449" t="str">
        <f>VLOOKUP(orders__17[[#This Row],[Customer_ID]],customers__2[#All],3,0)</f>
        <v>West</v>
      </c>
      <c r="J449" t="str">
        <f>VLOOKUP(orders__17[[#This Row],[Customer_ID]],customers__2[#All],4,0)</f>
        <v>Consumer</v>
      </c>
      <c r="K449" t="str">
        <f>VLOOKUP(orders__17[[#This Row],[Product_ID]],products[#All],3,0)</f>
        <v>Office Supplies</v>
      </c>
      <c r="L449" s="1" t="str">
        <f>VLOOKUP(orders__17[[#This Row],[Product_ID]],products[#All],4,0)</f>
        <v>Binder</v>
      </c>
      <c r="M449" s="1" t="str">
        <f>VLOOKUP(orders__17[[#This Row],[Order_ID]],returns[#All],2,0)</f>
        <v>No</v>
      </c>
    </row>
    <row r="450" spans="1:13" x14ac:dyDescent="0.3">
      <c r="A450" s="1" t="s">
        <v>733</v>
      </c>
      <c r="B450" s="2">
        <v>45167</v>
      </c>
      <c r="C450" s="1" t="s">
        <v>138</v>
      </c>
      <c r="D450" s="1" t="s">
        <v>361</v>
      </c>
      <c r="E450">
        <v>1</v>
      </c>
      <c r="F450" s="4">
        <v>1488.56</v>
      </c>
      <c r="G450" s="3">
        <v>0.1</v>
      </c>
      <c r="H450" s="4">
        <v>170.78</v>
      </c>
      <c r="I450" t="str">
        <f>VLOOKUP(orders__17[[#This Row],[Customer_ID]],customers__2[#All],3,0)</f>
        <v>West</v>
      </c>
      <c r="J450" t="str">
        <f>VLOOKUP(orders__17[[#This Row],[Customer_ID]],customers__2[#All],4,0)</f>
        <v>Consumer</v>
      </c>
      <c r="K450" t="str">
        <f>VLOOKUP(orders__17[[#This Row],[Product_ID]],products[#All],3,0)</f>
        <v>Furniture</v>
      </c>
      <c r="L450" s="1" t="str">
        <f>VLOOKUP(orders__17[[#This Row],[Product_ID]],products[#All],4,0)</f>
        <v>Shelf</v>
      </c>
      <c r="M450" s="1" t="str">
        <f>VLOOKUP(orders__17[[#This Row],[Order_ID]],returns[#All],2,0)</f>
        <v>Yes</v>
      </c>
    </row>
    <row r="451" spans="1:13" x14ac:dyDescent="0.3">
      <c r="A451" s="1" t="s">
        <v>734</v>
      </c>
      <c r="B451" s="2">
        <v>44999</v>
      </c>
      <c r="C451" s="1" t="s">
        <v>422</v>
      </c>
      <c r="D451" s="1" t="s">
        <v>86</v>
      </c>
      <c r="E451">
        <v>2</v>
      </c>
      <c r="F451" s="4">
        <v>1964.46</v>
      </c>
      <c r="G451" s="3">
        <v>0.3</v>
      </c>
      <c r="H451" s="4">
        <v>124.17</v>
      </c>
      <c r="I451" t="str">
        <f>VLOOKUP(orders__17[[#This Row],[Customer_ID]],customers__2[#All],3,0)</f>
        <v>East</v>
      </c>
      <c r="J451" t="str">
        <f>VLOOKUP(orders__17[[#This Row],[Customer_ID]],customers__2[#All],4,0)</f>
        <v>Home Office</v>
      </c>
      <c r="K451" t="str">
        <f>VLOOKUP(orders__17[[#This Row],[Product_ID]],products[#All],3,0)</f>
        <v>Furniture</v>
      </c>
      <c r="L451" s="1" t="str">
        <f>VLOOKUP(orders__17[[#This Row],[Product_ID]],products[#All],4,0)</f>
        <v>Table</v>
      </c>
      <c r="M451" s="1" t="str">
        <f>VLOOKUP(orders__17[[#This Row],[Order_ID]],returns[#All],2,0)</f>
        <v>No</v>
      </c>
    </row>
    <row r="452" spans="1:13" x14ac:dyDescent="0.3">
      <c r="A452" s="1" t="s">
        <v>735</v>
      </c>
      <c r="B452" s="2">
        <v>44990</v>
      </c>
      <c r="C452" s="1" t="s">
        <v>579</v>
      </c>
      <c r="D452" s="1" t="s">
        <v>294</v>
      </c>
      <c r="E452">
        <v>3</v>
      </c>
      <c r="F452" s="4">
        <v>587.41</v>
      </c>
      <c r="G452" s="3">
        <v>0.1</v>
      </c>
      <c r="H452" s="4">
        <v>136</v>
      </c>
      <c r="I452" t="str">
        <f>VLOOKUP(orders__17[[#This Row],[Customer_ID]],customers__2[#All],3,0)</f>
        <v>West</v>
      </c>
      <c r="J452" t="str">
        <f>VLOOKUP(orders__17[[#This Row],[Customer_ID]],customers__2[#All],4,0)</f>
        <v>Corporate</v>
      </c>
      <c r="K452" t="str">
        <f>VLOOKUP(orders__17[[#This Row],[Product_ID]],products[#All],3,0)</f>
        <v>Technology</v>
      </c>
      <c r="L452" s="1" t="str">
        <f>VLOOKUP(orders__17[[#This Row],[Product_ID]],products[#All],4,0)</f>
        <v>Tablet</v>
      </c>
      <c r="M452" s="1" t="str">
        <f>VLOOKUP(orders__17[[#This Row],[Order_ID]],returns[#All],2,0)</f>
        <v>No</v>
      </c>
    </row>
    <row r="453" spans="1:13" x14ac:dyDescent="0.3">
      <c r="A453" s="1" t="s">
        <v>736</v>
      </c>
      <c r="B453" s="2">
        <v>45210</v>
      </c>
      <c r="C453" s="1" t="s">
        <v>434</v>
      </c>
      <c r="D453" s="1" t="s">
        <v>37</v>
      </c>
      <c r="E453">
        <v>4</v>
      </c>
      <c r="F453" s="4">
        <v>1342.93</v>
      </c>
      <c r="G453" s="3">
        <v>0.1</v>
      </c>
      <c r="H453" s="4">
        <v>107.87</v>
      </c>
      <c r="I453" t="str">
        <f>VLOOKUP(orders__17[[#This Row],[Customer_ID]],customers__2[#All],3,0)</f>
        <v>North</v>
      </c>
      <c r="J453" t="str">
        <f>VLOOKUP(orders__17[[#This Row],[Customer_ID]],customers__2[#All],4,0)</f>
        <v>Corporate</v>
      </c>
      <c r="K453" t="str">
        <f>VLOOKUP(orders__17[[#This Row],[Product_ID]],products[#All],3,0)</f>
        <v>Furniture</v>
      </c>
      <c r="L453" s="1" t="str">
        <f>VLOOKUP(orders__17[[#This Row],[Product_ID]],products[#All],4,0)</f>
        <v>Desk</v>
      </c>
      <c r="M453" s="1" t="str">
        <f>VLOOKUP(orders__17[[#This Row],[Order_ID]],returns[#All],2,0)</f>
        <v>Yes</v>
      </c>
    </row>
    <row r="454" spans="1:13" x14ac:dyDescent="0.3">
      <c r="A454" s="1" t="s">
        <v>737</v>
      </c>
      <c r="B454" s="2">
        <v>44581</v>
      </c>
      <c r="C454" s="1" t="s">
        <v>99</v>
      </c>
      <c r="D454" s="1" t="s">
        <v>226</v>
      </c>
      <c r="E454">
        <v>5</v>
      </c>
      <c r="F454" s="4">
        <v>476.39</v>
      </c>
      <c r="G454" s="3">
        <v>0</v>
      </c>
      <c r="H454" s="4">
        <v>59.88</v>
      </c>
      <c r="I454" t="str">
        <f>VLOOKUP(orders__17[[#This Row],[Customer_ID]],customers__2[#All],3,0)</f>
        <v>East</v>
      </c>
      <c r="J454" t="str">
        <f>VLOOKUP(orders__17[[#This Row],[Customer_ID]],customers__2[#All],4,0)</f>
        <v>Corporate</v>
      </c>
      <c r="K454" t="str">
        <f>VLOOKUP(orders__17[[#This Row],[Product_ID]],products[#All],3,0)</f>
        <v>Technology</v>
      </c>
      <c r="L454" s="1" t="str">
        <f>VLOOKUP(orders__17[[#This Row],[Product_ID]],products[#All],4,0)</f>
        <v>Laptop</v>
      </c>
      <c r="M454" s="1" t="str">
        <f>VLOOKUP(orders__17[[#This Row],[Order_ID]],returns[#All],2,0)</f>
        <v>No</v>
      </c>
    </row>
    <row r="455" spans="1:13" x14ac:dyDescent="0.3">
      <c r="A455" s="1" t="s">
        <v>738</v>
      </c>
      <c r="B455" s="2">
        <v>44666</v>
      </c>
      <c r="C455" s="1" t="s">
        <v>739</v>
      </c>
      <c r="D455" s="1" t="s">
        <v>177</v>
      </c>
      <c r="E455">
        <v>5</v>
      </c>
      <c r="F455" s="4">
        <v>1174.1300000000001</v>
      </c>
      <c r="G455" s="3">
        <v>0.2</v>
      </c>
      <c r="H455" s="4">
        <v>215</v>
      </c>
      <c r="I455" t="str">
        <f>VLOOKUP(orders__17[[#This Row],[Customer_ID]],customers__2[#All],3,0)</f>
        <v>North</v>
      </c>
      <c r="J455" t="str">
        <f>VLOOKUP(orders__17[[#This Row],[Customer_ID]],customers__2[#All],4,0)</f>
        <v>Consumer</v>
      </c>
      <c r="K455" t="str">
        <f>VLOOKUP(orders__17[[#This Row],[Product_ID]],products[#All],3,0)</f>
        <v>Furniture</v>
      </c>
      <c r="L455" s="1" t="str">
        <f>VLOOKUP(orders__17[[#This Row],[Product_ID]],products[#All],4,0)</f>
        <v>Table</v>
      </c>
      <c r="M455" s="1" t="str">
        <f>VLOOKUP(orders__17[[#This Row],[Order_ID]],returns[#All],2,0)</f>
        <v>No</v>
      </c>
    </row>
    <row r="456" spans="1:13" x14ac:dyDescent="0.3">
      <c r="A456" s="1" t="s">
        <v>740</v>
      </c>
      <c r="B456" s="2">
        <v>45181</v>
      </c>
      <c r="C456" s="1" t="s">
        <v>176</v>
      </c>
      <c r="D456" s="1" t="s">
        <v>211</v>
      </c>
      <c r="E456">
        <v>4</v>
      </c>
      <c r="F456" s="4">
        <v>981.47</v>
      </c>
      <c r="G456" s="3">
        <v>0.2</v>
      </c>
      <c r="H456" s="4">
        <v>187.56</v>
      </c>
      <c r="I456" t="str">
        <f>VLOOKUP(orders__17[[#This Row],[Customer_ID]],customers__2[#All],3,0)</f>
        <v>South</v>
      </c>
      <c r="J456" t="str">
        <f>VLOOKUP(orders__17[[#This Row],[Customer_ID]],customers__2[#All],4,0)</f>
        <v>Home Office</v>
      </c>
      <c r="K456" t="str">
        <f>VLOOKUP(orders__17[[#This Row],[Product_ID]],products[#All],3,0)</f>
        <v>Office Supplies</v>
      </c>
      <c r="L456" s="1" t="str">
        <f>VLOOKUP(orders__17[[#This Row],[Product_ID]],products[#All],4,0)</f>
        <v>Binder</v>
      </c>
      <c r="M456" s="1" t="str">
        <f>VLOOKUP(orders__17[[#This Row],[Order_ID]],returns[#All],2,0)</f>
        <v>No</v>
      </c>
    </row>
    <row r="457" spans="1:13" x14ac:dyDescent="0.3">
      <c r="A457" s="1" t="s">
        <v>741</v>
      </c>
      <c r="B457" s="2">
        <v>45012</v>
      </c>
      <c r="C457" s="1" t="s">
        <v>489</v>
      </c>
      <c r="D457" s="1" t="s">
        <v>122</v>
      </c>
      <c r="E457">
        <v>2</v>
      </c>
      <c r="F457" s="4">
        <v>1946.81</v>
      </c>
      <c r="G457" s="3">
        <v>0.1</v>
      </c>
      <c r="H457" s="4">
        <v>389.65</v>
      </c>
      <c r="I457" t="str">
        <f>VLOOKUP(orders__17[[#This Row],[Customer_ID]],customers__2[#All],3,0)</f>
        <v>North</v>
      </c>
      <c r="J457" t="str">
        <f>VLOOKUP(orders__17[[#This Row],[Customer_ID]],customers__2[#All],4,0)</f>
        <v>Home Office</v>
      </c>
      <c r="K457" t="str">
        <f>VLOOKUP(orders__17[[#This Row],[Product_ID]],products[#All],3,0)</f>
        <v>Office Supplies</v>
      </c>
      <c r="L457" s="1" t="str">
        <f>VLOOKUP(orders__17[[#This Row],[Product_ID]],products[#All],4,0)</f>
        <v>Storage</v>
      </c>
      <c r="M457" s="1" t="str">
        <f>VLOOKUP(orders__17[[#This Row],[Order_ID]],returns[#All],2,0)</f>
        <v>No</v>
      </c>
    </row>
    <row r="458" spans="1:13" x14ac:dyDescent="0.3">
      <c r="A458" s="1" t="s">
        <v>742</v>
      </c>
      <c r="B458" s="2">
        <v>44647</v>
      </c>
      <c r="C458" s="1" t="s">
        <v>102</v>
      </c>
      <c r="D458" s="1" t="s">
        <v>109</v>
      </c>
      <c r="E458">
        <v>5</v>
      </c>
      <c r="F458" s="4">
        <v>1256.2</v>
      </c>
      <c r="G458" s="3">
        <v>0</v>
      </c>
      <c r="H458" s="4">
        <v>115.02</v>
      </c>
      <c r="I458" t="str">
        <f>VLOOKUP(orders__17[[#This Row],[Customer_ID]],customers__2[#All],3,0)</f>
        <v>West</v>
      </c>
      <c r="J458" t="str">
        <f>VLOOKUP(orders__17[[#This Row],[Customer_ID]],customers__2[#All],4,0)</f>
        <v>Corporate</v>
      </c>
      <c r="K458" t="str">
        <f>VLOOKUP(orders__17[[#This Row],[Product_ID]],products[#All],3,0)</f>
        <v>Furniture</v>
      </c>
      <c r="L458" s="1" t="str">
        <f>VLOOKUP(orders__17[[#This Row],[Product_ID]],products[#All],4,0)</f>
        <v>Chair</v>
      </c>
      <c r="M458" s="1" t="str">
        <f>VLOOKUP(orders__17[[#This Row],[Order_ID]],returns[#All],2,0)</f>
        <v>No</v>
      </c>
    </row>
    <row r="459" spans="1:13" x14ac:dyDescent="0.3">
      <c r="A459" s="1" t="s">
        <v>743</v>
      </c>
      <c r="B459" s="2">
        <v>45229</v>
      </c>
      <c r="C459" s="1" t="s">
        <v>744</v>
      </c>
      <c r="D459" s="1" t="s">
        <v>139</v>
      </c>
      <c r="E459">
        <v>3</v>
      </c>
      <c r="F459" s="4">
        <v>764.06</v>
      </c>
      <c r="G459" s="3">
        <v>0.3</v>
      </c>
      <c r="H459" s="4">
        <v>110.74</v>
      </c>
      <c r="I459" t="str">
        <f>VLOOKUP(orders__17[[#This Row],[Customer_ID]],customers__2[#All],3,0)</f>
        <v>East</v>
      </c>
      <c r="J459" t="str">
        <f>VLOOKUP(orders__17[[#This Row],[Customer_ID]],customers__2[#All],4,0)</f>
        <v>Consumer</v>
      </c>
      <c r="K459" t="str">
        <f>VLOOKUP(orders__17[[#This Row],[Product_ID]],products[#All],3,0)</f>
        <v>Furniture</v>
      </c>
      <c r="L459" s="1" t="str">
        <f>VLOOKUP(orders__17[[#This Row],[Product_ID]],products[#All],4,0)</f>
        <v>Table</v>
      </c>
      <c r="M459" s="1" t="str">
        <f>VLOOKUP(orders__17[[#This Row],[Order_ID]],returns[#All],2,0)</f>
        <v>No</v>
      </c>
    </row>
    <row r="460" spans="1:13" x14ac:dyDescent="0.3">
      <c r="A460" s="1" t="s">
        <v>745</v>
      </c>
      <c r="B460" s="2">
        <v>44759</v>
      </c>
      <c r="C460" s="1" t="s">
        <v>225</v>
      </c>
      <c r="D460" s="1" t="s">
        <v>180</v>
      </c>
      <c r="E460">
        <v>2</v>
      </c>
      <c r="F460" s="4">
        <v>316.77999999999997</v>
      </c>
      <c r="G460" s="3">
        <v>0.2</v>
      </c>
      <c r="H460" s="4">
        <v>64.72</v>
      </c>
      <c r="I460" t="str">
        <f>VLOOKUP(orders__17[[#This Row],[Customer_ID]],customers__2[#All],3,0)</f>
        <v>North</v>
      </c>
      <c r="J460" t="str">
        <f>VLOOKUP(orders__17[[#This Row],[Customer_ID]],customers__2[#All],4,0)</f>
        <v>Consumer</v>
      </c>
      <c r="K460" t="str">
        <f>VLOOKUP(orders__17[[#This Row],[Product_ID]],products[#All],3,0)</f>
        <v>Furniture</v>
      </c>
      <c r="L460" s="1" t="str">
        <f>VLOOKUP(orders__17[[#This Row],[Product_ID]],products[#All],4,0)</f>
        <v>Chair</v>
      </c>
      <c r="M460" s="1" t="str">
        <f>VLOOKUP(orders__17[[#This Row],[Order_ID]],returns[#All],2,0)</f>
        <v>No</v>
      </c>
    </row>
    <row r="461" spans="1:13" x14ac:dyDescent="0.3">
      <c r="A461" s="1" t="s">
        <v>746</v>
      </c>
      <c r="B461" s="2">
        <v>45397</v>
      </c>
      <c r="C461" s="1" t="s">
        <v>384</v>
      </c>
      <c r="D461" s="1" t="s">
        <v>161</v>
      </c>
      <c r="E461">
        <v>3</v>
      </c>
      <c r="F461" s="4">
        <v>387.37</v>
      </c>
      <c r="G461" s="3">
        <v>0.1</v>
      </c>
      <c r="H461" s="4">
        <v>113.29</v>
      </c>
      <c r="I461" t="str">
        <f>VLOOKUP(orders__17[[#This Row],[Customer_ID]],customers__2[#All],3,0)</f>
        <v>East</v>
      </c>
      <c r="J461" t="str">
        <f>VLOOKUP(orders__17[[#This Row],[Customer_ID]],customers__2[#All],4,0)</f>
        <v>Corporate</v>
      </c>
      <c r="K461" t="str">
        <f>VLOOKUP(orders__17[[#This Row],[Product_ID]],products[#All],3,0)</f>
        <v>Office Supplies</v>
      </c>
      <c r="L461" s="1" t="str">
        <f>VLOOKUP(orders__17[[#This Row],[Product_ID]],products[#All],4,0)</f>
        <v>Binder</v>
      </c>
      <c r="M461" s="1" t="str">
        <f>VLOOKUP(orders__17[[#This Row],[Order_ID]],returns[#All],2,0)</f>
        <v>No</v>
      </c>
    </row>
    <row r="462" spans="1:13" x14ac:dyDescent="0.3">
      <c r="A462" s="1" t="s">
        <v>747</v>
      </c>
      <c r="B462" s="2">
        <v>45334</v>
      </c>
      <c r="C462" s="1" t="s">
        <v>371</v>
      </c>
      <c r="D462" s="1" t="s">
        <v>369</v>
      </c>
      <c r="E462">
        <v>1</v>
      </c>
      <c r="F462" s="4">
        <v>528.1</v>
      </c>
      <c r="G462" s="3">
        <v>0.2</v>
      </c>
      <c r="H462" s="4">
        <v>122.47</v>
      </c>
      <c r="I462" t="str">
        <f>VLOOKUP(orders__17[[#This Row],[Customer_ID]],customers__2[#All],3,0)</f>
        <v>East</v>
      </c>
      <c r="J462" t="str">
        <f>VLOOKUP(orders__17[[#This Row],[Customer_ID]],customers__2[#All],4,0)</f>
        <v>Corporate</v>
      </c>
      <c r="K462" t="str">
        <f>VLOOKUP(orders__17[[#This Row],[Product_ID]],products[#All],3,0)</f>
        <v>Technology</v>
      </c>
      <c r="L462" s="1" t="str">
        <f>VLOOKUP(orders__17[[#This Row],[Product_ID]],products[#All],4,0)</f>
        <v>Phone</v>
      </c>
      <c r="M462" s="1" t="str">
        <f>VLOOKUP(orders__17[[#This Row],[Order_ID]],returns[#All],2,0)</f>
        <v>No</v>
      </c>
    </row>
    <row r="463" spans="1:13" x14ac:dyDescent="0.3">
      <c r="A463" s="1" t="s">
        <v>748</v>
      </c>
      <c r="B463" s="2">
        <v>44953</v>
      </c>
      <c r="C463" s="1" t="s">
        <v>353</v>
      </c>
      <c r="D463" s="1" t="s">
        <v>100</v>
      </c>
      <c r="E463">
        <v>2</v>
      </c>
      <c r="F463" s="4">
        <v>576.84</v>
      </c>
      <c r="G463" s="3">
        <v>0.2</v>
      </c>
      <c r="H463" s="4">
        <v>161.88999999999999</v>
      </c>
      <c r="I463" t="str">
        <f>VLOOKUP(orders__17[[#This Row],[Customer_ID]],customers__2[#All],3,0)</f>
        <v>East</v>
      </c>
      <c r="J463" t="str">
        <f>VLOOKUP(orders__17[[#This Row],[Customer_ID]],customers__2[#All],4,0)</f>
        <v>Home Office</v>
      </c>
      <c r="K463" t="str">
        <f>VLOOKUP(orders__17[[#This Row],[Product_ID]],products[#All],3,0)</f>
        <v>Technology</v>
      </c>
      <c r="L463" s="1" t="str">
        <f>VLOOKUP(orders__17[[#This Row],[Product_ID]],products[#All],4,0)</f>
        <v>Laptop</v>
      </c>
      <c r="M463" s="1" t="str">
        <f>VLOOKUP(orders__17[[#This Row],[Order_ID]],returns[#All],2,0)</f>
        <v>No</v>
      </c>
    </row>
    <row r="464" spans="1:13" x14ac:dyDescent="0.3">
      <c r="A464" s="1" t="s">
        <v>749</v>
      </c>
      <c r="B464" s="2">
        <v>45083</v>
      </c>
      <c r="C464" s="1" t="s">
        <v>39</v>
      </c>
      <c r="D464" s="1" t="s">
        <v>269</v>
      </c>
      <c r="E464">
        <v>5</v>
      </c>
      <c r="F464" s="4">
        <v>1716.17</v>
      </c>
      <c r="G464" s="3">
        <v>0.3</v>
      </c>
      <c r="H464" s="4">
        <v>412.83</v>
      </c>
      <c r="I464" t="str">
        <f>VLOOKUP(orders__17[[#This Row],[Customer_ID]],customers__2[#All],3,0)</f>
        <v>West</v>
      </c>
      <c r="J464" t="str">
        <f>VLOOKUP(orders__17[[#This Row],[Customer_ID]],customers__2[#All],4,0)</f>
        <v>Consumer</v>
      </c>
      <c r="K464" t="str">
        <f>VLOOKUP(orders__17[[#This Row],[Product_ID]],products[#All],3,0)</f>
        <v>Office Supplies</v>
      </c>
      <c r="L464" s="1" t="str">
        <f>VLOOKUP(orders__17[[#This Row],[Product_ID]],products[#All],4,0)</f>
        <v>Pen</v>
      </c>
      <c r="M464" s="1" t="str">
        <f>VLOOKUP(orders__17[[#This Row],[Order_ID]],returns[#All],2,0)</f>
        <v>No</v>
      </c>
    </row>
    <row r="465" spans="1:13" x14ac:dyDescent="0.3">
      <c r="A465" s="1" t="s">
        <v>750</v>
      </c>
      <c r="B465" s="2">
        <v>44744</v>
      </c>
      <c r="C465" s="1" t="s">
        <v>751</v>
      </c>
      <c r="D465" s="1" t="s">
        <v>25</v>
      </c>
      <c r="E465">
        <v>2</v>
      </c>
      <c r="F465" s="4">
        <v>1166.32</v>
      </c>
      <c r="G465" s="3">
        <v>0</v>
      </c>
      <c r="H465" s="4">
        <v>230.85</v>
      </c>
      <c r="I465" t="str">
        <f>VLOOKUP(orders__17[[#This Row],[Customer_ID]],customers__2[#All],3,0)</f>
        <v>North</v>
      </c>
      <c r="J465" t="str">
        <f>VLOOKUP(orders__17[[#This Row],[Customer_ID]],customers__2[#All],4,0)</f>
        <v>Corporate</v>
      </c>
      <c r="K465" t="str">
        <f>VLOOKUP(orders__17[[#This Row],[Product_ID]],products[#All],3,0)</f>
        <v>Office Supplies</v>
      </c>
      <c r="L465" s="1" t="str">
        <f>VLOOKUP(orders__17[[#This Row],[Product_ID]],products[#All],4,0)</f>
        <v>Paper</v>
      </c>
      <c r="M465" s="1" t="str">
        <f>VLOOKUP(orders__17[[#This Row],[Order_ID]],returns[#All],2,0)</f>
        <v>No</v>
      </c>
    </row>
    <row r="466" spans="1:13" x14ac:dyDescent="0.3">
      <c r="A466" s="1" t="s">
        <v>752</v>
      </c>
      <c r="B466" s="2">
        <v>45169</v>
      </c>
      <c r="C466" s="1" t="s">
        <v>220</v>
      </c>
      <c r="D466" s="1" t="s">
        <v>239</v>
      </c>
      <c r="E466">
        <v>2</v>
      </c>
      <c r="F466" s="4">
        <v>1094.44</v>
      </c>
      <c r="G466" s="3">
        <v>0.3</v>
      </c>
      <c r="H466" s="4">
        <v>107.26</v>
      </c>
      <c r="I466" t="str">
        <f>VLOOKUP(orders__17[[#This Row],[Customer_ID]],customers__2[#All],3,0)</f>
        <v>West</v>
      </c>
      <c r="J466" t="str">
        <f>VLOOKUP(orders__17[[#This Row],[Customer_ID]],customers__2[#All],4,0)</f>
        <v>Corporate</v>
      </c>
      <c r="K466" t="str">
        <f>VLOOKUP(orders__17[[#This Row],[Product_ID]],products[#All],3,0)</f>
        <v>Furniture</v>
      </c>
      <c r="L466" s="1" t="str">
        <f>VLOOKUP(orders__17[[#This Row],[Product_ID]],products[#All],4,0)</f>
        <v>Shelf</v>
      </c>
      <c r="M466" s="1" t="str">
        <f>VLOOKUP(orders__17[[#This Row],[Order_ID]],returns[#All],2,0)</f>
        <v>No</v>
      </c>
    </row>
    <row r="467" spans="1:13" x14ac:dyDescent="0.3">
      <c r="A467" s="1" t="s">
        <v>753</v>
      </c>
      <c r="B467" s="2">
        <v>44769</v>
      </c>
      <c r="C467" s="1" t="s">
        <v>96</v>
      </c>
      <c r="D467" s="1" t="s">
        <v>309</v>
      </c>
      <c r="E467">
        <v>2</v>
      </c>
      <c r="F467" s="4">
        <v>318.06</v>
      </c>
      <c r="G467" s="3">
        <v>0</v>
      </c>
      <c r="H467" s="4">
        <v>68.91</v>
      </c>
      <c r="I467" t="str">
        <f>VLOOKUP(orders__17[[#This Row],[Customer_ID]],customers__2[#All],3,0)</f>
        <v>West</v>
      </c>
      <c r="J467" t="str">
        <f>VLOOKUP(orders__17[[#This Row],[Customer_ID]],customers__2[#All],4,0)</f>
        <v>Corporate</v>
      </c>
      <c r="K467" t="str">
        <f>VLOOKUP(orders__17[[#This Row],[Product_ID]],products[#All],3,0)</f>
        <v>Office Supplies</v>
      </c>
      <c r="L467" s="1" t="str">
        <f>VLOOKUP(orders__17[[#This Row],[Product_ID]],products[#All],4,0)</f>
        <v>Pen</v>
      </c>
      <c r="M467" s="1" t="str">
        <f>VLOOKUP(orders__17[[#This Row],[Order_ID]],returns[#All],2,0)</f>
        <v>Yes</v>
      </c>
    </row>
    <row r="468" spans="1:13" x14ac:dyDescent="0.3">
      <c r="A468" s="1" t="s">
        <v>754</v>
      </c>
      <c r="B468" s="2">
        <v>44826</v>
      </c>
      <c r="C468" s="1" t="s">
        <v>194</v>
      </c>
      <c r="D468" s="1" t="s">
        <v>226</v>
      </c>
      <c r="E468">
        <v>2</v>
      </c>
      <c r="F468" s="4">
        <v>1734.27</v>
      </c>
      <c r="G468" s="3">
        <v>0.2</v>
      </c>
      <c r="H468" s="4">
        <v>356.99</v>
      </c>
      <c r="I468" t="str">
        <f>VLOOKUP(orders__17[[#This Row],[Customer_ID]],customers__2[#All],3,0)</f>
        <v>North</v>
      </c>
      <c r="J468" t="str">
        <f>VLOOKUP(orders__17[[#This Row],[Customer_ID]],customers__2[#All],4,0)</f>
        <v>Home Office</v>
      </c>
      <c r="K468" t="str">
        <f>VLOOKUP(orders__17[[#This Row],[Product_ID]],products[#All],3,0)</f>
        <v>Technology</v>
      </c>
      <c r="L468" s="1" t="str">
        <f>VLOOKUP(orders__17[[#This Row],[Product_ID]],products[#All],4,0)</f>
        <v>Laptop</v>
      </c>
      <c r="M468" s="1" t="str">
        <f>VLOOKUP(orders__17[[#This Row],[Order_ID]],returns[#All],2,0)</f>
        <v>No</v>
      </c>
    </row>
    <row r="469" spans="1:13" x14ac:dyDescent="0.3">
      <c r="A469" s="1" t="s">
        <v>755</v>
      </c>
      <c r="B469" s="2">
        <v>44878</v>
      </c>
      <c r="C469" s="1" t="s">
        <v>308</v>
      </c>
      <c r="D469" s="1" t="s">
        <v>83</v>
      </c>
      <c r="E469">
        <v>3</v>
      </c>
      <c r="F469" s="4">
        <v>1473.35</v>
      </c>
      <c r="G469" s="3">
        <v>0.1</v>
      </c>
      <c r="H469" s="4">
        <v>295.58</v>
      </c>
      <c r="I469" t="str">
        <f>VLOOKUP(orders__17[[#This Row],[Customer_ID]],customers__2[#All],3,0)</f>
        <v>North</v>
      </c>
      <c r="J469" t="str">
        <f>VLOOKUP(orders__17[[#This Row],[Customer_ID]],customers__2[#All],4,0)</f>
        <v>Home Office</v>
      </c>
      <c r="K469" t="str">
        <f>VLOOKUP(orders__17[[#This Row],[Product_ID]],products[#All],3,0)</f>
        <v>Furniture</v>
      </c>
      <c r="L469" s="1" t="str">
        <f>VLOOKUP(orders__17[[#This Row],[Product_ID]],products[#All],4,0)</f>
        <v>Table</v>
      </c>
      <c r="M469" s="1" t="str">
        <f>VLOOKUP(orders__17[[#This Row],[Order_ID]],returns[#All],2,0)</f>
        <v>No</v>
      </c>
    </row>
    <row r="470" spans="1:13" x14ac:dyDescent="0.3">
      <c r="A470" s="1" t="s">
        <v>756</v>
      </c>
      <c r="B470" s="2">
        <v>44753</v>
      </c>
      <c r="C470" s="1" t="s">
        <v>33</v>
      </c>
      <c r="D470" s="1" t="s">
        <v>757</v>
      </c>
      <c r="E470">
        <v>1</v>
      </c>
      <c r="F470" s="4">
        <v>228.57</v>
      </c>
      <c r="G470" s="3">
        <v>0.3</v>
      </c>
      <c r="H470" s="4">
        <v>39.42</v>
      </c>
      <c r="I470" t="str">
        <f>VLOOKUP(orders__17[[#This Row],[Customer_ID]],customers__2[#All],3,0)</f>
        <v>East</v>
      </c>
      <c r="J470" t="str">
        <f>VLOOKUP(orders__17[[#This Row],[Customer_ID]],customers__2[#All],4,0)</f>
        <v>Home Office</v>
      </c>
      <c r="K470" t="str">
        <f>VLOOKUP(orders__17[[#This Row],[Product_ID]],products[#All],3,0)</f>
        <v>Office Supplies</v>
      </c>
      <c r="L470" s="1" t="str">
        <f>VLOOKUP(orders__17[[#This Row],[Product_ID]],products[#All],4,0)</f>
        <v>Pen</v>
      </c>
      <c r="M470" s="1" t="str">
        <f>VLOOKUP(orders__17[[#This Row],[Order_ID]],returns[#All],2,0)</f>
        <v>No</v>
      </c>
    </row>
    <row r="471" spans="1:13" x14ac:dyDescent="0.3">
      <c r="A471" s="1" t="s">
        <v>758</v>
      </c>
      <c r="B471" s="2">
        <v>45227</v>
      </c>
      <c r="C471" s="1" t="s">
        <v>50</v>
      </c>
      <c r="D471" s="1" t="s">
        <v>309</v>
      </c>
      <c r="E471">
        <v>4</v>
      </c>
      <c r="F471" s="4">
        <v>1444.89</v>
      </c>
      <c r="G471" s="3">
        <v>0</v>
      </c>
      <c r="H471" s="4">
        <v>263.20999999999998</v>
      </c>
      <c r="I471" t="str">
        <f>VLOOKUP(orders__17[[#This Row],[Customer_ID]],customers__2[#All],3,0)</f>
        <v>East</v>
      </c>
      <c r="J471" t="str">
        <f>VLOOKUP(orders__17[[#This Row],[Customer_ID]],customers__2[#All],4,0)</f>
        <v>Corporate</v>
      </c>
      <c r="K471" t="str">
        <f>VLOOKUP(orders__17[[#This Row],[Product_ID]],products[#All],3,0)</f>
        <v>Office Supplies</v>
      </c>
      <c r="L471" s="1" t="str">
        <f>VLOOKUP(orders__17[[#This Row],[Product_ID]],products[#All],4,0)</f>
        <v>Pen</v>
      </c>
      <c r="M471" s="1" t="str">
        <f>VLOOKUP(orders__17[[#This Row],[Order_ID]],returns[#All],2,0)</f>
        <v>Yes</v>
      </c>
    </row>
    <row r="472" spans="1:13" x14ac:dyDescent="0.3">
      <c r="A472" s="1" t="s">
        <v>759</v>
      </c>
      <c r="B472" s="2">
        <v>45137</v>
      </c>
      <c r="C472" s="1" t="s">
        <v>396</v>
      </c>
      <c r="D472" s="1" t="s">
        <v>458</v>
      </c>
      <c r="E472">
        <v>2</v>
      </c>
      <c r="F472" s="4">
        <v>1132.72</v>
      </c>
      <c r="G472" s="3">
        <v>0.2</v>
      </c>
      <c r="H472" s="4">
        <v>151.34</v>
      </c>
      <c r="I472" t="str">
        <f>VLOOKUP(orders__17[[#This Row],[Customer_ID]],customers__2[#All],3,0)</f>
        <v>West</v>
      </c>
      <c r="J472" t="str">
        <f>VLOOKUP(orders__17[[#This Row],[Customer_ID]],customers__2[#All],4,0)</f>
        <v>Home Office</v>
      </c>
      <c r="K472" t="str">
        <f>VLOOKUP(orders__17[[#This Row],[Product_ID]],products[#All],3,0)</f>
        <v>Technology</v>
      </c>
      <c r="L472" s="1" t="str">
        <f>VLOOKUP(orders__17[[#This Row],[Product_ID]],products[#All],4,0)</f>
        <v>Phone</v>
      </c>
      <c r="M472" s="1" t="str">
        <f>VLOOKUP(orders__17[[#This Row],[Order_ID]],returns[#All],2,0)</f>
        <v>No</v>
      </c>
    </row>
    <row r="473" spans="1:13" x14ac:dyDescent="0.3">
      <c r="A473" s="1" t="s">
        <v>760</v>
      </c>
      <c r="B473" s="2">
        <v>45120</v>
      </c>
      <c r="C473" s="1" t="s">
        <v>671</v>
      </c>
      <c r="D473" s="1" t="s">
        <v>19</v>
      </c>
      <c r="E473">
        <v>5</v>
      </c>
      <c r="F473" s="4">
        <v>255.28</v>
      </c>
      <c r="G473" s="3">
        <v>0</v>
      </c>
      <c r="H473" s="4">
        <v>45.91</v>
      </c>
      <c r="I473" t="str">
        <f>VLOOKUP(orders__17[[#This Row],[Customer_ID]],customers__2[#All],3,0)</f>
        <v>North</v>
      </c>
      <c r="J473" t="str">
        <f>VLOOKUP(orders__17[[#This Row],[Customer_ID]],customers__2[#All],4,0)</f>
        <v>Corporate</v>
      </c>
      <c r="K473" t="str">
        <f>VLOOKUP(orders__17[[#This Row],[Product_ID]],products[#All],3,0)</f>
        <v>Office Supplies</v>
      </c>
      <c r="L473" s="1" t="str">
        <f>VLOOKUP(orders__17[[#This Row],[Product_ID]],products[#All],4,0)</f>
        <v>Pen</v>
      </c>
      <c r="M473" s="1" t="str">
        <f>VLOOKUP(orders__17[[#This Row],[Order_ID]],returns[#All],2,0)</f>
        <v>No</v>
      </c>
    </row>
    <row r="474" spans="1:13" x14ac:dyDescent="0.3">
      <c r="A474" s="1" t="s">
        <v>761</v>
      </c>
      <c r="B474" s="2">
        <v>45371</v>
      </c>
      <c r="C474" s="1" t="s">
        <v>238</v>
      </c>
      <c r="D474" s="1" t="s">
        <v>75</v>
      </c>
      <c r="E474">
        <v>2</v>
      </c>
      <c r="F474" s="4">
        <v>970.77</v>
      </c>
      <c r="G474" s="3">
        <v>0</v>
      </c>
      <c r="H474" s="4">
        <v>96.48</v>
      </c>
      <c r="I474" t="str">
        <f>VLOOKUP(orders__17[[#This Row],[Customer_ID]],customers__2[#All],3,0)</f>
        <v>West</v>
      </c>
      <c r="J474" t="str">
        <f>VLOOKUP(orders__17[[#This Row],[Customer_ID]],customers__2[#All],4,0)</f>
        <v>Corporate</v>
      </c>
      <c r="K474" t="str">
        <f>VLOOKUP(orders__17[[#This Row],[Product_ID]],products[#All],3,0)</f>
        <v>Technology</v>
      </c>
      <c r="L474" s="1" t="str">
        <f>VLOOKUP(orders__17[[#This Row],[Product_ID]],products[#All],4,0)</f>
        <v>Tablet</v>
      </c>
      <c r="M474" s="1" t="str">
        <f>VLOOKUP(orders__17[[#This Row],[Order_ID]],returns[#All],2,0)</f>
        <v>No</v>
      </c>
    </row>
    <row r="475" spans="1:13" x14ac:dyDescent="0.3">
      <c r="A475" s="1" t="s">
        <v>762</v>
      </c>
      <c r="B475" s="2">
        <v>44896</v>
      </c>
      <c r="C475" s="1" t="s">
        <v>277</v>
      </c>
      <c r="D475" s="1" t="s">
        <v>59</v>
      </c>
      <c r="E475">
        <v>5</v>
      </c>
      <c r="F475" s="4">
        <v>1020.92</v>
      </c>
      <c r="G475" s="3">
        <v>0</v>
      </c>
      <c r="H475" s="4">
        <v>256.55</v>
      </c>
      <c r="I475" t="str">
        <f>VLOOKUP(orders__17[[#This Row],[Customer_ID]],customers__2[#All],3,0)</f>
        <v>North</v>
      </c>
      <c r="J475" t="str">
        <f>VLOOKUP(orders__17[[#This Row],[Customer_ID]],customers__2[#All],4,0)</f>
        <v>Corporate</v>
      </c>
      <c r="K475" t="str">
        <f>VLOOKUP(orders__17[[#This Row],[Product_ID]],products[#All],3,0)</f>
        <v>Office Supplies</v>
      </c>
      <c r="L475" s="1" t="str">
        <f>VLOOKUP(orders__17[[#This Row],[Product_ID]],products[#All],4,0)</f>
        <v>Paper</v>
      </c>
      <c r="M475" s="1" t="str">
        <f>VLOOKUP(orders__17[[#This Row],[Order_ID]],returns[#All],2,0)</f>
        <v>No</v>
      </c>
    </row>
    <row r="476" spans="1:13" x14ac:dyDescent="0.3">
      <c r="A476" s="1" t="s">
        <v>763</v>
      </c>
      <c r="B476" s="2">
        <v>44998</v>
      </c>
      <c r="C476" s="1" t="s">
        <v>184</v>
      </c>
      <c r="D476" s="1" t="s">
        <v>28</v>
      </c>
      <c r="E476">
        <v>3</v>
      </c>
      <c r="F476" s="4">
        <v>414.97</v>
      </c>
      <c r="G476" s="3">
        <v>0.2</v>
      </c>
      <c r="H476" s="4">
        <v>40.020000000000003</v>
      </c>
      <c r="I476" t="str">
        <f>VLOOKUP(orders__17[[#This Row],[Customer_ID]],customers__2[#All],3,0)</f>
        <v>East</v>
      </c>
      <c r="J476" t="str">
        <f>VLOOKUP(orders__17[[#This Row],[Customer_ID]],customers__2[#All],4,0)</f>
        <v>Consumer</v>
      </c>
      <c r="K476" t="str">
        <f>VLOOKUP(orders__17[[#This Row],[Product_ID]],products[#All],3,0)</f>
        <v>Office Supplies</v>
      </c>
      <c r="L476" s="1" t="str">
        <f>VLOOKUP(orders__17[[#This Row],[Product_ID]],products[#All],4,0)</f>
        <v>Storage</v>
      </c>
      <c r="M476" s="1" t="str">
        <f>VLOOKUP(orders__17[[#This Row],[Order_ID]],returns[#All],2,0)</f>
        <v>No</v>
      </c>
    </row>
    <row r="477" spans="1:13" x14ac:dyDescent="0.3">
      <c r="A477" s="1" t="s">
        <v>764</v>
      </c>
      <c r="B477" s="2">
        <v>45208</v>
      </c>
      <c r="C477" s="1" t="s">
        <v>24</v>
      </c>
      <c r="D477" s="1" t="s">
        <v>458</v>
      </c>
      <c r="E477">
        <v>5</v>
      </c>
      <c r="F477" s="4">
        <v>1896.83</v>
      </c>
      <c r="G477" s="3">
        <v>0.1</v>
      </c>
      <c r="H477" s="4">
        <v>135.13</v>
      </c>
      <c r="I477" t="str">
        <f>VLOOKUP(orders__17[[#This Row],[Customer_ID]],customers__2[#All],3,0)</f>
        <v>North</v>
      </c>
      <c r="J477" t="str">
        <f>VLOOKUP(orders__17[[#This Row],[Customer_ID]],customers__2[#All],4,0)</f>
        <v>Consumer</v>
      </c>
      <c r="K477" t="str">
        <f>VLOOKUP(orders__17[[#This Row],[Product_ID]],products[#All],3,0)</f>
        <v>Technology</v>
      </c>
      <c r="L477" s="1" t="str">
        <f>VLOOKUP(orders__17[[#This Row],[Product_ID]],products[#All],4,0)</f>
        <v>Phone</v>
      </c>
      <c r="M477" s="1" t="str">
        <f>VLOOKUP(orders__17[[#This Row],[Order_ID]],returns[#All],2,0)</f>
        <v>No</v>
      </c>
    </row>
    <row r="478" spans="1:13" x14ac:dyDescent="0.3">
      <c r="A478" s="1" t="s">
        <v>765</v>
      </c>
      <c r="B478" s="2">
        <v>45350</v>
      </c>
      <c r="C478" s="1" t="s">
        <v>82</v>
      </c>
      <c r="D478" s="1" t="s">
        <v>89</v>
      </c>
      <c r="E478">
        <v>4</v>
      </c>
      <c r="F478" s="4">
        <v>1714.95</v>
      </c>
      <c r="G478" s="3">
        <v>0.1</v>
      </c>
      <c r="H478" s="4">
        <v>272.77999999999997</v>
      </c>
      <c r="I478" t="str">
        <f>VLOOKUP(orders__17[[#This Row],[Customer_ID]],customers__2[#All],3,0)</f>
        <v>East</v>
      </c>
      <c r="J478" t="str">
        <f>VLOOKUP(orders__17[[#This Row],[Customer_ID]],customers__2[#All],4,0)</f>
        <v>Corporate</v>
      </c>
      <c r="K478" t="str">
        <f>VLOOKUP(orders__17[[#This Row],[Product_ID]],products[#All],3,0)</f>
        <v>Technology</v>
      </c>
      <c r="L478" s="1" t="str">
        <f>VLOOKUP(orders__17[[#This Row],[Product_ID]],products[#All],4,0)</f>
        <v>Phone</v>
      </c>
      <c r="M478" s="1" t="str">
        <f>VLOOKUP(orders__17[[#This Row],[Order_ID]],returns[#All],2,0)</f>
        <v>No</v>
      </c>
    </row>
    <row r="479" spans="1:13" x14ac:dyDescent="0.3">
      <c r="A479" s="1" t="s">
        <v>766</v>
      </c>
      <c r="B479" s="2">
        <v>45064</v>
      </c>
      <c r="C479" s="1" t="s">
        <v>436</v>
      </c>
      <c r="D479" s="1" t="s">
        <v>163</v>
      </c>
      <c r="E479">
        <v>1</v>
      </c>
      <c r="F479" s="4">
        <v>1371.14</v>
      </c>
      <c r="G479" s="3">
        <v>0.1</v>
      </c>
      <c r="H479" s="4">
        <v>294.20999999999998</v>
      </c>
      <c r="I479" t="str">
        <f>VLOOKUP(orders__17[[#This Row],[Customer_ID]],customers__2[#All],3,0)</f>
        <v>East</v>
      </c>
      <c r="J479" t="str">
        <f>VLOOKUP(orders__17[[#This Row],[Customer_ID]],customers__2[#All],4,0)</f>
        <v>Consumer</v>
      </c>
      <c r="K479" t="str">
        <f>VLOOKUP(orders__17[[#This Row],[Product_ID]],products[#All],3,0)</f>
        <v>Furniture</v>
      </c>
      <c r="L479" s="1" t="str">
        <f>VLOOKUP(orders__17[[#This Row],[Product_ID]],products[#All],4,0)</f>
        <v>Table</v>
      </c>
      <c r="M479" s="1" t="str">
        <f>VLOOKUP(orders__17[[#This Row],[Order_ID]],returns[#All],2,0)</f>
        <v>Yes</v>
      </c>
    </row>
    <row r="480" spans="1:13" x14ac:dyDescent="0.3">
      <c r="A480" s="1" t="s">
        <v>767</v>
      </c>
      <c r="B480" s="2">
        <v>44986</v>
      </c>
      <c r="C480" s="1" t="s">
        <v>396</v>
      </c>
      <c r="D480" s="1" t="s">
        <v>278</v>
      </c>
      <c r="E480">
        <v>5</v>
      </c>
      <c r="F480" s="4">
        <v>978.36</v>
      </c>
      <c r="G480" s="3">
        <v>0</v>
      </c>
      <c r="H480" s="4">
        <v>155.97999999999999</v>
      </c>
      <c r="I480" t="str">
        <f>VLOOKUP(orders__17[[#This Row],[Customer_ID]],customers__2[#All],3,0)</f>
        <v>West</v>
      </c>
      <c r="J480" t="str">
        <f>VLOOKUP(orders__17[[#This Row],[Customer_ID]],customers__2[#All],4,0)</f>
        <v>Home Office</v>
      </c>
      <c r="K480" t="str">
        <f>VLOOKUP(orders__17[[#This Row],[Product_ID]],products[#All],3,0)</f>
        <v>Office Supplies</v>
      </c>
      <c r="L480" s="1" t="str">
        <f>VLOOKUP(orders__17[[#This Row],[Product_ID]],products[#All],4,0)</f>
        <v>Pen</v>
      </c>
      <c r="M480" s="1" t="str">
        <f>VLOOKUP(orders__17[[#This Row],[Order_ID]],returns[#All],2,0)</f>
        <v>No</v>
      </c>
    </row>
    <row r="481" spans="1:13" x14ac:dyDescent="0.3">
      <c r="A481" s="1" t="s">
        <v>768</v>
      </c>
      <c r="B481" s="2">
        <v>44688</v>
      </c>
      <c r="C481" s="1" t="s">
        <v>436</v>
      </c>
      <c r="D481" s="1" t="s">
        <v>10</v>
      </c>
      <c r="E481">
        <v>5</v>
      </c>
      <c r="F481" s="4">
        <v>882.35</v>
      </c>
      <c r="G481" s="3">
        <v>0.2</v>
      </c>
      <c r="H481" s="4">
        <v>105.17</v>
      </c>
      <c r="I481" t="str">
        <f>VLOOKUP(orders__17[[#This Row],[Customer_ID]],customers__2[#All],3,0)</f>
        <v>East</v>
      </c>
      <c r="J481" t="str">
        <f>VLOOKUP(orders__17[[#This Row],[Customer_ID]],customers__2[#All],4,0)</f>
        <v>Consumer</v>
      </c>
      <c r="K481" t="str">
        <f>VLOOKUP(orders__17[[#This Row],[Product_ID]],products[#All],3,0)</f>
        <v>Technology</v>
      </c>
      <c r="L481" s="1" t="str">
        <f>VLOOKUP(orders__17[[#This Row],[Product_ID]],products[#All],4,0)</f>
        <v>Tablet</v>
      </c>
      <c r="M481" s="1" t="str">
        <f>VLOOKUP(orders__17[[#This Row],[Order_ID]],returns[#All],2,0)</f>
        <v>No</v>
      </c>
    </row>
    <row r="482" spans="1:13" x14ac:dyDescent="0.3">
      <c r="A482" s="1" t="s">
        <v>769</v>
      </c>
      <c r="B482" s="2">
        <v>44989</v>
      </c>
      <c r="C482" s="1" t="s">
        <v>520</v>
      </c>
      <c r="D482" s="1" t="s">
        <v>770</v>
      </c>
      <c r="E482">
        <v>1</v>
      </c>
      <c r="F482" s="4">
        <v>1336.85</v>
      </c>
      <c r="G482" s="3">
        <v>0</v>
      </c>
      <c r="H482" s="4">
        <v>253.39</v>
      </c>
      <c r="I482" t="str">
        <f>VLOOKUP(orders__17[[#This Row],[Customer_ID]],customers__2[#All],3,0)</f>
        <v>West</v>
      </c>
      <c r="J482" t="str">
        <f>VLOOKUP(orders__17[[#This Row],[Customer_ID]],customers__2[#All],4,0)</f>
        <v>Consumer</v>
      </c>
      <c r="K482" t="str">
        <f>VLOOKUP(orders__17[[#This Row],[Product_ID]],products[#All],3,0)</f>
        <v>Technology</v>
      </c>
      <c r="L482" s="1" t="str">
        <f>VLOOKUP(orders__17[[#This Row],[Product_ID]],products[#All],4,0)</f>
        <v>Accessories</v>
      </c>
      <c r="M482" s="1" t="str">
        <f>VLOOKUP(orders__17[[#This Row],[Order_ID]],returns[#All],2,0)</f>
        <v>No</v>
      </c>
    </row>
    <row r="483" spans="1:13" x14ac:dyDescent="0.3">
      <c r="A483" s="1" t="s">
        <v>771</v>
      </c>
      <c r="B483" s="2">
        <v>44769</v>
      </c>
      <c r="C483" s="1" t="s">
        <v>39</v>
      </c>
      <c r="D483" s="1" t="s">
        <v>209</v>
      </c>
      <c r="E483">
        <v>4</v>
      </c>
      <c r="F483" s="4">
        <v>1136.32</v>
      </c>
      <c r="G483" s="3">
        <v>0.1</v>
      </c>
      <c r="H483" s="4">
        <v>155.38999999999999</v>
      </c>
      <c r="I483" t="str">
        <f>VLOOKUP(orders__17[[#This Row],[Customer_ID]],customers__2[#All],3,0)</f>
        <v>West</v>
      </c>
      <c r="J483" t="str">
        <f>VLOOKUP(orders__17[[#This Row],[Customer_ID]],customers__2[#All],4,0)</f>
        <v>Consumer</v>
      </c>
      <c r="K483" t="str">
        <f>VLOOKUP(orders__17[[#This Row],[Product_ID]],products[#All],3,0)</f>
        <v>Office Supplies</v>
      </c>
      <c r="L483" s="1" t="str">
        <f>VLOOKUP(orders__17[[#This Row],[Product_ID]],products[#All],4,0)</f>
        <v>Paper</v>
      </c>
      <c r="M483" s="1" t="str">
        <f>VLOOKUP(orders__17[[#This Row],[Order_ID]],returns[#All],2,0)</f>
        <v>No</v>
      </c>
    </row>
    <row r="484" spans="1:13" x14ac:dyDescent="0.3">
      <c r="A484" s="1" t="s">
        <v>772</v>
      </c>
      <c r="B484" s="2">
        <v>44601</v>
      </c>
      <c r="C484" s="1" t="s">
        <v>569</v>
      </c>
      <c r="D484" s="1" t="s">
        <v>111</v>
      </c>
      <c r="E484">
        <v>2</v>
      </c>
      <c r="F484" s="4">
        <v>218.32</v>
      </c>
      <c r="G484" s="3">
        <v>0.1</v>
      </c>
      <c r="H484" s="4">
        <v>61.83</v>
      </c>
      <c r="I484" t="str">
        <f>VLOOKUP(orders__17[[#This Row],[Customer_ID]],customers__2[#All],3,0)</f>
        <v>West</v>
      </c>
      <c r="J484" t="str">
        <f>VLOOKUP(orders__17[[#This Row],[Customer_ID]],customers__2[#All],4,0)</f>
        <v>Consumer</v>
      </c>
      <c r="K484" t="str">
        <f>VLOOKUP(orders__17[[#This Row],[Product_ID]],products[#All],3,0)</f>
        <v>Technology</v>
      </c>
      <c r="L484" s="1" t="str">
        <f>VLOOKUP(orders__17[[#This Row],[Product_ID]],products[#All],4,0)</f>
        <v>Accessories</v>
      </c>
      <c r="M484" s="1" t="str">
        <f>VLOOKUP(orders__17[[#This Row],[Order_ID]],returns[#All],2,0)</f>
        <v>No</v>
      </c>
    </row>
    <row r="485" spans="1:13" x14ac:dyDescent="0.3">
      <c r="A485" s="1" t="s">
        <v>773</v>
      </c>
      <c r="B485" s="2">
        <v>44707</v>
      </c>
      <c r="C485" s="1" t="s">
        <v>466</v>
      </c>
      <c r="D485" s="1" t="s">
        <v>64</v>
      </c>
      <c r="E485">
        <v>5</v>
      </c>
      <c r="F485" s="4">
        <v>1073.76</v>
      </c>
      <c r="G485" s="3">
        <v>0.2</v>
      </c>
      <c r="H485" s="4">
        <v>301.36</v>
      </c>
      <c r="I485" t="str">
        <f>VLOOKUP(orders__17[[#This Row],[Customer_ID]],customers__2[#All],3,0)</f>
        <v>South</v>
      </c>
      <c r="J485" t="str">
        <f>VLOOKUP(orders__17[[#This Row],[Customer_ID]],customers__2[#All],4,0)</f>
        <v>Home Office</v>
      </c>
      <c r="K485" t="str">
        <f>VLOOKUP(orders__17[[#This Row],[Product_ID]],products[#All],3,0)</f>
        <v>Office Supplies</v>
      </c>
      <c r="L485" s="1" t="str">
        <f>VLOOKUP(orders__17[[#This Row],[Product_ID]],products[#All],4,0)</f>
        <v>Storage</v>
      </c>
      <c r="M485" s="1" t="str">
        <f>VLOOKUP(orders__17[[#This Row],[Order_ID]],returns[#All],2,0)</f>
        <v>No</v>
      </c>
    </row>
    <row r="486" spans="1:13" x14ac:dyDescent="0.3">
      <c r="A486" s="1" t="s">
        <v>774</v>
      </c>
      <c r="B486" s="2">
        <v>45070</v>
      </c>
      <c r="C486" s="1" t="s">
        <v>598</v>
      </c>
      <c r="D486" s="1" t="s">
        <v>127</v>
      </c>
      <c r="E486">
        <v>1</v>
      </c>
      <c r="F486" s="4">
        <v>1632.17</v>
      </c>
      <c r="G486" s="3">
        <v>0</v>
      </c>
      <c r="H486" s="4">
        <v>286.60000000000002</v>
      </c>
      <c r="I486" t="str">
        <f>VLOOKUP(orders__17[[#This Row],[Customer_ID]],customers__2[#All],3,0)</f>
        <v>South</v>
      </c>
      <c r="J486" t="str">
        <f>VLOOKUP(orders__17[[#This Row],[Customer_ID]],customers__2[#All],4,0)</f>
        <v>Home Office</v>
      </c>
      <c r="K486" t="str">
        <f>VLOOKUP(orders__17[[#This Row],[Product_ID]],products[#All],3,0)</f>
        <v>Furniture</v>
      </c>
      <c r="L486" s="1" t="str">
        <f>VLOOKUP(orders__17[[#This Row],[Product_ID]],products[#All],4,0)</f>
        <v>Chair</v>
      </c>
      <c r="M486" s="1" t="str">
        <f>VLOOKUP(orders__17[[#This Row],[Order_ID]],returns[#All],2,0)</f>
        <v>No</v>
      </c>
    </row>
    <row r="487" spans="1:13" x14ac:dyDescent="0.3">
      <c r="A487" s="1" t="s">
        <v>775</v>
      </c>
      <c r="B487" s="2">
        <v>45236</v>
      </c>
      <c r="C487" s="1" t="s">
        <v>121</v>
      </c>
      <c r="D487" s="1" t="s">
        <v>397</v>
      </c>
      <c r="E487">
        <v>3</v>
      </c>
      <c r="F487" s="4">
        <v>972.56</v>
      </c>
      <c r="G487" s="3">
        <v>0.3</v>
      </c>
      <c r="H487" s="4">
        <v>128.35</v>
      </c>
      <c r="I487" t="str">
        <f>VLOOKUP(orders__17[[#This Row],[Customer_ID]],customers__2[#All],3,0)</f>
        <v>East</v>
      </c>
      <c r="J487" t="str">
        <f>VLOOKUP(orders__17[[#This Row],[Customer_ID]],customers__2[#All],4,0)</f>
        <v>Corporate</v>
      </c>
      <c r="K487" t="str">
        <f>VLOOKUP(orders__17[[#This Row],[Product_ID]],products[#All],3,0)</f>
        <v>Office Supplies</v>
      </c>
      <c r="L487" s="1" t="str">
        <f>VLOOKUP(orders__17[[#This Row],[Product_ID]],products[#All],4,0)</f>
        <v>Pen</v>
      </c>
      <c r="M487" s="1" t="str">
        <f>VLOOKUP(orders__17[[#This Row],[Order_ID]],returns[#All],2,0)</f>
        <v>No</v>
      </c>
    </row>
    <row r="488" spans="1:13" x14ac:dyDescent="0.3">
      <c r="A488" s="1" t="s">
        <v>776</v>
      </c>
      <c r="B488" s="2">
        <v>45264</v>
      </c>
      <c r="C488" s="1" t="s">
        <v>777</v>
      </c>
      <c r="D488" s="1" t="s">
        <v>364</v>
      </c>
      <c r="E488">
        <v>1</v>
      </c>
      <c r="F488" s="4">
        <v>198.72</v>
      </c>
      <c r="G488" s="3">
        <v>0.3</v>
      </c>
      <c r="H488" s="4">
        <v>46.56</v>
      </c>
      <c r="I488" t="str">
        <f>VLOOKUP(orders__17[[#This Row],[Customer_ID]],customers__2[#All],3,0)</f>
        <v>South</v>
      </c>
      <c r="J488" t="str">
        <f>VLOOKUP(orders__17[[#This Row],[Customer_ID]],customers__2[#All],4,0)</f>
        <v>Home Office</v>
      </c>
      <c r="K488" t="str">
        <f>VLOOKUP(orders__17[[#This Row],[Product_ID]],products[#All],3,0)</f>
        <v>Technology</v>
      </c>
      <c r="L488" s="1" t="str">
        <f>VLOOKUP(orders__17[[#This Row],[Product_ID]],products[#All],4,0)</f>
        <v>Accessories</v>
      </c>
      <c r="M488" s="1" t="str">
        <f>VLOOKUP(orders__17[[#This Row],[Order_ID]],returns[#All],2,0)</f>
        <v>Yes</v>
      </c>
    </row>
    <row r="489" spans="1:13" x14ac:dyDescent="0.3">
      <c r="A489" s="1" t="s">
        <v>778</v>
      </c>
      <c r="B489" s="2">
        <v>44726</v>
      </c>
      <c r="C489" s="1" t="s">
        <v>439</v>
      </c>
      <c r="D489" s="1" t="s">
        <v>100</v>
      </c>
      <c r="E489">
        <v>3</v>
      </c>
      <c r="F489" s="4">
        <v>1593.93</v>
      </c>
      <c r="G489" s="3">
        <v>0.1</v>
      </c>
      <c r="H489" s="4">
        <v>94.33</v>
      </c>
      <c r="I489" t="str">
        <f>VLOOKUP(orders__17[[#This Row],[Customer_ID]],customers__2[#All],3,0)</f>
        <v>West</v>
      </c>
      <c r="J489" t="str">
        <f>VLOOKUP(orders__17[[#This Row],[Customer_ID]],customers__2[#All],4,0)</f>
        <v>Corporate</v>
      </c>
      <c r="K489" t="str">
        <f>VLOOKUP(orders__17[[#This Row],[Product_ID]],products[#All],3,0)</f>
        <v>Technology</v>
      </c>
      <c r="L489" s="1" t="str">
        <f>VLOOKUP(orders__17[[#This Row],[Product_ID]],products[#All],4,0)</f>
        <v>Laptop</v>
      </c>
      <c r="M489" s="1" t="str">
        <f>VLOOKUP(orders__17[[#This Row],[Order_ID]],returns[#All],2,0)</f>
        <v>No</v>
      </c>
    </row>
    <row r="490" spans="1:13" x14ac:dyDescent="0.3">
      <c r="A490" s="1" t="s">
        <v>779</v>
      </c>
      <c r="B490" s="2">
        <v>44894</v>
      </c>
      <c r="C490" s="1" t="s">
        <v>167</v>
      </c>
      <c r="D490" s="1" t="s">
        <v>64</v>
      </c>
      <c r="E490">
        <v>4</v>
      </c>
      <c r="F490" s="4">
        <v>482.59</v>
      </c>
      <c r="G490" s="3">
        <v>0.2</v>
      </c>
      <c r="H490" s="4">
        <v>81.41</v>
      </c>
      <c r="I490" t="str">
        <f>VLOOKUP(orders__17[[#This Row],[Customer_ID]],customers__2[#All],3,0)</f>
        <v>East</v>
      </c>
      <c r="J490" t="str">
        <f>VLOOKUP(orders__17[[#This Row],[Customer_ID]],customers__2[#All],4,0)</f>
        <v>Corporate</v>
      </c>
      <c r="K490" t="str">
        <f>VLOOKUP(orders__17[[#This Row],[Product_ID]],products[#All],3,0)</f>
        <v>Office Supplies</v>
      </c>
      <c r="L490" s="1" t="str">
        <f>VLOOKUP(orders__17[[#This Row],[Product_ID]],products[#All],4,0)</f>
        <v>Storage</v>
      </c>
      <c r="M490" s="1" t="str">
        <f>VLOOKUP(orders__17[[#This Row],[Order_ID]],returns[#All],2,0)</f>
        <v>Yes</v>
      </c>
    </row>
    <row r="491" spans="1:13" x14ac:dyDescent="0.3">
      <c r="A491" s="1" t="s">
        <v>780</v>
      </c>
      <c r="B491" s="2">
        <v>45065</v>
      </c>
      <c r="C491" s="1" t="s">
        <v>39</v>
      </c>
      <c r="D491" s="1" t="s">
        <v>67</v>
      </c>
      <c r="E491">
        <v>2</v>
      </c>
      <c r="F491" s="4">
        <v>591.38</v>
      </c>
      <c r="G491" s="3">
        <v>0</v>
      </c>
      <c r="H491" s="4">
        <v>79.290000000000006</v>
      </c>
      <c r="I491" t="str">
        <f>VLOOKUP(orders__17[[#This Row],[Customer_ID]],customers__2[#All],3,0)</f>
        <v>West</v>
      </c>
      <c r="J491" t="str">
        <f>VLOOKUP(orders__17[[#This Row],[Customer_ID]],customers__2[#All],4,0)</f>
        <v>Consumer</v>
      </c>
      <c r="K491" t="str">
        <f>VLOOKUP(orders__17[[#This Row],[Product_ID]],products[#All],3,0)</f>
        <v>Furniture</v>
      </c>
      <c r="L491" s="1" t="str">
        <f>VLOOKUP(orders__17[[#This Row],[Product_ID]],products[#All],4,0)</f>
        <v>Chair</v>
      </c>
      <c r="M491" s="1" t="str">
        <f>VLOOKUP(orders__17[[#This Row],[Order_ID]],returns[#All],2,0)</f>
        <v>No</v>
      </c>
    </row>
    <row r="492" spans="1:13" x14ac:dyDescent="0.3">
      <c r="A492" s="1" t="s">
        <v>781</v>
      </c>
      <c r="B492" s="2">
        <v>45275</v>
      </c>
      <c r="C492" s="1" t="s">
        <v>248</v>
      </c>
      <c r="D492" s="1" t="s">
        <v>757</v>
      </c>
      <c r="E492">
        <v>1</v>
      </c>
      <c r="F492" s="4">
        <v>412.94</v>
      </c>
      <c r="G492" s="3">
        <v>0</v>
      </c>
      <c r="H492" s="4">
        <v>115.68</v>
      </c>
      <c r="I492" t="str">
        <f>VLOOKUP(orders__17[[#This Row],[Customer_ID]],customers__2[#All],3,0)</f>
        <v>East</v>
      </c>
      <c r="J492" t="str">
        <f>VLOOKUP(orders__17[[#This Row],[Customer_ID]],customers__2[#All],4,0)</f>
        <v>Corporate</v>
      </c>
      <c r="K492" t="str">
        <f>VLOOKUP(orders__17[[#This Row],[Product_ID]],products[#All],3,0)</f>
        <v>Office Supplies</v>
      </c>
      <c r="L492" s="1" t="str">
        <f>VLOOKUP(orders__17[[#This Row],[Product_ID]],products[#All],4,0)</f>
        <v>Pen</v>
      </c>
      <c r="M492" s="1" t="str">
        <f>VLOOKUP(orders__17[[#This Row],[Order_ID]],returns[#All],2,0)</f>
        <v>Yes</v>
      </c>
    </row>
    <row r="493" spans="1:13" x14ac:dyDescent="0.3">
      <c r="A493" s="1" t="s">
        <v>782</v>
      </c>
      <c r="B493" s="2">
        <v>45326</v>
      </c>
      <c r="C493" s="1" t="s">
        <v>77</v>
      </c>
      <c r="D493" s="1" t="s">
        <v>163</v>
      </c>
      <c r="E493">
        <v>5</v>
      </c>
      <c r="F493" s="4">
        <v>727.41</v>
      </c>
      <c r="G493" s="3">
        <v>0.1</v>
      </c>
      <c r="H493" s="4">
        <v>38.549999999999997</v>
      </c>
      <c r="I493" t="str">
        <f>VLOOKUP(orders__17[[#This Row],[Customer_ID]],customers__2[#All],3,0)</f>
        <v>West</v>
      </c>
      <c r="J493" t="str">
        <f>VLOOKUP(orders__17[[#This Row],[Customer_ID]],customers__2[#All],4,0)</f>
        <v>Consumer</v>
      </c>
      <c r="K493" t="str">
        <f>VLOOKUP(orders__17[[#This Row],[Product_ID]],products[#All],3,0)</f>
        <v>Furniture</v>
      </c>
      <c r="L493" s="1" t="str">
        <f>VLOOKUP(orders__17[[#This Row],[Product_ID]],products[#All],4,0)</f>
        <v>Table</v>
      </c>
      <c r="M493" s="1" t="str">
        <f>VLOOKUP(orders__17[[#This Row],[Order_ID]],returns[#All],2,0)</f>
        <v>Yes</v>
      </c>
    </row>
    <row r="494" spans="1:13" x14ac:dyDescent="0.3">
      <c r="A494" s="1" t="s">
        <v>783</v>
      </c>
      <c r="B494" s="2">
        <v>44606</v>
      </c>
      <c r="C494" s="1" t="s">
        <v>228</v>
      </c>
      <c r="D494" s="1" t="s">
        <v>364</v>
      </c>
      <c r="E494">
        <v>4</v>
      </c>
      <c r="F494" s="4">
        <v>1537.83</v>
      </c>
      <c r="G494" s="3">
        <v>0.1</v>
      </c>
      <c r="H494" s="4">
        <v>289.43</v>
      </c>
      <c r="I494" t="str">
        <f>VLOOKUP(orders__17[[#This Row],[Customer_ID]],customers__2[#All],3,0)</f>
        <v>North</v>
      </c>
      <c r="J494" t="str">
        <f>VLOOKUP(orders__17[[#This Row],[Customer_ID]],customers__2[#All],4,0)</f>
        <v>Consumer</v>
      </c>
      <c r="K494" t="str">
        <f>VLOOKUP(orders__17[[#This Row],[Product_ID]],products[#All],3,0)</f>
        <v>Technology</v>
      </c>
      <c r="L494" s="1" t="str">
        <f>VLOOKUP(orders__17[[#This Row],[Product_ID]],products[#All],4,0)</f>
        <v>Accessories</v>
      </c>
      <c r="M494" s="1" t="str">
        <f>VLOOKUP(orders__17[[#This Row],[Order_ID]],returns[#All],2,0)</f>
        <v>No</v>
      </c>
    </row>
    <row r="495" spans="1:13" x14ac:dyDescent="0.3">
      <c r="A495" s="1" t="s">
        <v>784</v>
      </c>
      <c r="B495" s="2">
        <v>45363</v>
      </c>
      <c r="C495" s="1" t="s">
        <v>42</v>
      </c>
      <c r="D495" s="1" t="s">
        <v>59</v>
      </c>
      <c r="E495">
        <v>1</v>
      </c>
      <c r="F495" s="4">
        <v>1086.83</v>
      </c>
      <c r="G495" s="3">
        <v>0</v>
      </c>
      <c r="H495" s="4">
        <v>255.59</v>
      </c>
      <c r="I495" t="str">
        <f>VLOOKUP(orders__17[[#This Row],[Customer_ID]],customers__2[#All],3,0)</f>
        <v>North</v>
      </c>
      <c r="J495" t="str">
        <f>VLOOKUP(orders__17[[#This Row],[Customer_ID]],customers__2[#All],4,0)</f>
        <v>Corporate</v>
      </c>
      <c r="K495" t="str">
        <f>VLOOKUP(orders__17[[#This Row],[Product_ID]],products[#All],3,0)</f>
        <v>Office Supplies</v>
      </c>
      <c r="L495" s="1" t="str">
        <f>VLOOKUP(orders__17[[#This Row],[Product_ID]],products[#All],4,0)</f>
        <v>Paper</v>
      </c>
      <c r="M495" s="1" t="str">
        <f>VLOOKUP(orders__17[[#This Row],[Order_ID]],returns[#All],2,0)</f>
        <v>No</v>
      </c>
    </row>
    <row r="496" spans="1:13" x14ac:dyDescent="0.3">
      <c r="A496" s="1" t="s">
        <v>785</v>
      </c>
      <c r="B496" s="2">
        <v>45367</v>
      </c>
      <c r="C496" s="1" t="s">
        <v>786</v>
      </c>
      <c r="D496" s="1" t="s">
        <v>40</v>
      </c>
      <c r="E496">
        <v>5</v>
      </c>
      <c r="F496" s="4">
        <v>489.27</v>
      </c>
      <c r="G496" s="3">
        <v>0</v>
      </c>
      <c r="H496" s="4">
        <v>83.79</v>
      </c>
      <c r="I496" t="str">
        <f>VLOOKUP(orders__17[[#This Row],[Customer_ID]],customers__2[#All],3,0)</f>
        <v>East</v>
      </c>
      <c r="J496" t="str">
        <f>VLOOKUP(orders__17[[#This Row],[Customer_ID]],customers__2[#All],4,0)</f>
        <v>Corporate</v>
      </c>
      <c r="K496" t="str">
        <f>VLOOKUP(orders__17[[#This Row],[Product_ID]],products[#All],3,0)</f>
        <v>Office Supplies</v>
      </c>
      <c r="L496" s="1" t="str">
        <f>VLOOKUP(orders__17[[#This Row],[Product_ID]],products[#All],4,0)</f>
        <v>Storage</v>
      </c>
      <c r="M496" s="1" t="str">
        <f>VLOOKUP(orders__17[[#This Row],[Order_ID]],returns[#All],2,0)</f>
        <v>No</v>
      </c>
    </row>
    <row r="497" spans="1:13" x14ac:dyDescent="0.3">
      <c r="A497" s="1" t="s">
        <v>787</v>
      </c>
      <c r="B497" s="2">
        <v>45442</v>
      </c>
      <c r="C497" s="1" t="s">
        <v>287</v>
      </c>
      <c r="D497" s="1" t="s">
        <v>16</v>
      </c>
      <c r="E497">
        <v>1</v>
      </c>
      <c r="F497" s="4">
        <v>1767.88</v>
      </c>
      <c r="G497" s="3">
        <v>0.1</v>
      </c>
      <c r="H497" s="4">
        <v>126.14</v>
      </c>
      <c r="I497" t="str">
        <f>VLOOKUP(orders__17[[#This Row],[Customer_ID]],customers__2[#All],3,0)</f>
        <v>South</v>
      </c>
      <c r="J497" t="str">
        <f>VLOOKUP(orders__17[[#This Row],[Customer_ID]],customers__2[#All],4,0)</f>
        <v>Consumer</v>
      </c>
      <c r="K497" t="str">
        <f>VLOOKUP(orders__17[[#This Row],[Product_ID]],products[#All],3,0)</f>
        <v>Technology</v>
      </c>
      <c r="L497" s="1" t="str">
        <f>VLOOKUP(orders__17[[#This Row],[Product_ID]],products[#All],4,0)</f>
        <v>Laptop</v>
      </c>
      <c r="M497" s="1" t="str">
        <f>VLOOKUP(orders__17[[#This Row],[Order_ID]],returns[#All],2,0)</f>
        <v>Yes</v>
      </c>
    </row>
    <row r="498" spans="1:13" x14ac:dyDescent="0.3">
      <c r="A498" s="1" t="s">
        <v>788</v>
      </c>
      <c r="B498" s="2">
        <v>44675</v>
      </c>
      <c r="C498" s="1" t="s">
        <v>487</v>
      </c>
      <c r="D498" s="1" t="s">
        <v>61</v>
      </c>
      <c r="E498">
        <v>3</v>
      </c>
      <c r="F498" s="4">
        <v>1771.21</v>
      </c>
      <c r="G498" s="3">
        <v>0</v>
      </c>
      <c r="H498" s="4">
        <v>519.16999999999996</v>
      </c>
      <c r="I498" t="str">
        <f>VLOOKUP(orders__17[[#This Row],[Customer_ID]],customers__2[#All],3,0)</f>
        <v>North</v>
      </c>
      <c r="J498" t="str">
        <f>VLOOKUP(orders__17[[#This Row],[Customer_ID]],customers__2[#All],4,0)</f>
        <v>Home Office</v>
      </c>
      <c r="K498" t="str">
        <f>VLOOKUP(orders__17[[#This Row],[Product_ID]],products[#All],3,0)</f>
        <v>Office Supplies</v>
      </c>
      <c r="L498" s="1" t="str">
        <f>VLOOKUP(orders__17[[#This Row],[Product_ID]],products[#All],4,0)</f>
        <v>Binder</v>
      </c>
      <c r="M498" s="1" t="str">
        <f>VLOOKUP(orders__17[[#This Row],[Order_ID]],returns[#All],2,0)</f>
        <v>No</v>
      </c>
    </row>
    <row r="499" spans="1:13" x14ac:dyDescent="0.3">
      <c r="A499" s="1" t="s">
        <v>789</v>
      </c>
      <c r="B499" s="2">
        <v>45393</v>
      </c>
      <c r="C499" s="1" t="s">
        <v>30</v>
      </c>
      <c r="D499" s="1" t="s">
        <v>70</v>
      </c>
      <c r="E499">
        <v>1</v>
      </c>
      <c r="F499" s="4">
        <v>1754.1</v>
      </c>
      <c r="G499" s="3">
        <v>0.3</v>
      </c>
      <c r="H499" s="4">
        <v>314.87</v>
      </c>
      <c r="I499" t="str">
        <f>VLOOKUP(orders__17[[#This Row],[Customer_ID]],customers__2[#All],3,0)</f>
        <v>South</v>
      </c>
      <c r="J499" t="str">
        <f>VLOOKUP(orders__17[[#This Row],[Customer_ID]],customers__2[#All],4,0)</f>
        <v>Home Office</v>
      </c>
      <c r="K499" t="str">
        <f>VLOOKUP(orders__17[[#This Row],[Product_ID]],products[#All],3,0)</f>
        <v>Office Supplies</v>
      </c>
      <c r="L499" s="1" t="str">
        <f>VLOOKUP(orders__17[[#This Row],[Product_ID]],products[#All],4,0)</f>
        <v>Paper</v>
      </c>
      <c r="M499" s="1" t="str">
        <f>VLOOKUP(orders__17[[#This Row],[Order_ID]],returns[#All],2,0)</f>
        <v>Yes</v>
      </c>
    </row>
    <row r="500" spans="1:13" x14ac:dyDescent="0.3">
      <c r="A500" s="1" t="s">
        <v>790</v>
      </c>
      <c r="B500" s="2">
        <v>44747</v>
      </c>
      <c r="C500" s="1" t="s">
        <v>115</v>
      </c>
      <c r="D500" s="1" t="s">
        <v>258</v>
      </c>
      <c r="E500">
        <v>1</v>
      </c>
      <c r="F500" s="4">
        <v>553.71</v>
      </c>
      <c r="G500" s="3">
        <v>0.1</v>
      </c>
      <c r="H500" s="4">
        <v>112.71</v>
      </c>
      <c r="I500" t="str">
        <f>VLOOKUP(orders__17[[#This Row],[Customer_ID]],customers__2[#All],3,0)</f>
        <v>South</v>
      </c>
      <c r="J500" t="str">
        <f>VLOOKUP(orders__17[[#This Row],[Customer_ID]],customers__2[#All],4,0)</f>
        <v>Consumer</v>
      </c>
      <c r="K500" t="str">
        <f>VLOOKUP(orders__17[[#This Row],[Product_ID]],products[#All],3,0)</f>
        <v>Technology</v>
      </c>
      <c r="L500" s="1" t="str">
        <f>VLOOKUP(orders__17[[#This Row],[Product_ID]],products[#All],4,0)</f>
        <v>Phone</v>
      </c>
      <c r="M500" s="1" t="str">
        <f>VLOOKUP(orders__17[[#This Row],[Order_ID]],returns[#All],2,0)</f>
        <v>No</v>
      </c>
    </row>
    <row r="501" spans="1:13" x14ac:dyDescent="0.3">
      <c r="A501" s="1" t="s">
        <v>791</v>
      </c>
      <c r="B501" s="2">
        <v>44700</v>
      </c>
      <c r="C501" s="1" t="s">
        <v>80</v>
      </c>
      <c r="D501" s="1" t="s">
        <v>397</v>
      </c>
      <c r="E501">
        <v>1</v>
      </c>
      <c r="F501" s="4">
        <v>957.35</v>
      </c>
      <c r="G501" s="3">
        <v>0</v>
      </c>
      <c r="H501" s="4">
        <v>104.5</v>
      </c>
      <c r="I501" t="str">
        <f>VLOOKUP(orders__17[[#This Row],[Customer_ID]],customers__2[#All],3,0)</f>
        <v>East</v>
      </c>
      <c r="J501" t="str">
        <f>VLOOKUP(orders__17[[#This Row],[Customer_ID]],customers__2[#All],4,0)</f>
        <v>Home Office</v>
      </c>
      <c r="K501" t="str">
        <f>VLOOKUP(orders__17[[#This Row],[Product_ID]],products[#All],3,0)</f>
        <v>Office Supplies</v>
      </c>
      <c r="L501" s="1" t="str">
        <f>VLOOKUP(orders__17[[#This Row],[Product_ID]],products[#All],4,0)</f>
        <v>Pen</v>
      </c>
      <c r="M501" s="1" t="str">
        <f>VLOOKUP(orders__17[[#This Row],[Order_ID]],returns[#All],2,0)</f>
        <v>No</v>
      </c>
    </row>
    <row r="502" spans="1:13" x14ac:dyDescent="0.3">
      <c r="A502" s="1" t="s">
        <v>792</v>
      </c>
      <c r="B502" s="2">
        <v>44608</v>
      </c>
      <c r="C502" s="1" t="s">
        <v>160</v>
      </c>
      <c r="D502" s="1" t="s">
        <v>107</v>
      </c>
      <c r="E502">
        <v>4</v>
      </c>
      <c r="F502" s="4">
        <v>1971.48</v>
      </c>
      <c r="G502" s="3">
        <v>0.1</v>
      </c>
      <c r="H502" s="4">
        <v>336.88</v>
      </c>
      <c r="I502" t="str">
        <f>VLOOKUP(orders__17[[#This Row],[Customer_ID]],customers__2[#All],3,0)</f>
        <v>East</v>
      </c>
      <c r="J502" t="str">
        <f>VLOOKUP(orders__17[[#This Row],[Customer_ID]],customers__2[#All],4,0)</f>
        <v>Corporate</v>
      </c>
      <c r="K502" t="str">
        <f>VLOOKUP(orders__17[[#This Row],[Product_ID]],products[#All],3,0)</f>
        <v>Office Supplies</v>
      </c>
      <c r="L502" s="1" t="str">
        <f>VLOOKUP(orders__17[[#This Row],[Product_ID]],products[#All],4,0)</f>
        <v>Pen</v>
      </c>
      <c r="M502" s="1" t="str">
        <f>VLOOKUP(orders__17[[#This Row],[Order_ID]],returns[#All],2,0)</f>
        <v>No</v>
      </c>
    </row>
    <row r="503" spans="1:13" x14ac:dyDescent="0.3">
      <c r="A503" s="1" t="s">
        <v>793</v>
      </c>
      <c r="B503" s="2">
        <v>44663</v>
      </c>
      <c r="C503" s="1" t="s">
        <v>697</v>
      </c>
      <c r="D503" s="1" t="s">
        <v>22</v>
      </c>
      <c r="E503">
        <v>1</v>
      </c>
      <c r="F503" s="4">
        <v>1566.82</v>
      </c>
      <c r="G503" s="3">
        <v>0.2</v>
      </c>
      <c r="H503" s="4">
        <v>246.44</v>
      </c>
      <c r="I503" t="str">
        <f>VLOOKUP(orders__17[[#This Row],[Customer_ID]],customers__2[#All],3,0)</f>
        <v>South</v>
      </c>
      <c r="J503" t="str">
        <f>VLOOKUP(orders__17[[#This Row],[Customer_ID]],customers__2[#All],4,0)</f>
        <v>Corporate</v>
      </c>
      <c r="K503" t="str">
        <f>VLOOKUP(orders__17[[#This Row],[Product_ID]],products[#All],3,0)</f>
        <v>Furniture</v>
      </c>
      <c r="L503" s="1" t="str">
        <f>VLOOKUP(orders__17[[#This Row],[Product_ID]],products[#All],4,0)</f>
        <v>Chair</v>
      </c>
      <c r="M503" s="1" t="str">
        <f>VLOOKUP(orders__17[[#This Row],[Order_ID]],returns[#All],2,0)</f>
        <v>No</v>
      </c>
    </row>
    <row r="504" spans="1:13" x14ac:dyDescent="0.3">
      <c r="A504" s="1" t="s">
        <v>794</v>
      </c>
      <c r="B504" s="2">
        <v>45421</v>
      </c>
      <c r="C504" s="1" t="s">
        <v>406</v>
      </c>
      <c r="D504" s="1" t="s">
        <v>364</v>
      </c>
      <c r="E504">
        <v>5</v>
      </c>
      <c r="F504" s="4">
        <v>151.62</v>
      </c>
      <c r="G504" s="3">
        <v>0.1</v>
      </c>
      <c r="H504" s="4">
        <v>10.42</v>
      </c>
      <c r="I504" t="str">
        <f>VLOOKUP(orders__17[[#This Row],[Customer_ID]],customers__2[#All],3,0)</f>
        <v>East</v>
      </c>
      <c r="J504" t="str">
        <f>VLOOKUP(orders__17[[#This Row],[Customer_ID]],customers__2[#All],4,0)</f>
        <v>Home Office</v>
      </c>
      <c r="K504" t="str">
        <f>VLOOKUP(orders__17[[#This Row],[Product_ID]],products[#All],3,0)</f>
        <v>Technology</v>
      </c>
      <c r="L504" s="1" t="str">
        <f>VLOOKUP(orders__17[[#This Row],[Product_ID]],products[#All],4,0)</f>
        <v>Accessories</v>
      </c>
      <c r="M504" s="1" t="str">
        <f>VLOOKUP(orders__17[[#This Row],[Order_ID]],returns[#All],2,0)</f>
        <v>No</v>
      </c>
    </row>
    <row r="505" spans="1:13" x14ac:dyDescent="0.3">
      <c r="A505" s="1" t="s">
        <v>795</v>
      </c>
      <c r="B505" s="2">
        <v>45218</v>
      </c>
      <c r="C505" s="1" t="s">
        <v>42</v>
      </c>
      <c r="D505" s="1" t="s">
        <v>239</v>
      </c>
      <c r="E505">
        <v>3</v>
      </c>
      <c r="F505" s="4">
        <v>223.89</v>
      </c>
      <c r="G505" s="3">
        <v>0.1</v>
      </c>
      <c r="H505" s="4">
        <v>17.14</v>
      </c>
      <c r="I505" t="str">
        <f>VLOOKUP(orders__17[[#This Row],[Customer_ID]],customers__2[#All],3,0)</f>
        <v>North</v>
      </c>
      <c r="J505" t="str">
        <f>VLOOKUP(orders__17[[#This Row],[Customer_ID]],customers__2[#All],4,0)</f>
        <v>Corporate</v>
      </c>
      <c r="K505" t="str">
        <f>VLOOKUP(orders__17[[#This Row],[Product_ID]],products[#All],3,0)</f>
        <v>Furniture</v>
      </c>
      <c r="L505" s="1" t="str">
        <f>VLOOKUP(orders__17[[#This Row],[Product_ID]],products[#All],4,0)</f>
        <v>Shelf</v>
      </c>
      <c r="M505" s="1" t="str">
        <f>VLOOKUP(orders__17[[#This Row],[Order_ID]],returns[#All],2,0)</f>
        <v>No</v>
      </c>
    </row>
    <row r="506" spans="1:13" x14ac:dyDescent="0.3">
      <c r="A506" s="1" t="s">
        <v>796</v>
      </c>
      <c r="B506" s="2">
        <v>45410</v>
      </c>
      <c r="C506" s="1" t="s">
        <v>739</v>
      </c>
      <c r="D506" s="1" t="s">
        <v>31</v>
      </c>
      <c r="E506">
        <v>3</v>
      </c>
      <c r="F506" s="4">
        <v>981.47</v>
      </c>
      <c r="G506" s="3">
        <v>0.2</v>
      </c>
      <c r="H506" s="4">
        <v>254.56</v>
      </c>
      <c r="I506" t="str">
        <f>VLOOKUP(orders__17[[#This Row],[Customer_ID]],customers__2[#All],3,0)</f>
        <v>North</v>
      </c>
      <c r="J506" t="str">
        <f>VLOOKUP(orders__17[[#This Row],[Customer_ID]],customers__2[#All],4,0)</f>
        <v>Consumer</v>
      </c>
      <c r="K506" t="str">
        <f>VLOOKUP(orders__17[[#This Row],[Product_ID]],products[#All],3,0)</f>
        <v>Furniture</v>
      </c>
      <c r="L506" s="1" t="str">
        <f>VLOOKUP(orders__17[[#This Row],[Product_ID]],products[#All],4,0)</f>
        <v>Chair</v>
      </c>
      <c r="M506" s="1" t="str">
        <f>VLOOKUP(orders__17[[#This Row],[Order_ID]],returns[#All],2,0)</f>
        <v>No</v>
      </c>
    </row>
    <row r="507" spans="1:13" x14ac:dyDescent="0.3">
      <c r="A507" s="1" t="s">
        <v>797</v>
      </c>
      <c r="B507" s="2">
        <v>44713</v>
      </c>
      <c r="C507" s="1" t="s">
        <v>505</v>
      </c>
      <c r="D507" s="1" t="s">
        <v>323</v>
      </c>
      <c r="E507">
        <v>1</v>
      </c>
      <c r="F507" s="4">
        <v>1827.52</v>
      </c>
      <c r="G507" s="3">
        <v>0.3</v>
      </c>
      <c r="H507" s="4">
        <v>200.94</v>
      </c>
      <c r="I507" t="str">
        <f>VLOOKUP(orders__17[[#This Row],[Customer_ID]],customers__2[#All],3,0)</f>
        <v>North</v>
      </c>
      <c r="J507" t="str">
        <f>VLOOKUP(orders__17[[#This Row],[Customer_ID]],customers__2[#All],4,0)</f>
        <v>Consumer</v>
      </c>
      <c r="K507" t="str">
        <f>VLOOKUP(orders__17[[#This Row],[Product_ID]],products[#All],3,0)</f>
        <v>Technology</v>
      </c>
      <c r="L507" s="1" t="str">
        <f>VLOOKUP(orders__17[[#This Row],[Product_ID]],products[#All],4,0)</f>
        <v>Tablet</v>
      </c>
      <c r="M507" s="1" t="str">
        <f>VLOOKUP(orders__17[[#This Row],[Order_ID]],returns[#All],2,0)</f>
        <v>No</v>
      </c>
    </row>
    <row r="508" spans="1:13" x14ac:dyDescent="0.3">
      <c r="A508" s="1" t="s">
        <v>798</v>
      </c>
      <c r="B508" s="2">
        <v>44760</v>
      </c>
      <c r="C508" s="1" t="s">
        <v>53</v>
      </c>
      <c r="D508" s="1" t="s">
        <v>163</v>
      </c>
      <c r="E508">
        <v>4</v>
      </c>
      <c r="F508" s="4">
        <v>1123.53</v>
      </c>
      <c r="G508" s="3">
        <v>0</v>
      </c>
      <c r="H508" s="4">
        <v>110.94</v>
      </c>
      <c r="I508" t="str">
        <f>VLOOKUP(orders__17[[#This Row],[Customer_ID]],customers__2[#All],3,0)</f>
        <v>West</v>
      </c>
      <c r="J508" t="str">
        <f>VLOOKUP(orders__17[[#This Row],[Customer_ID]],customers__2[#All],4,0)</f>
        <v>Home Office</v>
      </c>
      <c r="K508" t="str">
        <f>VLOOKUP(orders__17[[#This Row],[Product_ID]],products[#All],3,0)</f>
        <v>Furniture</v>
      </c>
      <c r="L508" s="1" t="str">
        <f>VLOOKUP(orders__17[[#This Row],[Product_ID]],products[#All],4,0)</f>
        <v>Table</v>
      </c>
      <c r="M508" s="1" t="str">
        <f>VLOOKUP(orders__17[[#This Row],[Order_ID]],returns[#All],2,0)</f>
        <v>No</v>
      </c>
    </row>
    <row r="509" spans="1:13" x14ac:dyDescent="0.3">
      <c r="A509" s="1" t="s">
        <v>799</v>
      </c>
      <c r="B509" s="2">
        <v>45363</v>
      </c>
      <c r="C509" s="1" t="s">
        <v>800</v>
      </c>
      <c r="D509" s="1" t="s">
        <v>397</v>
      </c>
      <c r="E509">
        <v>4</v>
      </c>
      <c r="F509" s="4">
        <v>1045.8399999999999</v>
      </c>
      <c r="G509" s="3">
        <v>0.2</v>
      </c>
      <c r="H509" s="4">
        <v>184.31</v>
      </c>
      <c r="I509" t="str">
        <f>VLOOKUP(orders__17[[#This Row],[Customer_ID]],customers__2[#All],3,0)</f>
        <v>North</v>
      </c>
      <c r="J509" t="str">
        <f>VLOOKUP(orders__17[[#This Row],[Customer_ID]],customers__2[#All],4,0)</f>
        <v>Corporate</v>
      </c>
      <c r="K509" t="str">
        <f>VLOOKUP(orders__17[[#This Row],[Product_ID]],products[#All],3,0)</f>
        <v>Office Supplies</v>
      </c>
      <c r="L509" s="1" t="str">
        <f>VLOOKUP(orders__17[[#This Row],[Product_ID]],products[#All],4,0)</f>
        <v>Pen</v>
      </c>
      <c r="M509" s="1" t="str">
        <f>VLOOKUP(orders__17[[#This Row],[Order_ID]],returns[#All],2,0)</f>
        <v>Yes</v>
      </c>
    </row>
    <row r="510" spans="1:13" x14ac:dyDescent="0.3">
      <c r="A510" s="1" t="s">
        <v>801</v>
      </c>
      <c r="B510" s="2">
        <v>45068</v>
      </c>
      <c r="C510" s="1" t="s">
        <v>246</v>
      </c>
      <c r="D510" s="1" t="s">
        <v>19</v>
      </c>
      <c r="E510">
        <v>5</v>
      </c>
      <c r="F510" s="4">
        <v>300.39999999999998</v>
      </c>
      <c r="G510" s="3">
        <v>0.1</v>
      </c>
      <c r="H510" s="4">
        <v>72.75</v>
      </c>
      <c r="I510" t="str">
        <f>VLOOKUP(orders__17[[#This Row],[Customer_ID]],customers__2[#All],3,0)</f>
        <v>West</v>
      </c>
      <c r="J510" t="str">
        <f>VLOOKUP(orders__17[[#This Row],[Customer_ID]],customers__2[#All],4,0)</f>
        <v>Home Office</v>
      </c>
      <c r="K510" t="str">
        <f>VLOOKUP(orders__17[[#This Row],[Product_ID]],products[#All],3,0)</f>
        <v>Office Supplies</v>
      </c>
      <c r="L510" s="1" t="str">
        <f>VLOOKUP(orders__17[[#This Row],[Product_ID]],products[#All],4,0)</f>
        <v>Pen</v>
      </c>
      <c r="M510" s="1" t="str">
        <f>VLOOKUP(orders__17[[#This Row],[Order_ID]],returns[#All],2,0)</f>
        <v>No</v>
      </c>
    </row>
    <row r="511" spans="1:13" x14ac:dyDescent="0.3">
      <c r="A511" s="1" t="s">
        <v>802</v>
      </c>
      <c r="B511" s="2">
        <v>44765</v>
      </c>
      <c r="C511" s="1" t="s">
        <v>803</v>
      </c>
      <c r="D511" s="1" t="s">
        <v>37</v>
      </c>
      <c r="E511">
        <v>1</v>
      </c>
      <c r="F511" s="4">
        <v>1347.88</v>
      </c>
      <c r="G511" s="3">
        <v>0</v>
      </c>
      <c r="H511" s="4">
        <v>88.27</v>
      </c>
      <c r="I511" t="str">
        <f>VLOOKUP(orders__17[[#This Row],[Customer_ID]],customers__2[#All],3,0)</f>
        <v>South</v>
      </c>
      <c r="J511" t="str">
        <f>VLOOKUP(orders__17[[#This Row],[Customer_ID]],customers__2[#All],4,0)</f>
        <v>Consumer</v>
      </c>
      <c r="K511" t="str">
        <f>VLOOKUP(orders__17[[#This Row],[Product_ID]],products[#All],3,0)</f>
        <v>Furniture</v>
      </c>
      <c r="L511" s="1" t="str">
        <f>VLOOKUP(orders__17[[#This Row],[Product_ID]],products[#All],4,0)</f>
        <v>Desk</v>
      </c>
      <c r="M511" s="1" t="str">
        <f>VLOOKUP(orders__17[[#This Row],[Order_ID]],returns[#All],2,0)</f>
        <v>No</v>
      </c>
    </row>
    <row r="512" spans="1:13" x14ac:dyDescent="0.3">
      <c r="A512" s="1" t="s">
        <v>804</v>
      </c>
      <c r="B512" s="2">
        <v>44973</v>
      </c>
      <c r="C512" s="1" t="s">
        <v>167</v>
      </c>
      <c r="D512" s="1" t="s">
        <v>186</v>
      </c>
      <c r="E512">
        <v>3</v>
      </c>
      <c r="F512" s="4">
        <v>1662</v>
      </c>
      <c r="G512" s="3">
        <v>0.2</v>
      </c>
      <c r="H512" s="4">
        <v>322.76</v>
      </c>
      <c r="I512" t="str">
        <f>VLOOKUP(orders__17[[#This Row],[Customer_ID]],customers__2[#All],3,0)</f>
        <v>East</v>
      </c>
      <c r="J512" t="str">
        <f>VLOOKUP(orders__17[[#This Row],[Customer_ID]],customers__2[#All],4,0)</f>
        <v>Corporate</v>
      </c>
      <c r="K512" t="str">
        <f>VLOOKUP(orders__17[[#This Row],[Product_ID]],products[#All],3,0)</f>
        <v>Technology</v>
      </c>
      <c r="L512" s="1" t="str">
        <f>VLOOKUP(orders__17[[#This Row],[Product_ID]],products[#All],4,0)</f>
        <v>Laptop</v>
      </c>
      <c r="M512" s="1" t="str">
        <f>VLOOKUP(orders__17[[#This Row],[Order_ID]],returns[#All],2,0)</f>
        <v>No</v>
      </c>
    </row>
    <row r="513" spans="1:13" x14ac:dyDescent="0.3">
      <c r="A513" s="1" t="s">
        <v>805</v>
      </c>
      <c r="B513" s="2">
        <v>45061</v>
      </c>
      <c r="C513" s="1" t="s">
        <v>205</v>
      </c>
      <c r="D513" s="1" t="s">
        <v>585</v>
      </c>
      <c r="E513">
        <v>4</v>
      </c>
      <c r="F513" s="4">
        <v>822.8</v>
      </c>
      <c r="G513" s="3">
        <v>0</v>
      </c>
      <c r="H513" s="4">
        <v>65.66</v>
      </c>
      <c r="I513" t="str">
        <f>VLOOKUP(orders__17[[#This Row],[Customer_ID]],customers__2[#All],3,0)</f>
        <v>North</v>
      </c>
      <c r="J513" t="str">
        <f>VLOOKUP(orders__17[[#This Row],[Customer_ID]],customers__2[#All],4,0)</f>
        <v>Consumer</v>
      </c>
      <c r="K513" t="str">
        <f>VLOOKUP(orders__17[[#This Row],[Product_ID]],products[#All],3,0)</f>
        <v>Office Supplies</v>
      </c>
      <c r="L513" s="1" t="str">
        <f>VLOOKUP(orders__17[[#This Row],[Product_ID]],products[#All],4,0)</f>
        <v>Storage</v>
      </c>
      <c r="M513" s="1" t="str">
        <f>VLOOKUP(orders__17[[#This Row],[Order_ID]],returns[#All],2,0)</f>
        <v>Yes</v>
      </c>
    </row>
    <row r="514" spans="1:13" x14ac:dyDescent="0.3">
      <c r="A514" s="1" t="s">
        <v>806</v>
      </c>
      <c r="B514" s="2">
        <v>45133</v>
      </c>
      <c r="C514" s="1" t="s">
        <v>673</v>
      </c>
      <c r="D514" s="1" t="s">
        <v>97</v>
      </c>
      <c r="E514">
        <v>1</v>
      </c>
      <c r="F514" s="4">
        <v>1573.66</v>
      </c>
      <c r="G514" s="3">
        <v>0</v>
      </c>
      <c r="H514" s="4">
        <v>93.03</v>
      </c>
      <c r="I514" t="str">
        <f>VLOOKUP(orders__17[[#This Row],[Customer_ID]],customers__2[#All],3,0)</f>
        <v>West</v>
      </c>
      <c r="J514" t="str">
        <f>VLOOKUP(orders__17[[#This Row],[Customer_ID]],customers__2[#All],4,0)</f>
        <v>Consumer</v>
      </c>
      <c r="K514" t="str">
        <f>VLOOKUP(orders__17[[#This Row],[Product_ID]],products[#All],3,0)</f>
        <v>Technology</v>
      </c>
      <c r="L514" s="1" t="str">
        <f>VLOOKUP(orders__17[[#This Row],[Product_ID]],products[#All],4,0)</f>
        <v>Tablet</v>
      </c>
      <c r="M514" s="1" t="str">
        <f>VLOOKUP(orders__17[[#This Row],[Order_ID]],returns[#All],2,0)</f>
        <v>Yes</v>
      </c>
    </row>
    <row r="515" spans="1:13" x14ac:dyDescent="0.3">
      <c r="A515" s="1" t="s">
        <v>807</v>
      </c>
      <c r="B515" s="2">
        <v>44580</v>
      </c>
      <c r="C515" s="1" t="s">
        <v>244</v>
      </c>
      <c r="D515" s="1" t="s">
        <v>156</v>
      </c>
      <c r="E515">
        <v>4</v>
      </c>
      <c r="F515" s="4">
        <v>1932.51</v>
      </c>
      <c r="G515" s="3">
        <v>0.2</v>
      </c>
      <c r="H515" s="4">
        <v>122.11</v>
      </c>
      <c r="I515" t="str">
        <f>VLOOKUP(orders__17[[#This Row],[Customer_ID]],customers__2[#All],3,0)</f>
        <v>South</v>
      </c>
      <c r="J515" t="str">
        <f>VLOOKUP(orders__17[[#This Row],[Customer_ID]],customers__2[#All],4,0)</f>
        <v>Corporate</v>
      </c>
      <c r="K515" t="str">
        <f>VLOOKUP(orders__17[[#This Row],[Product_ID]],products[#All],3,0)</f>
        <v>Furniture</v>
      </c>
      <c r="L515" s="1" t="str">
        <f>VLOOKUP(orders__17[[#This Row],[Product_ID]],products[#All],4,0)</f>
        <v>Desk</v>
      </c>
      <c r="M515" s="1" t="str">
        <f>VLOOKUP(orders__17[[#This Row],[Order_ID]],returns[#All],2,0)</f>
        <v>No</v>
      </c>
    </row>
    <row r="516" spans="1:13" x14ac:dyDescent="0.3">
      <c r="A516" s="1" t="s">
        <v>808</v>
      </c>
      <c r="B516" s="2">
        <v>45014</v>
      </c>
      <c r="C516" s="1" t="s">
        <v>273</v>
      </c>
      <c r="D516" s="1" t="s">
        <v>143</v>
      </c>
      <c r="E516">
        <v>4</v>
      </c>
      <c r="F516" s="4">
        <v>487.16</v>
      </c>
      <c r="G516" s="3">
        <v>0</v>
      </c>
      <c r="H516" s="4">
        <v>125.95</v>
      </c>
      <c r="I516" t="str">
        <f>VLOOKUP(orders__17[[#This Row],[Customer_ID]],customers__2[#All],3,0)</f>
        <v>North</v>
      </c>
      <c r="J516" t="str">
        <f>VLOOKUP(orders__17[[#This Row],[Customer_ID]],customers__2[#All],4,0)</f>
        <v>Corporate</v>
      </c>
      <c r="K516" t="str">
        <f>VLOOKUP(orders__17[[#This Row],[Product_ID]],products[#All],3,0)</f>
        <v>Furniture</v>
      </c>
      <c r="L516" s="1" t="str">
        <f>VLOOKUP(orders__17[[#This Row],[Product_ID]],products[#All],4,0)</f>
        <v>Shelf</v>
      </c>
      <c r="M516" s="1" t="str">
        <f>VLOOKUP(orders__17[[#This Row],[Order_ID]],returns[#All],2,0)</f>
        <v>No</v>
      </c>
    </row>
    <row r="517" spans="1:13" x14ac:dyDescent="0.3">
      <c r="A517" s="1" t="s">
        <v>809</v>
      </c>
      <c r="B517" s="2">
        <v>44593</v>
      </c>
      <c r="C517" s="1" t="s">
        <v>673</v>
      </c>
      <c r="D517" s="1" t="s">
        <v>323</v>
      </c>
      <c r="E517">
        <v>3</v>
      </c>
      <c r="F517" s="4">
        <v>1094.33</v>
      </c>
      <c r="G517" s="3">
        <v>0.3</v>
      </c>
      <c r="H517" s="4">
        <v>86.99</v>
      </c>
      <c r="I517" t="str">
        <f>VLOOKUP(orders__17[[#This Row],[Customer_ID]],customers__2[#All],3,0)</f>
        <v>West</v>
      </c>
      <c r="J517" t="str">
        <f>VLOOKUP(orders__17[[#This Row],[Customer_ID]],customers__2[#All],4,0)</f>
        <v>Consumer</v>
      </c>
      <c r="K517" t="str">
        <f>VLOOKUP(orders__17[[#This Row],[Product_ID]],products[#All],3,0)</f>
        <v>Technology</v>
      </c>
      <c r="L517" s="1" t="str">
        <f>VLOOKUP(orders__17[[#This Row],[Product_ID]],products[#All],4,0)</f>
        <v>Tablet</v>
      </c>
      <c r="M517" s="1" t="str">
        <f>VLOOKUP(orders__17[[#This Row],[Order_ID]],returns[#All],2,0)</f>
        <v>Yes</v>
      </c>
    </row>
    <row r="518" spans="1:13" x14ac:dyDescent="0.3">
      <c r="A518" s="1" t="s">
        <v>810</v>
      </c>
      <c r="B518" s="2">
        <v>45124</v>
      </c>
      <c r="C518" s="1" t="s">
        <v>129</v>
      </c>
      <c r="D518" s="1" t="s">
        <v>70</v>
      </c>
      <c r="E518">
        <v>2</v>
      </c>
      <c r="F518" s="4">
        <v>645.55999999999995</v>
      </c>
      <c r="G518" s="3">
        <v>0.2</v>
      </c>
      <c r="H518" s="4">
        <v>39.56</v>
      </c>
      <c r="I518" t="str">
        <f>VLOOKUP(orders__17[[#This Row],[Customer_ID]],customers__2[#All],3,0)</f>
        <v>South</v>
      </c>
      <c r="J518" t="str">
        <f>VLOOKUP(orders__17[[#This Row],[Customer_ID]],customers__2[#All],4,0)</f>
        <v>Corporate</v>
      </c>
      <c r="K518" t="str">
        <f>VLOOKUP(orders__17[[#This Row],[Product_ID]],products[#All],3,0)</f>
        <v>Office Supplies</v>
      </c>
      <c r="L518" s="1" t="str">
        <f>VLOOKUP(orders__17[[#This Row],[Product_ID]],products[#All],4,0)</f>
        <v>Paper</v>
      </c>
      <c r="M518" s="1" t="str">
        <f>VLOOKUP(orders__17[[#This Row],[Order_ID]],returns[#All],2,0)</f>
        <v>No</v>
      </c>
    </row>
    <row r="519" spans="1:13" x14ac:dyDescent="0.3">
      <c r="A519" s="1" t="s">
        <v>811</v>
      </c>
      <c r="B519" s="2">
        <v>45307</v>
      </c>
      <c r="C519" s="1" t="s">
        <v>287</v>
      </c>
      <c r="D519" s="1" t="s">
        <v>130</v>
      </c>
      <c r="E519">
        <v>5</v>
      </c>
      <c r="F519" s="4">
        <v>1606.42</v>
      </c>
      <c r="G519" s="3">
        <v>0.3</v>
      </c>
      <c r="H519" s="4">
        <v>256.18</v>
      </c>
      <c r="I519" t="str">
        <f>VLOOKUP(orders__17[[#This Row],[Customer_ID]],customers__2[#All],3,0)</f>
        <v>South</v>
      </c>
      <c r="J519" t="str">
        <f>VLOOKUP(orders__17[[#This Row],[Customer_ID]],customers__2[#All],4,0)</f>
        <v>Consumer</v>
      </c>
      <c r="K519" t="str">
        <f>VLOOKUP(orders__17[[#This Row],[Product_ID]],products[#All],3,0)</f>
        <v>Furniture</v>
      </c>
      <c r="L519" s="1" t="str">
        <f>VLOOKUP(orders__17[[#This Row],[Product_ID]],products[#All],4,0)</f>
        <v>Desk</v>
      </c>
      <c r="M519" s="1" t="str">
        <f>VLOOKUP(orders__17[[#This Row],[Order_ID]],returns[#All],2,0)</f>
        <v>No</v>
      </c>
    </row>
    <row r="520" spans="1:13" x14ac:dyDescent="0.3">
      <c r="A520" s="1" t="s">
        <v>812</v>
      </c>
      <c r="B520" s="2">
        <v>44920</v>
      </c>
      <c r="C520" s="1" t="s">
        <v>24</v>
      </c>
      <c r="D520" s="1" t="s">
        <v>51</v>
      </c>
      <c r="E520">
        <v>5</v>
      </c>
      <c r="F520" s="4">
        <v>1197.43</v>
      </c>
      <c r="G520" s="3">
        <v>0.1</v>
      </c>
      <c r="H520" s="4">
        <v>312.52999999999997</v>
      </c>
      <c r="I520" t="str">
        <f>VLOOKUP(orders__17[[#This Row],[Customer_ID]],customers__2[#All],3,0)</f>
        <v>North</v>
      </c>
      <c r="J520" t="str">
        <f>VLOOKUP(orders__17[[#This Row],[Customer_ID]],customers__2[#All],4,0)</f>
        <v>Consumer</v>
      </c>
      <c r="K520" t="str">
        <f>VLOOKUP(orders__17[[#This Row],[Product_ID]],products[#All],3,0)</f>
        <v>Office Supplies</v>
      </c>
      <c r="L520" s="1" t="str">
        <f>VLOOKUP(orders__17[[#This Row],[Product_ID]],products[#All],4,0)</f>
        <v>Pen</v>
      </c>
      <c r="M520" s="1" t="str">
        <f>VLOOKUP(orders__17[[#This Row],[Order_ID]],returns[#All],2,0)</f>
        <v>No</v>
      </c>
    </row>
    <row r="521" spans="1:13" x14ac:dyDescent="0.3">
      <c r="A521" s="1" t="s">
        <v>813</v>
      </c>
      <c r="B521" s="2">
        <v>44662</v>
      </c>
      <c r="C521" s="1" t="s">
        <v>425</v>
      </c>
      <c r="D521" s="1" t="s">
        <v>37</v>
      </c>
      <c r="E521">
        <v>3</v>
      </c>
      <c r="F521" s="4">
        <v>1305.71</v>
      </c>
      <c r="G521" s="3">
        <v>0</v>
      </c>
      <c r="H521" s="4">
        <v>150.94</v>
      </c>
      <c r="I521" t="str">
        <f>VLOOKUP(orders__17[[#This Row],[Customer_ID]],customers__2[#All],3,0)</f>
        <v>East</v>
      </c>
      <c r="J521" t="str">
        <f>VLOOKUP(orders__17[[#This Row],[Customer_ID]],customers__2[#All],4,0)</f>
        <v>Home Office</v>
      </c>
      <c r="K521" t="str">
        <f>VLOOKUP(orders__17[[#This Row],[Product_ID]],products[#All],3,0)</f>
        <v>Furniture</v>
      </c>
      <c r="L521" s="1" t="str">
        <f>VLOOKUP(orders__17[[#This Row],[Product_ID]],products[#All],4,0)</f>
        <v>Desk</v>
      </c>
      <c r="M521" s="1" t="str">
        <f>VLOOKUP(orders__17[[#This Row],[Order_ID]],returns[#All],2,0)</f>
        <v>Yes</v>
      </c>
    </row>
    <row r="522" spans="1:13" x14ac:dyDescent="0.3">
      <c r="A522" s="1" t="s">
        <v>814</v>
      </c>
      <c r="B522" s="2">
        <v>45414</v>
      </c>
      <c r="C522" s="1" t="s">
        <v>588</v>
      </c>
      <c r="D522" s="1" t="s">
        <v>341</v>
      </c>
      <c r="E522">
        <v>4</v>
      </c>
      <c r="F522" s="4">
        <v>1616.04</v>
      </c>
      <c r="G522" s="3">
        <v>0.1</v>
      </c>
      <c r="H522" s="4">
        <v>251.18</v>
      </c>
      <c r="I522" t="str">
        <f>VLOOKUP(orders__17[[#This Row],[Customer_ID]],customers__2[#All],3,0)</f>
        <v>South</v>
      </c>
      <c r="J522" t="str">
        <f>VLOOKUP(orders__17[[#This Row],[Customer_ID]],customers__2[#All],4,0)</f>
        <v>Home Office</v>
      </c>
      <c r="K522" t="str">
        <f>VLOOKUP(orders__17[[#This Row],[Product_ID]],products[#All],3,0)</f>
        <v>Technology</v>
      </c>
      <c r="L522" s="1" t="str">
        <f>VLOOKUP(orders__17[[#This Row],[Product_ID]],products[#All],4,0)</f>
        <v>Phone</v>
      </c>
      <c r="M522" s="1" t="str">
        <f>VLOOKUP(orders__17[[#This Row],[Order_ID]],returns[#All],2,0)</f>
        <v>No</v>
      </c>
    </row>
    <row r="523" spans="1:13" x14ac:dyDescent="0.3">
      <c r="A523" s="1" t="s">
        <v>815</v>
      </c>
      <c r="B523" s="2">
        <v>44759</v>
      </c>
      <c r="C523" s="1" t="s">
        <v>306</v>
      </c>
      <c r="D523" s="1" t="s">
        <v>314</v>
      </c>
      <c r="E523">
        <v>1</v>
      </c>
      <c r="F523" s="4">
        <v>852.34</v>
      </c>
      <c r="G523" s="3">
        <v>0.1</v>
      </c>
      <c r="H523" s="4">
        <v>51.12</v>
      </c>
      <c r="I523" t="str">
        <f>VLOOKUP(orders__17[[#This Row],[Customer_ID]],customers__2[#All],3,0)</f>
        <v>North</v>
      </c>
      <c r="J523" t="str">
        <f>VLOOKUP(orders__17[[#This Row],[Customer_ID]],customers__2[#All],4,0)</f>
        <v>Consumer</v>
      </c>
      <c r="K523" t="str">
        <f>VLOOKUP(orders__17[[#This Row],[Product_ID]],products[#All],3,0)</f>
        <v>Office Supplies</v>
      </c>
      <c r="L523" s="1" t="str">
        <f>VLOOKUP(orders__17[[#This Row],[Product_ID]],products[#All],4,0)</f>
        <v>Paper</v>
      </c>
      <c r="M523" s="1" t="str">
        <f>VLOOKUP(orders__17[[#This Row],[Order_ID]],returns[#All],2,0)</f>
        <v>No</v>
      </c>
    </row>
    <row r="524" spans="1:13" x14ac:dyDescent="0.3">
      <c r="A524" s="1" t="s">
        <v>816</v>
      </c>
      <c r="B524" s="2">
        <v>45334</v>
      </c>
      <c r="C524" s="1" t="s">
        <v>739</v>
      </c>
      <c r="D524" s="1" t="s">
        <v>451</v>
      </c>
      <c r="E524">
        <v>4</v>
      </c>
      <c r="F524" s="4">
        <v>1838.67</v>
      </c>
      <c r="G524" s="3">
        <v>0</v>
      </c>
      <c r="H524" s="4">
        <v>298.36</v>
      </c>
      <c r="I524" t="str">
        <f>VLOOKUP(orders__17[[#This Row],[Customer_ID]],customers__2[#All],3,0)</f>
        <v>North</v>
      </c>
      <c r="J524" t="str">
        <f>VLOOKUP(orders__17[[#This Row],[Customer_ID]],customers__2[#All],4,0)</f>
        <v>Consumer</v>
      </c>
      <c r="K524" t="str">
        <f>VLOOKUP(orders__17[[#This Row],[Product_ID]],products[#All],3,0)</f>
        <v>Technology</v>
      </c>
      <c r="L524" s="1" t="str">
        <f>VLOOKUP(orders__17[[#This Row],[Product_ID]],products[#All],4,0)</f>
        <v>Laptop</v>
      </c>
      <c r="M524" s="1" t="str">
        <f>VLOOKUP(orders__17[[#This Row],[Order_ID]],returns[#All],2,0)</f>
        <v>Yes</v>
      </c>
    </row>
    <row r="525" spans="1:13" x14ac:dyDescent="0.3">
      <c r="A525" s="1" t="s">
        <v>817</v>
      </c>
      <c r="B525" s="2">
        <v>45201</v>
      </c>
      <c r="C525" s="1" t="s">
        <v>487</v>
      </c>
      <c r="D525" s="1" t="s">
        <v>727</v>
      </c>
      <c r="E525">
        <v>3</v>
      </c>
      <c r="F525" s="4">
        <v>1112.75</v>
      </c>
      <c r="G525" s="3">
        <v>0.2</v>
      </c>
      <c r="H525" s="4">
        <v>216.32</v>
      </c>
      <c r="I525" t="str">
        <f>VLOOKUP(orders__17[[#This Row],[Customer_ID]],customers__2[#All],3,0)</f>
        <v>North</v>
      </c>
      <c r="J525" t="str">
        <f>VLOOKUP(orders__17[[#This Row],[Customer_ID]],customers__2[#All],4,0)</f>
        <v>Home Office</v>
      </c>
      <c r="K525" t="str">
        <f>VLOOKUP(orders__17[[#This Row],[Product_ID]],products[#All],3,0)</f>
        <v>Furniture</v>
      </c>
      <c r="L525" s="1" t="str">
        <f>VLOOKUP(orders__17[[#This Row],[Product_ID]],products[#All],4,0)</f>
        <v>Chair</v>
      </c>
      <c r="M525" s="1" t="str">
        <f>VLOOKUP(orders__17[[#This Row],[Order_ID]],returns[#All],2,0)</f>
        <v>No</v>
      </c>
    </row>
    <row r="526" spans="1:13" x14ac:dyDescent="0.3">
      <c r="A526" s="1" t="s">
        <v>818</v>
      </c>
      <c r="B526" s="2">
        <v>44633</v>
      </c>
      <c r="C526" s="1" t="s">
        <v>306</v>
      </c>
      <c r="D526" s="1" t="s">
        <v>34</v>
      </c>
      <c r="E526">
        <v>5</v>
      </c>
      <c r="F526" s="4">
        <v>400.11</v>
      </c>
      <c r="G526" s="3">
        <v>0</v>
      </c>
      <c r="H526" s="4">
        <v>77.11</v>
      </c>
      <c r="I526" t="str">
        <f>VLOOKUP(orders__17[[#This Row],[Customer_ID]],customers__2[#All],3,0)</f>
        <v>North</v>
      </c>
      <c r="J526" t="str">
        <f>VLOOKUP(orders__17[[#This Row],[Customer_ID]],customers__2[#All],4,0)</f>
        <v>Consumer</v>
      </c>
      <c r="K526" t="str">
        <f>VLOOKUP(orders__17[[#This Row],[Product_ID]],products[#All],3,0)</f>
        <v>Furniture</v>
      </c>
      <c r="L526" s="1" t="str">
        <f>VLOOKUP(orders__17[[#This Row],[Product_ID]],products[#All],4,0)</f>
        <v>Table</v>
      </c>
      <c r="M526" s="1" t="str">
        <f>VLOOKUP(orders__17[[#This Row],[Order_ID]],returns[#All],2,0)</f>
        <v>No</v>
      </c>
    </row>
    <row r="527" spans="1:13" x14ac:dyDescent="0.3">
      <c r="A527" s="1" t="s">
        <v>819</v>
      </c>
      <c r="B527" s="2">
        <v>44959</v>
      </c>
      <c r="C527" s="1" t="s">
        <v>233</v>
      </c>
      <c r="D527" s="1" t="s">
        <v>296</v>
      </c>
      <c r="E527">
        <v>4</v>
      </c>
      <c r="F527" s="4">
        <v>1422.21</v>
      </c>
      <c r="G527" s="3">
        <v>0.1</v>
      </c>
      <c r="H527" s="4">
        <v>189.31</v>
      </c>
      <c r="I527" t="str">
        <f>VLOOKUP(orders__17[[#This Row],[Customer_ID]],customers__2[#All],3,0)</f>
        <v>South</v>
      </c>
      <c r="J527" t="str">
        <f>VLOOKUP(orders__17[[#This Row],[Customer_ID]],customers__2[#All],4,0)</f>
        <v>Home Office</v>
      </c>
      <c r="K527" t="str">
        <f>VLOOKUP(orders__17[[#This Row],[Product_ID]],products[#All],3,0)</f>
        <v>Technology</v>
      </c>
      <c r="L527" s="1" t="str">
        <f>VLOOKUP(orders__17[[#This Row],[Product_ID]],products[#All],4,0)</f>
        <v>Accessories</v>
      </c>
      <c r="M527" s="1" t="str">
        <f>VLOOKUP(orders__17[[#This Row],[Order_ID]],returns[#All],2,0)</f>
        <v>No</v>
      </c>
    </row>
    <row r="528" spans="1:13" x14ac:dyDescent="0.3">
      <c r="A528" s="1" t="s">
        <v>820</v>
      </c>
      <c r="B528" s="2">
        <v>45078</v>
      </c>
      <c r="C528" s="1" t="s">
        <v>167</v>
      </c>
      <c r="D528" s="1" t="s">
        <v>361</v>
      </c>
      <c r="E528">
        <v>5</v>
      </c>
      <c r="F528" s="4">
        <v>1607.2</v>
      </c>
      <c r="G528" s="3">
        <v>0.1</v>
      </c>
      <c r="H528" s="4">
        <v>207.14</v>
      </c>
      <c r="I528" t="str">
        <f>VLOOKUP(orders__17[[#This Row],[Customer_ID]],customers__2[#All],3,0)</f>
        <v>East</v>
      </c>
      <c r="J528" t="str">
        <f>VLOOKUP(orders__17[[#This Row],[Customer_ID]],customers__2[#All],4,0)</f>
        <v>Corporate</v>
      </c>
      <c r="K528" t="str">
        <f>VLOOKUP(orders__17[[#This Row],[Product_ID]],products[#All],3,0)</f>
        <v>Furniture</v>
      </c>
      <c r="L528" s="1" t="str">
        <f>VLOOKUP(orders__17[[#This Row],[Product_ID]],products[#All],4,0)</f>
        <v>Shelf</v>
      </c>
      <c r="M528" s="1" t="str">
        <f>VLOOKUP(orders__17[[#This Row],[Order_ID]],returns[#All],2,0)</f>
        <v>No</v>
      </c>
    </row>
    <row r="529" spans="1:13" x14ac:dyDescent="0.3">
      <c r="A529" s="1" t="s">
        <v>821</v>
      </c>
      <c r="B529" s="2">
        <v>45361</v>
      </c>
      <c r="C529" s="1" t="s">
        <v>228</v>
      </c>
      <c r="D529" s="1" t="s">
        <v>122</v>
      </c>
      <c r="E529">
        <v>1</v>
      </c>
      <c r="F529" s="4">
        <v>701.85</v>
      </c>
      <c r="G529" s="3">
        <v>0.2</v>
      </c>
      <c r="H529" s="4">
        <v>53.8</v>
      </c>
      <c r="I529" t="str">
        <f>VLOOKUP(orders__17[[#This Row],[Customer_ID]],customers__2[#All],3,0)</f>
        <v>North</v>
      </c>
      <c r="J529" t="str">
        <f>VLOOKUP(orders__17[[#This Row],[Customer_ID]],customers__2[#All],4,0)</f>
        <v>Consumer</v>
      </c>
      <c r="K529" t="str">
        <f>VLOOKUP(orders__17[[#This Row],[Product_ID]],products[#All],3,0)</f>
        <v>Office Supplies</v>
      </c>
      <c r="L529" s="1" t="str">
        <f>VLOOKUP(orders__17[[#This Row],[Product_ID]],products[#All],4,0)</f>
        <v>Storage</v>
      </c>
      <c r="M529" s="1" t="str">
        <f>VLOOKUP(orders__17[[#This Row],[Order_ID]],returns[#All],2,0)</f>
        <v>Yes</v>
      </c>
    </row>
    <row r="530" spans="1:13" x14ac:dyDescent="0.3">
      <c r="A530" s="1" t="s">
        <v>822</v>
      </c>
      <c r="B530" s="2">
        <v>44717</v>
      </c>
      <c r="C530" s="1" t="s">
        <v>610</v>
      </c>
      <c r="D530" s="1" t="s">
        <v>127</v>
      </c>
      <c r="E530">
        <v>5</v>
      </c>
      <c r="F530" s="4">
        <v>1728.64</v>
      </c>
      <c r="G530" s="3">
        <v>0</v>
      </c>
      <c r="H530" s="4">
        <v>244.95</v>
      </c>
      <c r="I530" t="str">
        <f>VLOOKUP(orders__17[[#This Row],[Customer_ID]],customers__2[#All],3,0)</f>
        <v>West</v>
      </c>
      <c r="J530" t="str">
        <f>VLOOKUP(orders__17[[#This Row],[Customer_ID]],customers__2[#All],4,0)</f>
        <v>Home Office</v>
      </c>
      <c r="K530" t="str">
        <f>VLOOKUP(orders__17[[#This Row],[Product_ID]],products[#All],3,0)</f>
        <v>Furniture</v>
      </c>
      <c r="L530" s="1" t="str">
        <f>VLOOKUP(orders__17[[#This Row],[Product_ID]],products[#All],4,0)</f>
        <v>Chair</v>
      </c>
      <c r="M530" s="1" t="str">
        <f>VLOOKUP(orders__17[[#This Row],[Order_ID]],returns[#All],2,0)</f>
        <v>Yes</v>
      </c>
    </row>
    <row r="531" spans="1:13" x14ac:dyDescent="0.3">
      <c r="A531" s="1" t="s">
        <v>823</v>
      </c>
      <c r="B531" s="2">
        <v>44931</v>
      </c>
      <c r="C531" s="1" t="s">
        <v>30</v>
      </c>
      <c r="D531" s="1" t="s">
        <v>372</v>
      </c>
      <c r="E531">
        <v>5</v>
      </c>
      <c r="F531" s="4">
        <v>1821.67</v>
      </c>
      <c r="G531" s="3">
        <v>0.1</v>
      </c>
      <c r="H531" s="4">
        <v>136.4</v>
      </c>
      <c r="I531" t="str">
        <f>VLOOKUP(orders__17[[#This Row],[Customer_ID]],customers__2[#All],3,0)</f>
        <v>South</v>
      </c>
      <c r="J531" t="str">
        <f>VLOOKUP(orders__17[[#This Row],[Customer_ID]],customers__2[#All],4,0)</f>
        <v>Home Office</v>
      </c>
      <c r="K531" t="str">
        <f>VLOOKUP(orders__17[[#This Row],[Product_ID]],products[#All],3,0)</f>
        <v>Furniture</v>
      </c>
      <c r="L531" s="1" t="str">
        <f>VLOOKUP(orders__17[[#This Row],[Product_ID]],products[#All],4,0)</f>
        <v>Shelf</v>
      </c>
      <c r="M531" s="1" t="str">
        <f>VLOOKUP(orders__17[[#This Row],[Order_ID]],returns[#All],2,0)</f>
        <v>No</v>
      </c>
    </row>
    <row r="532" spans="1:13" x14ac:dyDescent="0.3">
      <c r="A532" s="1" t="s">
        <v>824</v>
      </c>
      <c r="B532" s="2">
        <v>44943</v>
      </c>
      <c r="C532" s="1" t="s">
        <v>607</v>
      </c>
      <c r="D532" s="1" t="s">
        <v>16</v>
      </c>
      <c r="E532">
        <v>2</v>
      </c>
      <c r="F532" s="4">
        <v>626.12</v>
      </c>
      <c r="G532" s="3">
        <v>0.3</v>
      </c>
      <c r="H532" s="4">
        <v>151.30000000000001</v>
      </c>
      <c r="I532" t="str">
        <f>VLOOKUP(orders__17[[#This Row],[Customer_ID]],customers__2[#All],3,0)</f>
        <v>East</v>
      </c>
      <c r="J532" t="str">
        <f>VLOOKUP(orders__17[[#This Row],[Customer_ID]],customers__2[#All],4,0)</f>
        <v>Consumer</v>
      </c>
      <c r="K532" t="str">
        <f>VLOOKUP(orders__17[[#This Row],[Product_ID]],products[#All],3,0)</f>
        <v>Technology</v>
      </c>
      <c r="L532" s="1" t="str">
        <f>VLOOKUP(orders__17[[#This Row],[Product_ID]],products[#All],4,0)</f>
        <v>Laptop</v>
      </c>
      <c r="M532" s="1" t="str">
        <f>VLOOKUP(orders__17[[#This Row],[Order_ID]],returns[#All],2,0)</f>
        <v>No</v>
      </c>
    </row>
    <row r="533" spans="1:13" x14ac:dyDescent="0.3">
      <c r="A533" s="1" t="s">
        <v>825</v>
      </c>
      <c r="B533" s="2">
        <v>45139</v>
      </c>
      <c r="C533" s="1" t="s">
        <v>491</v>
      </c>
      <c r="D533" s="1" t="s">
        <v>451</v>
      </c>
      <c r="E533">
        <v>2</v>
      </c>
      <c r="F533" s="4">
        <v>1968.69</v>
      </c>
      <c r="G533" s="3">
        <v>0.1</v>
      </c>
      <c r="H533" s="4">
        <v>574.01</v>
      </c>
      <c r="I533" t="str">
        <f>VLOOKUP(orders__17[[#This Row],[Customer_ID]],customers__2[#All],3,0)</f>
        <v>West</v>
      </c>
      <c r="J533" t="str">
        <f>VLOOKUP(orders__17[[#This Row],[Customer_ID]],customers__2[#All],4,0)</f>
        <v>Corporate</v>
      </c>
      <c r="K533" t="str">
        <f>VLOOKUP(orders__17[[#This Row],[Product_ID]],products[#All],3,0)</f>
        <v>Technology</v>
      </c>
      <c r="L533" s="1" t="str">
        <f>VLOOKUP(orders__17[[#This Row],[Product_ID]],products[#All],4,0)</f>
        <v>Laptop</v>
      </c>
      <c r="M533" s="1" t="str">
        <f>VLOOKUP(orders__17[[#This Row],[Order_ID]],returns[#All],2,0)</f>
        <v>No</v>
      </c>
    </row>
    <row r="534" spans="1:13" x14ac:dyDescent="0.3">
      <c r="A534" s="1" t="s">
        <v>826</v>
      </c>
      <c r="B534" s="2">
        <v>45454</v>
      </c>
      <c r="C534" s="1" t="s">
        <v>282</v>
      </c>
      <c r="D534" s="1" t="s">
        <v>122</v>
      </c>
      <c r="E534">
        <v>2</v>
      </c>
      <c r="F534" s="4">
        <v>367.35</v>
      </c>
      <c r="G534" s="3">
        <v>0.1</v>
      </c>
      <c r="H534" s="4">
        <v>107.46</v>
      </c>
      <c r="I534" t="str">
        <f>VLOOKUP(orders__17[[#This Row],[Customer_ID]],customers__2[#All],3,0)</f>
        <v>South</v>
      </c>
      <c r="J534" t="str">
        <f>VLOOKUP(orders__17[[#This Row],[Customer_ID]],customers__2[#All],4,0)</f>
        <v>Home Office</v>
      </c>
      <c r="K534" t="str">
        <f>VLOOKUP(orders__17[[#This Row],[Product_ID]],products[#All],3,0)</f>
        <v>Office Supplies</v>
      </c>
      <c r="L534" s="1" t="str">
        <f>VLOOKUP(orders__17[[#This Row],[Product_ID]],products[#All],4,0)</f>
        <v>Storage</v>
      </c>
      <c r="M534" s="1" t="str">
        <f>VLOOKUP(orders__17[[#This Row],[Order_ID]],returns[#All],2,0)</f>
        <v>No</v>
      </c>
    </row>
    <row r="535" spans="1:13" x14ac:dyDescent="0.3">
      <c r="A535" s="1" t="s">
        <v>827</v>
      </c>
      <c r="B535" s="2">
        <v>44663</v>
      </c>
      <c r="C535" s="1" t="s">
        <v>520</v>
      </c>
      <c r="D535" s="1" t="s">
        <v>296</v>
      </c>
      <c r="E535">
        <v>5</v>
      </c>
      <c r="F535" s="4">
        <v>483.83</v>
      </c>
      <c r="G535" s="3">
        <v>0.2</v>
      </c>
      <c r="H535" s="4">
        <v>128.83000000000001</v>
      </c>
      <c r="I535" t="str">
        <f>VLOOKUP(orders__17[[#This Row],[Customer_ID]],customers__2[#All],3,0)</f>
        <v>West</v>
      </c>
      <c r="J535" t="str">
        <f>VLOOKUP(orders__17[[#This Row],[Customer_ID]],customers__2[#All],4,0)</f>
        <v>Consumer</v>
      </c>
      <c r="K535" t="str">
        <f>VLOOKUP(orders__17[[#This Row],[Product_ID]],products[#All],3,0)</f>
        <v>Technology</v>
      </c>
      <c r="L535" s="1" t="str">
        <f>VLOOKUP(orders__17[[#This Row],[Product_ID]],products[#All],4,0)</f>
        <v>Accessories</v>
      </c>
      <c r="M535" s="1" t="str">
        <f>VLOOKUP(orders__17[[#This Row],[Order_ID]],returns[#All],2,0)</f>
        <v>No</v>
      </c>
    </row>
    <row r="536" spans="1:13" x14ac:dyDescent="0.3">
      <c r="A536" s="1" t="s">
        <v>828</v>
      </c>
      <c r="B536" s="2">
        <v>44782</v>
      </c>
      <c r="C536" s="1" t="s">
        <v>444</v>
      </c>
      <c r="D536" s="1" t="s">
        <v>75</v>
      </c>
      <c r="E536">
        <v>3</v>
      </c>
      <c r="F536" s="4">
        <v>450.03</v>
      </c>
      <c r="G536" s="3">
        <v>0.3</v>
      </c>
      <c r="H536" s="4">
        <v>90.1</v>
      </c>
      <c r="I536" t="str">
        <f>VLOOKUP(orders__17[[#This Row],[Customer_ID]],customers__2[#All],3,0)</f>
        <v>North</v>
      </c>
      <c r="J536" t="str">
        <f>VLOOKUP(orders__17[[#This Row],[Customer_ID]],customers__2[#All],4,0)</f>
        <v>Corporate</v>
      </c>
      <c r="K536" t="str">
        <f>VLOOKUP(orders__17[[#This Row],[Product_ID]],products[#All],3,0)</f>
        <v>Technology</v>
      </c>
      <c r="L536" s="1" t="str">
        <f>VLOOKUP(orders__17[[#This Row],[Product_ID]],products[#All],4,0)</f>
        <v>Tablet</v>
      </c>
      <c r="M536" s="1" t="str">
        <f>VLOOKUP(orders__17[[#This Row],[Order_ID]],returns[#All],2,0)</f>
        <v>No</v>
      </c>
    </row>
    <row r="537" spans="1:13" x14ac:dyDescent="0.3">
      <c r="A537" s="1" t="s">
        <v>829</v>
      </c>
      <c r="B537" s="2">
        <v>44911</v>
      </c>
      <c r="C537" s="1" t="s">
        <v>489</v>
      </c>
      <c r="D537" s="1" t="s">
        <v>258</v>
      </c>
      <c r="E537">
        <v>5</v>
      </c>
      <c r="F537" s="4">
        <v>1798.58</v>
      </c>
      <c r="G537" s="3">
        <v>0.1</v>
      </c>
      <c r="H537" s="4">
        <v>405.07</v>
      </c>
      <c r="I537" t="str">
        <f>VLOOKUP(orders__17[[#This Row],[Customer_ID]],customers__2[#All],3,0)</f>
        <v>North</v>
      </c>
      <c r="J537" t="str">
        <f>VLOOKUP(orders__17[[#This Row],[Customer_ID]],customers__2[#All],4,0)</f>
        <v>Home Office</v>
      </c>
      <c r="K537" t="str">
        <f>VLOOKUP(orders__17[[#This Row],[Product_ID]],products[#All],3,0)</f>
        <v>Technology</v>
      </c>
      <c r="L537" s="1" t="str">
        <f>VLOOKUP(orders__17[[#This Row],[Product_ID]],products[#All],4,0)</f>
        <v>Phone</v>
      </c>
      <c r="M537" s="1" t="str">
        <f>VLOOKUP(orders__17[[#This Row],[Order_ID]],returns[#All],2,0)</f>
        <v>Yes</v>
      </c>
    </row>
    <row r="538" spans="1:13" x14ac:dyDescent="0.3">
      <c r="A538" s="1" t="s">
        <v>830</v>
      </c>
      <c r="B538" s="2">
        <v>45136</v>
      </c>
      <c r="C538" s="1" t="s">
        <v>444</v>
      </c>
      <c r="D538" s="1" t="s">
        <v>37</v>
      </c>
      <c r="E538">
        <v>3</v>
      </c>
      <c r="F538" s="4">
        <v>1343.16</v>
      </c>
      <c r="G538" s="3">
        <v>0.1</v>
      </c>
      <c r="H538" s="4">
        <v>162.93</v>
      </c>
      <c r="I538" t="str">
        <f>VLOOKUP(orders__17[[#This Row],[Customer_ID]],customers__2[#All],3,0)</f>
        <v>North</v>
      </c>
      <c r="J538" t="str">
        <f>VLOOKUP(orders__17[[#This Row],[Customer_ID]],customers__2[#All],4,0)</f>
        <v>Corporate</v>
      </c>
      <c r="K538" t="str">
        <f>VLOOKUP(orders__17[[#This Row],[Product_ID]],products[#All],3,0)</f>
        <v>Furniture</v>
      </c>
      <c r="L538" s="1" t="str">
        <f>VLOOKUP(orders__17[[#This Row],[Product_ID]],products[#All],4,0)</f>
        <v>Desk</v>
      </c>
      <c r="M538" s="1" t="str">
        <f>VLOOKUP(orders__17[[#This Row],[Order_ID]],returns[#All],2,0)</f>
        <v>No</v>
      </c>
    </row>
    <row r="539" spans="1:13" x14ac:dyDescent="0.3">
      <c r="A539" s="1" t="s">
        <v>831</v>
      </c>
      <c r="B539" s="2">
        <v>44868</v>
      </c>
      <c r="C539" s="1" t="s">
        <v>396</v>
      </c>
      <c r="D539" s="1" t="s">
        <v>161</v>
      </c>
      <c r="E539">
        <v>3</v>
      </c>
      <c r="F539" s="4">
        <v>389</v>
      </c>
      <c r="G539" s="3">
        <v>0.3</v>
      </c>
      <c r="H539" s="4">
        <v>80.790000000000006</v>
      </c>
      <c r="I539" t="str">
        <f>VLOOKUP(orders__17[[#This Row],[Customer_ID]],customers__2[#All],3,0)</f>
        <v>West</v>
      </c>
      <c r="J539" t="str">
        <f>VLOOKUP(orders__17[[#This Row],[Customer_ID]],customers__2[#All],4,0)</f>
        <v>Home Office</v>
      </c>
      <c r="K539" t="str">
        <f>VLOOKUP(orders__17[[#This Row],[Product_ID]],products[#All],3,0)</f>
        <v>Office Supplies</v>
      </c>
      <c r="L539" s="1" t="str">
        <f>VLOOKUP(orders__17[[#This Row],[Product_ID]],products[#All],4,0)</f>
        <v>Binder</v>
      </c>
      <c r="M539" s="1" t="str">
        <f>VLOOKUP(orders__17[[#This Row],[Order_ID]],returns[#All],2,0)</f>
        <v>No</v>
      </c>
    </row>
    <row r="540" spans="1:13" x14ac:dyDescent="0.3">
      <c r="A540" s="1" t="s">
        <v>832</v>
      </c>
      <c r="B540" s="2">
        <v>44790</v>
      </c>
      <c r="C540" s="1" t="s">
        <v>113</v>
      </c>
      <c r="D540" s="1" t="s">
        <v>16</v>
      </c>
      <c r="E540">
        <v>2</v>
      </c>
      <c r="F540" s="4">
        <v>936.61</v>
      </c>
      <c r="G540" s="3">
        <v>0</v>
      </c>
      <c r="H540" s="4">
        <v>153.52000000000001</v>
      </c>
      <c r="I540" t="str">
        <f>VLOOKUP(orders__17[[#This Row],[Customer_ID]],customers__2[#All],3,0)</f>
        <v>West</v>
      </c>
      <c r="J540" t="str">
        <f>VLOOKUP(orders__17[[#This Row],[Customer_ID]],customers__2[#All],4,0)</f>
        <v>Consumer</v>
      </c>
      <c r="K540" t="str">
        <f>VLOOKUP(orders__17[[#This Row],[Product_ID]],products[#All],3,0)</f>
        <v>Technology</v>
      </c>
      <c r="L540" s="1" t="str">
        <f>VLOOKUP(orders__17[[#This Row],[Product_ID]],products[#All],4,0)</f>
        <v>Laptop</v>
      </c>
      <c r="M540" s="1" t="str">
        <f>VLOOKUP(orders__17[[#This Row],[Order_ID]],returns[#All],2,0)</f>
        <v>No</v>
      </c>
    </row>
    <row r="541" spans="1:13" x14ac:dyDescent="0.3">
      <c r="A541" s="1" t="s">
        <v>833</v>
      </c>
      <c r="B541" s="2">
        <v>44722</v>
      </c>
      <c r="C541" s="1" t="s">
        <v>834</v>
      </c>
      <c r="D541" s="1" t="s">
        <v>40</v>
      </c>
      <c r="E541">
        <v>4</v>
      </c>
      <c r="F541" s="4">
        <v>1269.07</v>
      </c>
      <c r="G541" s="3">
        <v>0</v>
      </c>
      <c r="H541" s="4">
        <v>216.38</v>
      </c>
      <c r="I541" t="str">
        <f>VLOOKUP(orders__17[[#This Row],[Customer_ID]],customers__2[#All],3,0)</f>
        <v>South</v>
      </c>
      <c r="J541" t="str">
        <f>VLOOKUP(orders__17[[#This Row],[Customer_ID]],customers__2[#All],4,0)</f>
        <v>Consumer</v>
      </c>
      <c r="K541" t="str">
        <f>VLOOKUP(orders__17[[#This Row],[Product_ID]],products[#All],3,0)</f>
        <v>Office Supplies</v>
      </c>
      <c r="L541" s="1" t="str">
        <f>VLOOKUP(orders__17[[#This Row],[Product_ID]],products[#All],4,0)</f>
        <v>Storage</v>
      </c>
      <c r="M541" s="1" t="str">
        <f>VLOOKUP(orders__17[[#This Row],[Order_ID]],returns[#All],2,0)</f>
        <v>Yes</v>
      </c>
    </row>
    <row r="542" spans="1:13" x14ac:dyDescent="0.3">
      <c r="A542" s="1" t="s">
        <v>835</v>
      </c>
      <c r="B542" s="2">
        <v>44870</v>
      </c>
      <c r="C542" s="1" t="s">
        <v>200</v>
      </c>
      <c r="D542" s="1" t="s">
        <v>314</v>
      </c>
      <c r="E542">
        <v>1</v>
      </c>
      <c r="F542" s="4">
        <v>258.58</v>
      </c>
      <c r="G542" s="3">
        <v>0.1</v>
      </c>
      <c r="H542" s="4">
        <v>61.92</v>
      </c>
      <c r="I542" t="str">
        <f>VLOOKUP(orders__17[[#This Row],[Customer_ID]],customers__2[#All],3,0)</f>
        <v>East</v>
      </c>
      <c r="J542" t="str">
        <f>VLOOKUP(orders__17[[#This Row],[Customer_ID]],customers__2[#All],4,0)</f>
        <v>Consumer</v>
      </c>
      <c r="K542" t="str">
        <f>VLOOKUP(orders__17[[#This Row],[Product_ID]],products[#All],3,0)</f>
        <v>Office Supplies</v>
      </c>
      <c r="L542" s="1" t="str">
        <f>VLOOKUP(orders__17[[#This Row],[Product_ID]],products[#All],4,0)</f>
        <v>Paper</v>
      </c>
      <c r="M542" s="1" t="str">
        <f>VLOOKUP(orders__17[[#This Row],[Order_ID]],returns[#All],2,0)</f>
        <v>No</v>
      </c>
    </row>
    <row r="543" spans="1:13" x14ac:dyDescent="0.3">
      <c r="A543" s="1" t="s">
        <v>836</v>
      </c>
      <c r="B543" s="2">
        <v>45317</v>
      </c>
      <c r="C543" s="1" t="s">
        <v>160</v>
      </c>
      <c r="D543" s="1" t="s">
        <v>170</v>
      </c>
      <c r="E543">
        <v>2</v>
      </c>
      <c r="F543" s="4">
        <v>1776.59</v>
      </c>
      <c r="G543" s="3">
        <v>0.1</v>
      </c>
      <c r="H543" s="4">
        <v>214.04</v>
      </c>
      <c r="I543" t="str">
        <f>VLOOKUP(orders__17[[#This Row],[Customer_ID]],customers__2[#All],3,0)</f>
        <v>East</v>
      </c>
      <c r="J543" t="str">
        <f>VLOOKUP(orders__17[[#This Row],[Customer_ID]],customers__2[#All],4,0)</f>
        <v>Corporate</v>
      </c>
      <c r="K543" t="str">
        <f>VLOOKUP(orders__17[[#This Row],[Product_ID]],products[#All],3,0)</f>
        <v>Furniture</v>
      </c>
      <c r="L543" s="1" t="str">
        <f>VLOOKUP(orders__17[[#This Row],[Product_ID]],products[#All],4,0)</f>
        <v>Shelf</v>
      </c>
      <c r="M543" s="1" t="str">
        <f>VLOOKUP(orders__17[[#This Row],[Order_ID]],returns[#All],2,0)</f>
        <v>No</v>
      </c>
    </row>
    <row r="544" spans="1:13" x14ac:dyDescent="0.3">
      <c r="A544" s="1" t="s">
        <v>837</v>
      </c>
      <c r="B544" s="2">
        <v>45451</v>
      </c>
      <c r="C544" s="1" t="s">
        <v>165</v>
      </c>
      <c r="D544" s="1" t="s">
        <v>239</v>
      </c>
      <c r="E544">
        <v>2</v>
      </c>
      <c r="F544" s="4">
        <v>1626.85</v>
      </c>
      <c r="G544" s="3">
        <v>0</v>
      </c>
      <c r="H544" s="4">
        <v>210.69</v>
      </c>
      <c r="I544" t="str">
        <f>VLOOKUP(orders__17[[#This Row],[Customer_ID]],customers__2[#All],3,0)</f>
        <v>West</v>
      </c>
      <c r="J544" t="str">
        <f>VLOOKUP(orders__17[[#This Row],[Customer_ID]],customers__2[#All],4,0)</f>
        <v>Corporate</v>
      </c>
      <c r="K544" t="str">
        <f>VLOOKUP(orders__17[[#This Row],[Product_ID]],products[#All],3,0)</f>
        <v>Furniture</v>
      </c>
      <c r="L544" s="1" t="str">
        <f>VLOOKUP(orders__17[[#This Row],[Product_ID]],products[#All],4,0)</f>
        <v>Shelf</v>
      </c>
      <c r="M544" s="1" t="str">
        <f>VLOOKUP(orders__17[[#This Row],[Order_ID]],returns[#All],2,0)</f>
        <v>No</v>
      </c>
    </row>
    <row r="545" spans="1:13" x14ac:dyDescent="0.3">
      <c r="A545" s="1" t="s">
        <v>838</v>
      </c>
      <c r="B545" s="2">
        <v>45140</v>
      </c>
      <c r="C545" s="1" t="s">
        <v>179</v>
      </c>
      <c r="D545" s="1" t="s">
        <v>143</v>
      </c>
      <c r="E545">
        <v>4</v>
      </c>
      <c r="F545" s="4">
        <v>1059.8900000000001</v>
      </c>
      <c r="G545" s="3">
        <v>0.2</v>
      </c>
      <c r="H545" s="4">
        <v>298</v>
      </c>
      <c r="I545" t="str">
        <f>VLOOKUP(orders__17[[#This Row],[Customer_ID]],customers__2[#All],3,0)</f>
        <v>North</v>
      </c>
      <c r="J545" t="str">
        <f>VLOOKUP(orders__17[[#This Row],[Customer_ID]],customers__2[#All],4,0)</f>
        <v>Consumer</v>
      </c>
      <c r="K545" t="str">
        <f>VLOOKUP(orders__17[[#This Row],[Product_ID]],products[#All],3,0)</f>
        <v>Furniture</v>
      </c>
      <c r="L545" s="1" t="str">
        <f>VLOOKUP(orders__17[[#This Row],[Product_ID]],products[#All],4,0)</f>
        <v>Shelf</v>
      </c>
      <c r="M545" s="1" t="str">
        <f>VLOOKUP(orders__17[[#This Row],[Order_ID]],returns[#All],2,0)</f>
        <v>Yes</v>
      </c>
    </row>
    <row r="546" spans="1:13" x14ac:dyDescent="0.3">
      <c r="A546" s="1" t="s">
        <v>839</v>
      </c>
      <c r="B546" s="2">
        <v>44657</v>
      </c>
      <c r="C546" s="1" t="s">
        <v>124</v>
      </c>
      <c r="D546" s="1" t="s">
        <v>218</v>
      </c>
      <c r="E546">
        <v>1</v>
      </c>
      <c r="F546" s="4">
        <v>1937.54</v>
      </c>
      <c r="G546" s="3">
        <v>0.3</v>
      </c>
      <c r="H546" s="4">
        <v>124.11</v>
      </c>
      <c r="I546" t="str">
        <f>VLOOKUP(orders__17[[#This Row],[Customer_ID]],customers__2[#All],3,0)</f>
        <v>North</v>
      </c>
      <c r="J546" t="str">
        <f>VLOOKUP(orders__17[[#This Row],[Customer_ID]],customers__2[#All],4,0)</f>
        <v>Consumer</v>
      </c>
      <c r="K546" t="str">
        <f>VLOOKUP(orders__17[[#This Row],[Product_ID]],products[#All],3,0)</f>
        <v>Office Supplies</v>
      </c>
      <c r="L546" s="1" t="str">
        <f>VLOOKUP(orders__17[[#This Row],[Product_ID]],products[#All],4,0)</f>
        <v>Storage</v>
      </c>
      <c r="M546" s="1" t="str">
        <f>VLOOKUP(orders__17[[#This Row],[Order_ID]],returns[#All],2,0)</f>
        <v>No</v>
      </c>
    </row>
    <row r="547" spans="1:13" x14ac:dyDescent="0.3">
      <c r="A547" s="1" t="s">
        <v>840</v>
      </c>
      <c r="B547" s="2">
        <v>44972</v>
      </c>
      <c r="C547" s="1" t="s">
        <v>268</v>
      </c>
      <c r="D547" s="1" t="s">
        <v>679</v>
      </c>
      <c r="E547">
        <v>5</v>
      </c>
      <c r="F547" s="4">
        <v>893.75</v>
      </c>
      <c r="G547" s="3">
        <v>0.3</v>
      </c>
      <c r="H547" s="4">
        <v>153.19999999999999</v>
      </c>
      <c r="I547" t="str">
        <f>VLOOKUP(orders__17[[#This Row],[Customer_ID]],customers__2[#All],3,0)</f>
        <v>East</v>
      </c>
      <c r="J547" t="str">
        <f>VLOOKUP(orders__17[[#This Row],[Customer_ID]],customers__2[#All],4,0)</f>
        <v>Consumer</v>
      </c>
      <c r="K547" t="str">
        <f>VLOOKUP(orders__17[[#This Row],[Product_ID]],products[#All],3,0)</f>
        <v>Office Supplies</v>
      </c>
      <c r="L547" s="1" t="str">
        <f>VLOOKUP(orders__17[[#This Row],[Product_ID]],products[#All],4,0)</f>
        <v>Paper</v>
      </c>
      <c r="M547" s="1" t="str">
        <f>VLOOKUP(orders__17[[#This Row],[Order_ID]],returns[#All],2,0)</f>
        <v>No</v>
      </c>
    </row>
    <row r="548" spans="1:13" x14ac:dyDescent="0.3">
      <c r="A548" s="1" t="s">
        <v>841</v>
      </c>
      <c r="B548" s="2">
        <v>45155</v>
      </c>
      <c r="C548" s="1" t="s">
        <v>468</v>
      </c>
      <c r="D548" s="1" t="s">
        <v>314</v>
      </c>
      <c r="E548">
        <v>5</v>
      </c>
      <c r="F548" s="4">
        <v>1969.81</v>
      </c>
      <c r="G548" s="3">
        <v>0.2</v>
      </c>
      <c r="H548" s="4">
        <v>548</v>
      </c>
      <c r="I548" t="str">
        <f>VLOOKUP(orders__17[[#This Row],[Customer_ID]],customers__2[#All],3,0)</f>
        <v>South</v>
      </c>
      <c r="J548" t="str">
        <f>VLOOKUP(orders__17[[#This Row],[Customer_ID]],customers__2[#All],4,0)</f>
        <v>Consumer</v>
      </c>
      <c r="K548" t="str">
        <f>VLOOKUP(orders__17[[#This Row],[Product_ID]],products[#All],3,0)</f>
        <v>Office Supplies</v>
      </c>
      <c r="L548" s="1" t="str">
        <f>VLOOKUP(orders__17[[#This Row],[Product_ID]],products[#All],4,0)</f>
        <v>Paper</v>
      </c>
      <c r="M548" s="1" t="str">
        <f>VLOOKUP(orders__17[[#This Row],[Order_ID]],returns[#All],2,0)</f>
        <v>No</v>
      </c>
    </row>
    <row r="549" spans="1:13" x14ac:dyDescent="0.3">
      <c r="A549" s="1" t="s">
        <v>842</v>
      </c>
      <c r="B549" s="2">
        <v>45132</v>
      </c>
      <c r="C549" s="1" t="s">
        <v>843</v>
      </c>
      <c r="D549" s="1" t="s">
        <v>249</v>
      </c>
      <c r="E549">
        <v>2</v>
      </c>
      <c r="F549" s="4">
        <v>1369.05</v>
      </c>
      <c r="G549" s="3">
        <v>0.2</v>
      </c>
      <c r="H549" s="4">
        <v>277.36</v>
      </c>
      <c r="I549" t="str">
        <f>VLOOKUP(orders__17[[#This Row],[Customer_ID]],customers__2[#All],3,0)</f>
        <v>North</v>
      </c>
      <c r="J549" t="str">
        <f>VLOOKUP(orders__17[[#This Row],[Customer_ID]],customers__2[#All],4,0)</f>
        <v>Consumer</v>
      </c>
      <c r="K549" t="str">
        <f>VLOOKUP(orders__17[[#This Row],[Product_ID]],products[#All],3,0)</f>
        <v>Office Supplies</v>
      </c>
      <c r="L549" s="1" t="str">
        <f>VLOOKUP(orders__17[[#This Row],[Product_ID]],products[#All],4,0)</f>
        <v>Paper</v>
      </c>
      <c r="M549" s="1" t="str">
        <f>VLOOKUP(orders__17[[#This Row],[Order_ID]],returns[#All],2,0)</f>
        <v>No</v>
      </c>
    </row>
    <row r="550" spans="1:13" x14ac:dyDescent="0.3">
      <c r="A550" s="1" t="s">
        <v>844</v>
      </c>
      <c r="B550" s="2">
        <v>44658</v>
      </c>
      <c r="C550" s="1" t="s">
        <v>487</v>
      </c>
      <c r="D550" s="1" t="s">
        <v>25</v>
      </c>
      <c r="E550">
        <v>1</v>
      </c>
      <c r="F550" s="4">
        <v>1305.8800000000001</v>
      </c>
      <c r="G550" s="3">
        <v>0.2</v>
      </c>
      <c r="H550" s="4">
        <v>243.68</v>
      </c>
      <c r="I550" t="str">
        <f>VLOOKUP(orders__17[[#This Row],[Customer_ID]],customers__2[#All],3,0)</f>
        <v>North</v>
      </c>
      <c r="J550" t="str">
        <f>VLOOKUP(orders__17[[#This Row],[Customer_ID]],customers__2[#All],4,0)</f>
        <v>Home Office</v>
      </c>
      <c r="K550" t="str">
        <f>VLOOKUP(orders__17[[#This Row],[Product_ID]],products[#All],3,0)</f>
        <v>Office Supplies</v>
      </c>
      <c r="L550" s="1" t="str">
        <f>VLOOKUP(orders__17[[#This Row],[Product_ID]],products[#All],4,0)</f>
        <v>Paper</v>
      </c>
      <c r="M550" s="1" t="str">
        <f>VLOOKUP(orders__17[[#This Row],[Order_ID]],returns[#All],2,0)</f>
        <v>Yes</v>
      </c>
    </row>
    <row r="551" spans="1:13" x14ac:dyDescent="0.3">
      <c r="A551" s="1" t="s">
        <v>845</v>
      </c>
      <c r="B551" s="2">
        <v>44679</v>
      </c>
      <c r="C551" s="1" t="s">
        <v>524</v>
      </c>
      <c r="D551" s="1" t="s">
        <v>130</v>
      </c>
      <c r="E551">
        <v>2</v>
      </c>
      <c r="F551" s="4">
        <v>415.31</v>
      </c>
      <c r="G551" s="3">
        <v>0.2</v>
      </c>
      <c r="H551" s="4">
        <v>46.7</v>
      </c>
      <c r="I551" t="str">
        <f>VLOOKUP(orders__17[[#This Row],[Customer_ID]],customers__2[#All],3,0)</f>
        <v>East</v>
      </c>
      <c r="J551" t="str">
        <f>VLOOKUP(orders__17[[#This Row],[Customer_ID]],customers__2[#All],4,0)</f>
        <v>Corporate</v>
      </c>
      <c r="K551" t="str">
        <f>VLOOKUP(orders__17[[#This Row],[Product_ID]],products[#All],3,0)</f>
        <v>Furniture</v>
      </c>
      <c r="L551" s="1" t="str">
        <f>VLOOKUP(orders__17[[#This Row],[Product_ID]],products[#All],4,0)</f>
        <v>Desk</v>
      </c>
      <c r="M551" s="1" t="str">
        <f>VLOOKUP(orders__17[[#This Row],[Order_ID]],returns[#All],2,0)</f>
        <v>No</v>
      </c>
    </row>
    <row r="552" spans="1:13" x14ac:dyDescent="0.3">
      <c r="A552" s="1" t="s">
        <v>846</v>
      </c>
      <c r="B552" s="2">
        <v>44886</v>
      </c>
      <c r="C552" s="1" t="s">
        <v>77</v>
      </c>
      <c r="D552" s="1" t="s">
        <v>100</v>
      </c>
      <c r="E552">
        <v>3</v>
      </c>
      <c r="F552" s="4">
        <v>1775.66</v>
      </c>
      <c r="G552" s="3">
        <v>0.2</v>
      </c>
      <c r="H552" s="4">
        <v>241.17</v>
      </c>
      <c r="I552" t="str">
        <f>VLOOKUP(orders__17[[#This Row],[Customer_ID]],customers__2[#All],3,0)</f>
        <v>West</v>
      </c>
      <c r="J552" t="str">
        <f>VLOOKUP(orders__17[[#This Row],[Customer_ID]],customers__2[#All],4,0)</f>
        <v>Consumer</v>
      </c>
      <c r="K552" t="str">
        <f>VLOOKUP(orders__17[[#This Row],[Product_ID]],products[#All],3,0)</f>
        <v>Technology</v>
      </c>
      <c r="L552" s="1" t="str">
        <f>VLOOKUP(orders__17[[#This Row],[Product_ID]],products[#All],4,0)</f>
        <v>Laptop</v>
      </c>
      <c r="M552" s="1" t="str">
        <f>VLOOKUP(orders__17[[#This Row],[Order_ID]],returns[#All],2,0)</f>
        <v>No</v>
      </c>
    </row>
    <row r="553" spans="1:13" x14ac:dyDescent="0.3">
      <c r="A553" s="1" t="s">
        <v>847</v>
      </c>
      <c r="B553" s="2">
        <v>44673</v>
      </c>
      <c r="C553" s="1" t="s">
        <v>380</v>
      </c>
      <c r="D553" s="1" t="s">
        <v>109</v>
      </c>
      <c r="E553">
        <v>2</v>
      </c>
      <c r="F553" s="4">
        <v>912.23</v>
      </c>
      <c r="G553" s="3">
        <v>0.2</v>
      </c>
      <c r="H553" s="4">
        <v>239.93</v>
      </c>
      <c r="I553" t="str">
        <f>VLOOKUP(orders__17[[#This Row],[Customer_ID]],customers__2[#All],3,0)</f>
        <v>South</v>
      </c>
      <c r="J553" t="str">
        <f>VLOOKUP(orders__17[[#This Row],[Customer_ID]],customers__2[#All],4,0)</f>
        <v>Home Office</v>
      </c>
      <c r="K553" t="str">
        <f>VLOOKUP(orders__17[[#This Row],[Product_ID]],products[#All],3,0)</f>
        <v>Furniture</v>
      </c>
      <c r="L553" s="1" t="str">
        <f>VLOOKUP(orders__17[[#This Row],[Product_ID]],products[#All],4,0)</f>
        <v>Chair</v>
      </c>
      <c r="M553" s="1" t="str">
        <f>VLOOKUP(orders__17[[#This Row],[Order_ID]],returns[#All],2,0)</f>
        <v>No</v>
      </c>
    </row>
    <row r="554" spans="1:13" x14ac:dyDescent="0.3">
      <c r="A554" s="1" t="s">
        <v>848</v>
      </c>
      <c r="B554" s="2">
        <v>45251</v>
      </c>
      <c r="C554" s="1" t="s">
        <v>138</v>
      </c>
      <c r="D554" s="1" t="s">
        <v>59</v>
      </c>
      <c r="E554">
        <v>2</v>
      </c>
      <c r="F554" s="4">
        <v>408.24</v>
      </c>
      <c r="G554" s="3">
        <v>0.3</v>
      </c>
      <c r="H554" s="4">
        <v>77.489999999999995</v>
      </c>
      <c r="I554" t="str">
        <f>VLOOKUP(orders__17[[#This Row],[Customer_ID]],customers__2[#All],3,0)</f>
        <v>West</v>
      </c>
      <c r="J554" t="str">
        <f>VLOOKUP(orders__17[[#This Row],[Customer_ID]],customers__2[#All],4,0)</f>
        <v>Consumer</v>
      </c>
      <c r="K554" t="str">
        <f>VLOOKUP(orders__17[[#This Row],[Product_ID]],products[#All],3,0)</f>
        <v>Office Supplies</v>
      </c>
      <c r="L554" s="1" t="str">
        <f>VLOOKUP(orders__17[[#This Row],[Product_ID]],products[#All],4,0)</f>
        <v>Paper</v>
      </c>
      <c r="M554" s="1" t="str">
        <f>VLOOKUP(orders__17[[#This Row],[Order_ID]],returns[#All],2,0)</f>
        <v>No</v>
      </c>
    </row>
    <row r="555" spans="1:13" x14ac:dyDescent="0.3">
      <c r="A555" s="1" t="s">
        <v>849</v>
      </c>
      <c r="B555" s="2">
        <v>44731</v>
      </c>
      <c r="C555" s="1" t="s">
        <v>533</v>
      </c>
      <c r="D555" s="1" t="s">
        <v>323</v>
      </c>
      <c r="E555">
        <v>5</v>
      </c>
      <c r="F555" s="4">
        <v>123.95</v>
      </c>
      <c r="G555" s="3">
        <v>0.2</v>
      </c>
      <c r="H555" s="4">
        <v>22.15</v>
      </c>
      <c r="I555" t="str">
        <f>VLOOKUP(orders__17[[#This Row],[Customer_ID]],customers__2[#All],3,0)</f>
        <v>West</v>
      </c>
      <c r="J555" t="str">
        <f>VLOOKUP(orders__17[[#This Row],[Customer_ID]],customers__2[#All],4,0)</f>
        <v>Consumer</v>
      </c>
      <c r="K555" t="str">
        <f>VLOOKUP(orders__17[[#This Row],[Product_ID]],products[#All],3,0)</f>
        <v>Technology</v>
      </c>
      <c r="L555" s="1" t="str">
        <f>VLOOKUP(orders__17[[#This Row],[Product_ID]],products[#All],4,0)</f>
        <v>Tablet</v>
      </c>
      <c r="M555" s="1" t="str">
        <f>VLOOKUP(orders__17[[#This Row],[Order_ID]],returns[#All],2,0)</f>
        <v>No</v>
      </c>
    </row>
    <row r="556" spans="1:13" x14ac:dyDescent="0.3">
      <c r="A556" s="1" t="s">
        <v>850</v>
      </c>
      <c r="B556" s="2">
        <v>45366</v>
      </c>
      <c r="C556" s="1" t="s">
        <v>505</v>
      </c>
      <c r="D556" s="1" t="s">
        <v>397</v>
      </c>
      <c r="E556">
        <v>5</v>
      </c>
      <c r="F556" s="4">
        <v>1163.54</v>
      </c>
      <c r="G556" s="3">
        <v>0</v>
      </c>
      <c r="H556" s="4">
        <v>87.14</v>
      </c>
      <c r="I556" t="str">
        <f>VLOOKUP(orders__17[[#This Row],[Customer_ID]],customers__2[#All],3,0)</f>
        <v>North</v>
      </c>
      <c r="J556" t="str">
        <f>VLOOKUP(orders__17[[#This Row],[Customer_ID]],customers__2[#All],4,0)</f>
        <v>Consumer</v>
      </c>
      <c r="K556" t="str">
        <f>VLOOKUP(orders__17[[#This Row],[Product_ID]],products[#All],3,0)</f>
        <v>Office Supplies</v>
      </c>
      <c r="L556" s="1" t="str">
        <f>VLOOKUP(orders__17[[#This Row],[Product_ID]],products[#All],4,0)</f>
        <v>Pen</v>
      </c>
      <c r="M556" s="1" t="str">
        <f>VLOOKUP(orders__17[[#This Row],[Order_ID]],returns[#All],2,0)</f>
        <v>No</v>
      </c>
    </row>
    <row r="557" spans="1:13" x14ac:dyDescent="0.3">
      <c r="A557" s="1" t="s">
        <v>851</v>
      </c>
      <c r="B557" s="2">
        <v>44913</v>
      </c>
      <c r="C557" s="1" t="s">
        <v>537</v>
      </c>
      <c r="D557" s="1" t="s">
        <v>143</v>
      </c>
      <c r="E557">
        <v>5</v>
      </c>
      <c r="F557" s="4">
        <v>1102.06</v>
      </c>
      <c r="G557" s="3">
        <v>0.2</v>
      </c>
      <c r="H557" s="4">
        <v>59.52</v>
      </c>
      <c r="I557" t="str">
        <f>VLOOKUP(orders__17[[#This Row],[Customer_ID]],customers__2[#All],3,0)</f>
        <v>West</v>
      </c>
      <c r="J557" t="str">
        <f>VLOOKUP(orders__17[[#This Row],[Customer_ID]],customers__2[#All],4,0)</f>
        <v>Consumer</v>
      </c>
      <c r="K557" t="str">
        <f>VLOOKUP(orders__17[[#This Row],[Product_ID]],products[#All],3,0)</f>
        <v>Furniture</v>
      </c>
      <c r="L557" s="1" t="str">
        <f>VLOOKUP(orders__17[[#This Row],[Product_ID]],products[#All],4,0)</f>
        <v>Shelf</v>
      </c>
      <c r="M557" s="1" t="str">
        <f>VLOOKUP(orders__17[[#This Row],[Order_ID]],returns[#All],2,0)</f>
        <v>Yes</v>
      </c>
    </row>
    <row r="558" spans="1:13" x14ac:dyDescent="0.3">
      <c r="A558" s="1" t="s">
        <v>852</v>
      </c>
      <c r="B558" s="2">
        <v>44976</v>
      </c>
      <c r="C558" s="1" t="s">
        <v>473</v>
      </c>
      <c r="D558" s="1" t="s">
        <v>86</v>
      </c>
      <c r="E558">
        <v>3</v>
      </c>
      <c r="F558" s="4">
        <v>1466.77</v>
      </c>
      <c r="G558" s="3">
        <v>0.2</v>
      </c>
      <c r="H558" s="4">
        <v>426.71</v>
      </c>
      <c r="I558" t="str">
        <f>VLOOKUP(orders__17[[#This Row],[Customer_ID]],customers__2[#All],3,0)</f>
        <v>North</v>
      </c>
      <c r="J558" t="str">
        <f>VLOOKUP(orders__17[[#This Row],[Customer_ID]],customers__2[#All],4,0)</f>
        <v>Corporate</v>
      </c>
      <c r="K558" t="str">
        <f>VLOOKUP(orders__17[[#This Row],[Product_ID]],products[#All],3,0)</f>
        <v>Furniture</v>
      </c>
      <c r="L558" s="1" t="str">
        <f>VLOOKUP(orders__17[[#This Row],[Product_ID]],products[#All],4,0)</f>
        <v>Table</v>
      </c>
      <c r="M558" s="1" t="str">
        <f>VLOOKUP(orders__17[[#This Row],[Order_ID]],returns[#All],2,0)</f>
        <v>No</v>
      </c>
    </row>
    <row r="559" spans="1:13" x14ac:dyDescent="0.3">
      <c r="A559" s="1" t="s">
        <v>853</v>
      </c>
      <c r="B559" s="2">
        <v>44587</v>
      </c>
      <c r="C559" s="1" t="s">
        <v>559</v>
      </c>
      <c r="D559" s="1" t="s">
        <v>19</v>
      </c>
      <c r="E559">
        <v>5</v>
      </c>
      <c r="F559" s="4">
        <v>1791.49</v>
      </c>
      <c r="G559" s="3">
        <v>0.3</v>
      </c>
      <c r="H559" s="4">
        <v>258.42</v>
      </c>
      <c r="I559" t="str">
        <f>VLOOKUP(orders__17[[#This Row],[Customer_ID]],customers__2[#All],3,0)</f>
        <v>South</v>
      </c>
      <c r="J559" t="str">
        <f>VLOOKUP(orders__17[[#This Row],[Customer_ID]],customers__2[#All],4,0)</f>
        <v>Consumer</v>
      </c>
      <c r="K559" t="str">
        <f>VLOOKUP(orders__17[[#This Row],[Product_ID]],products[#All],3,0)</f>
        <v>Office Supplies</v>
      </c>
      <c r="L559" s="1" t="str">
        <f>VLOOKUP(orders__17[[#This Row],[Product_ID]],products[#All],4,0)</f>
        <v>Pen</v>
      </c>
      <c r="M559" s="1" t="str">
        <f>VLOOKUP(orders__17[[#This Row],[Order_ID]],returns[#All],2,0)</f>
        <v>No</v>
      </c>
    </row>
    <row r="560" spans="1:13" x14ac:dyDescent="0.3">
      <c r="A560" s="1" t="s">
        <v>854</v>
      </c>
      <c r="B560" s="2">
        <v>44570</v>
      </c>
      <c r="C560" s="1" t="s">
        <v>169</v>
      </c>
      <c r="D560" s="1" t="s">
        <v>341</v>
      </c>
      <c r="E560">
        <v>1</v>
      </c>
      <c r="F560" s="4">
        <v>250.87</v>
      </c>
      <c r="G560" s="3">
        <v>0.3</v>
      </c>
      <c r="H560" s="4">
        <v>50.38</v>
      </c>
      <c r="I560" t="str">
        <f>VLOOKUP(orders__17[[#This Row],[Customer_ID]],customers__2[#All],3,0)</f>
        <v>East</v>
      </c>
      <c r="J560" t="str">
        <f>VLOOKUP(orders__17[[#This Row],[Customer_ID]],customers__2[#All],4,0)</f>
        <v>Home Office</v>
      </c>
      <c r="K560" t="str">
        <f>VLOOKUP(orders__17[[#This Row],[Product_ID]],products[#All],3,0)</f>
        <v>Technology</v>
      </c>
      <c r="L560" s="1" t="str">
        <f>VLOOKUP(orders__17[[#This Row],[Product_ID]],products[#All],4,0)</f>
        <v>Phone</v>
      </c>
      <c r="M560" s="1" t="str">
        <f>VLOOKUP(orders__17[[#This Row],[Order_ID]],returns[#All],2,0)</f>
        <v>No</v>
      </c>
    </row>
    <row r="561" spans="1:13" x14ac:dyDescent="0.3">
      <c r="A561" s="1" t="s">
        <v>855</v>
      </c>
      <c r="B561" s="2">
        <v>44711</v>
      </c>
      <c r="C561" s="1" t="s">
        <v>391</v>
      </c>
      <c r="D561" s="1" t="s">
        <v>37</v>
      </c>
      <c r="E561">
        <v>4</v>
      </c>
      <c r="F561" s="4">
        <v>1489.84</v>
      </c>
      <c r="G561" s="3">
        <v>0.2</v>
      </c>
      <c r="H561" s="4">
        <v>104.18</v>
      </c>
      <c r="I561" t="str">
        <f>VLOOKUP(orders__17[[#This Row],[Customer_ID]],customers__2[#All],3,0)</f>
        <v>West</v>
      </c>
      <c r="J561" t="str">
        <f>VLOOKUP(orders__17[[#This Row],[Customer_ID]],customers__2[#All],4,0)</f>
        <v>Corporate</v>
      </c>
      <c r="K561" t="str">
        <f>VLOOKUP(orders__17[[#This Row],[Product_ID]],products[#All],3,0)</f>
        <v>Furniture</v>
      </c>
      <c r="L561" s="1" t="str">
        <f>VLOOKUP(orders__17[[#This Row],[Product_ID]],products[#All],4,0)</f>
        <v>Desk</v>
      </c>
      <c r="M561" s="1" t="str">
        <f>VLOOKUP(orders__17[[#This Row],[Order_ID]],returns[#All],2,0)</f>
        <v>No</v>
      </c>
    </row>
    <row r="562" spans="1:13" x14ac:dyDescent="0.3">
      <c r="A562" s="1" t="s">
        <v>856</v>
      </c>
      <c r="B562" s="2">
        <v>45236</v>
      </c>
      <c r="C562" s="1" t="s">
        <v>489</v>
      </c>
      <c r="D562" s="1" t="s">
        <v>361</v>
      </c>
      <c r="E562">
        <v>1</v>
      </c>
      <c r="F562" s="4">
        <v>456.08</v>
      </c>
      <c r="G562" s="3">
        <v>0.3</v>
      </c>
      <c r="H562" s="4">
        <v>100.69</v>
      </c>
      <c r="I562" t="str">
        <f>VLOOKUP(orders__17[[#This Row],[Customer_ID]],customers__2[#All],3,0)</f>
        <v>North</v>
      </c>
      <c r="J562" t="str">
        <f>VLOOKUP(orders__17[[#This Row],[Customer_ID]],customers__2[#All],4,0)</f>
        <v>Home Office</v>
      </c>
      <c r="K562" t="str">
        <f>VLOOKUP(orders__17[[#This Row],[Product_ID]],products[#All],3,0)</f>
        <v>Furniture</v>
      </c>
      <c r="L562" s="1" t="str">
        <f>VLOOKUP(orders__17[[#This Row],[Product_ID]],products[#All],4,0)</f>
        <v>Shelf</v>
      </c>
      <c r="M562" s="1" t="str">
        <f>VLOOKUP(orders__17[[#This Row],[Order_ID]],returns[#All],2,0)</f>
        <v>No</v>
      </c>
    </row>
    <row r="563" spans="1:13" x14ac:dyDescent="0.3">
      <c r="A563" s="1" t="s">
        <v>857</v>
      </c>
      <c r="B563" s="2">
        <v>44850</v>
      </c>
      <c r="C563" s="1" t="s">
        <v>292</v>
      </c>
      <c r="D563" s="1" t="s">
        <v>83</v>
      </c>
      <c r="E563">
        <v>1</v>
      </c>
      <c r="F563" s="4">
        <v>1730.54</v>
      </c>
      <c r="G563" s="3">
        <v>0.1</v>
      </c>
      <c r="H563" s="4">
        <v>489.99</v>
      </c>
      <c r="I563" t="str">
        <f>VLOOKUP(orders__17[[#This Row],[Customer_ID]],customers__2[#All],3,0)</f>
        <v>North</v>
      </c>
      <c r="J563" t="str">
        <f>VLOOKUP(orders__17[[#This Row],[Customer_ID]],customers__2[#All],4,0)</f>
        <v>Consumer</v>
      </c>
      <c r="K563" t="str">
        <f>VLOOKUP(orders__17[[#This Row],[Product_ID]],products[#All],3,0)</f>
        <v>Furniture</v>
      </c>
      <c r="L563" s="1" t="str">
        <f>VLOOKUP(orders__17[[#This Row],[Product_ID]],products[#All],4,0)</f>
        <v>Table</v>
      </c>
      <c r="M563" s="1" t="str">
        <f>VLOOKUP(orders__17[[#This Row],[Order_ID]],returns[#All],2,0)</f>
        <v>Yes</v>
      </c>
    </row>
    <row r="564" spans="1:13" x14ac:dyDescent="0.3">
      <c r="A564" s="1" t="s">
        <v>858</v>
      </c>
      <c r="B564" s="2">
        <v>44619</v>
      </c>
      <c r="C564" s="1" t="s">
        <v>316</v>
      </c>
      <c r="D564" s="1" t="s">
        <v>364</v>
      </c>
      <c r="E564">
        <v>5</v>
      </c>
      <c r="F564" s="4">
        <v>1656.22</v>
      </c>
      <c r="G564" s="3">
        <v>0.3</v>
      </c>
      <c r="H564" s="4">
        <v>321.17</v>
      </c>
      <c r="I564" t="str">
        <f>VLOOKUP(orders__17[[#This Row],[Customer_ID]],customers__2[#All],3,0)</f>
        <v>South</v>
      </c>
      <c r="J564" t="str">
        <f>VLOOKUP(orders__17[[#This Row],[Customer_ID]],customers__2[#All],4,0)</f>
        <v>Home Office</v>
      </c>
      <c r="K564" t="str">
        <f>VLOOKUP(orders__17[[#This Row],[Product_ID]],products[#All],3,0)</f>
        <v>Technology</v>
      </c>
      <c r="L564" s="1" t="str">
        <f>VLOOKUP(orders__17[[#This Row],[Product_ID]],products[#All],4,0)</f>
        <v>Accessories</v>
      </c>
      <c r="M564" s="1" t="str">
        <f>VLOOKUP(orders__17[[#This Row],[Order_ID]],returns[#All],2,0)</f>
        <v>No</v>
      </c>
    </row>
    <row r="565" spans="1:13" x14ac:dyDescent="0.3">
      <c r="A565" s="1" t="s">
        <v>859</v>
      </c>
      <c r="B565" s="2">
        <v>44752</v>
      </c>
      <c r="C565" s="1" t="s">
        <v>77</v>
      </c>
      <c r="D565" s="1" t="s">
        <v>603</v>
      </c>
      <c r="E565">
        <v>4</v>
      </c>
      <c r="F565" s="4">
        <v>1127.51</v>
      </c>
      <c r="G565" s="3">
        <v>0.3</v>
      </c>
      <c r="H565" s="4">
        <v>91.92</v>
      </c>
      <c r="I565" t="str">
        <f>VLOOKUP(orders__17[[#This Row],[Customer_ID]],customers__2[#All],3,0)</f>
        <v>West</v>
      </c>
      <c r="J565" t="str">
        <f>VLOOKUP(orders__17[[#This Row],[Customer_ID]],customers__2[#All],4,0)</f>
        <v>Consumer</v>
      </c>
      <c r="K565" t="str">
        <f>VLOOKUP(orders__17[[#This Row],[Product_ID]],products[#All],3,0)</f>
        <v>Technology</v>
      </c>
      <c r="L565" s="1" t="str">
        <f>VLOOKUP(orders__17[[#This Row],[Product_ID]],products[#All],4,0)</f>
        <v>Accessories</v>
      </c>
      <c r="M565" s="1" t="str">
        <f>VLOOKUP(orders__17[[#This Row],[Order_ID]],returns[#All],2,0)</f>
        <v>Yes</v>
      </c>
    </row>
    <row r="566" spans="1:13" x14ac:dyDescent="0.3">
      <c r="A566" s="1" t="s">
        <v>860</v>
      </c>
      <c r="B566" s="2">
        <v>45184</v>
      </c>
      <c r="C566" s="1" t="s">
        <v>678</v>
      </c>
      <c r="D566" s="1" t="s">
        <v>304</v>
      </c>
      <c r="E566">
        <v>4</v>
      </c>
      <c r="F566" s="4">
        <v>1449.46</v>
      </c>
      <c r="G566" s="3">
        <v>0.3</v>
      </c>
      <c r="H566" s="4">
        <v>283.27</v>
      </c>
      <c r="I566" t="str">
        <f>VLOOKUP(orders__17[[#This Row],[Customer_ID]],customers__2[#All],3,0)</f>
        <v>West</v>
      </c>
      <c r="J566" t="str">
        <f>VLOOKUP(orders__17[[#This Row],[Customer_ID]],customers__2[#All],4,0)</f>
        <v>Consumer</v>
      </c>
      <c r="K566" t="str">
        <f>VLOOKUP(orders__17[[#This Row],[Product_ID]],products[#All],3,0)</f>
        <v>Technology</v>
      </c>
      <c r="L566" s="1" t="str">
        <f>VLOOKUP(orders__17[[#This Row],[Product_ID]],products[#All],4,0)</f>
        <v>Accessories</v>
      </c>
      <c r="M566" s="1" t="str">
        <f>VLOOKUP(orders__17[[#This Row],[Order_ID]],returns[#All],2,0)</f>
        <v>No</v>
      </c>
    </row>
    <row r="567" spans="1:13" x14ac:dyDescent="0.3">
      <c r="A567" s="1" t="s">
        <v>861</v>
      </c>
      <c r="B567" s="2">
        <v>45455</v>
      </c>
      <c r="C567" s="1" t="s">
        <v>671</v>
      </c>
      <c r="D567" s="1" t="s">
        <v>86</v>
      </c>
      <c r="E567">
        <v>4</v>
      </c>
      <c r="F567" s="4">
        <v>697.27</v>
      </c>
      <c r="G567" s="3">
        <v>0.3</v>
      </c>
      <c r="H567" s="4">
        <v>168.45</v>
      </c>
      <c r="I567" t="str">
        <f>VLOOKUP(orders__17[[#This Row],[Customer_ID]],customers__2[#All],3,0)</f>
        <v>North</v>
      </c>
      <c r="J567" t="str">
        <f>VLOOKUP(orders__17[[#This Row],[Customer_ID]],customers__2[#All],4,0)</f>
        <v>Corporate</v>
      </c>
      <c r="K567" t="str">
        <f>VLOOKUP(orders__17[[#This Row],[Product_ID]],products[#All],3,0)</f>
        <v>Furniture</v>
      </c>
      <c r="L567" s="1" t="str">
        <f>VLOOKUP(orders__17[[#This Row],[Product_ID]],products[#All],4,0)</f>
        <v>Table</v>
      </c>
      <c r="M567" s="1" t="str">
        <f>VLOOKUP(orders__17[[#This Row],[Order_ID]],returns[#All],2,0)</f>
        <v>No</v>
      </c>
    </row>
    <row r="568" spans="1:13" x14ac:dyDescent="0.3">
      <c r="A568" s="1" t="s">
        <v>862</v>
      </c>
      <c r="B568" s="2">
        <v>44721</v>
      </c>
      <c r="C568" s="1" t="s">
        <v>367</v>
      </c>
      <c r="D568" s="1" t="s">
        <v>451</v>
      </c>
      <c r="E568">
        <v>3</v>
      </c>
      <c r="F568" s="4">
        <v>995.22</v>
      </c>
      <c r="G568" s="3">
        <v>0</v>
      </c>
      <c r="H568" s="4">
        <v>150.88</v>
      </c>
      <c r="I568" t="str">
        <f>VLOOKUP(orders__17[[#This Row],[Customer_ID]],customers__2[#All],3,0)</f>
        <v>South</v>
      </c>
      <c r="J568" t="str">
        <f>VLOOKUP(orders__17[[#This Row],[Customer_ID]],customers__2[#All],4,0)</f>
        <v>Home Office</v>
      </c>
      <c r="K568" t="str">
        <f>VLOOKUP(orders__17[[#This Row],[Product_ID]],products[#All],3,0)</f>
        <v>Technology</v>
      </c>
      <c r="L568" s="1" t="str">
        <f>VLOOKUP(orders__17[[#This Row],[Product_ID]],products[#All],4,0)</f>
        <v>Laptop</v>
      </c>
      <c r="M568" s="1" t="str">
        <f>VLOOKUP(orders__17[[#This Row],[Order_ID]],returns[#All],2,0)</f>
        <v>No</v>
      </c>
    </row>
    <row r="569" spans="1:13" x14ac:dyDescent="0.3">
      <c r="A569" s="1" t="s">
        <v>863</v>
      </c>
      <c r="B569" s="2">
        <v>44697</v>
      </c>
      <c r="C569" s="1" t="s">
        <v>786</v>
      </c>
      <c r="D569" s="1" t="s">
        <v>195</v>
      </c>
      <c r="E569">
        <v>5</v>
      </c>
      <c r="F569" s="4">
        <v>1661.11</v>
      </c>
      <c r="G569" s="3">
        <v>0</v>
      </c>
      <c r="H569" s="4">
        <v>448.43</v>
      </c>
      <c r="I569" t="str">
        <f>VLOOKUP(orders__17[[#This Row],[Customer_ID]],customers__2[#All],3,0)</f>
        <v>East</v>
      </c>
      <c r="J569" t="str">
        <f>VLOOKUP(orders__17[[#This Row],[Customer_ID]],customers__2[#All],4,0)</f>
        <v>Corporate</v>
      </c>
      <c r="K569" t="str">
        <f>VLOOKUP(orders__17[[#This Row],[Product_ID]],products[#All],3,0)</f>
        <v>Furniture</v>
      </c>
      <c r="L569" s="1" t="str">
        <f>VLOOKUP(orders__17[[#This Row],[Product_ID]],products[#All],4,0)</f>
        <v>Chair</v>
      </c>
      <c r="M569" s="1" t="str">
        <f>VLOOKUP(orders__17[[#This Row],[Order_ID]],returns[#All],2,0)</f>
        <v>No</v>
      </c>
    </row>
    <row r="570" spans="1:13" x14ac:dyDescent="0.3">
      <c r="A570" s="1" t="s">
        <v>864</v>
      </c>
      <c r="B570" s="2">
        <v>45046</v>
      </c>
      <c r="C570" s="1" t="s">
        <v>96</v>
      </c>
      <c r="D570" s="1" t="s">
        <v>309</v>
      </c>
      <c r="E570">
        <v>4</v>
      </c>
      <c r="F570" s="4">
        <v>972.6</v>
      </c>
      <c r="G570" s="3">
        <v>0</v>
      </c>
      <c r="H570" s="4">
        <v>206.36</v>
      </c>
      <c r="I570" t="str">
        <f>VLOOKUP(orders__17[[#This Row],[Customer_ID]],customers__2[#All],3,0)</f>
        <v>West</v>
      </c>
      <c r="J570" t="str">
        <f>VLOOKUP(orders__17[[#This Row],[Customer_ID]],customers__2[#All],4,0)</f>
        <v>Corporate</v>
      </c>
      <c r="K570" t="str">
        <f>VLOOKUP(orders__17[[#This Row],[Product_ID]],products[#All],3,0)</f>
        <v>Office Supplies</v>
      </c>
      <c r="L570" s="1" t="str">
        <f>VLOOKUP(orders__17[[#This Row],[Product_ID]],products[#All],4,0)</f>
        <v>Pen</v>
      </c>
      <c r="M570" s="1" t="str">
        <f>VLOOKUP(orders__17[[#This Row],[Order_ID]],returns[#All],2,0)</f>
        <v>No</v>
      </c>
    </row>
    <row r="571" spans="1:13" x14ac:dyDescent="0.3">
      <c r="A571" s="1" t="s">
        <v>865</v>
      </c>
      <c r="B571" s="2">
        <v>45377</v>
      </c>
      <c r="C571" s="1" t="s">
        <v>542</v>
      </c>
      <c r="D571" s="1" t="s">
        <v>502</v>
      </c>
      <c r="E571">
        <v>3</v>
      </c>
      <c r="F571" s="4">
        <v>779.82</v>
      </c>
      <c r="G571" s="3">
        <v>0.2</v>
      </c>
      <c r="H571" s="4">
        <v>214.3</v>
      </c>
      <c r="I571" t="str">
        <f>VLOOKUP(orders__17[[#This Row],[Customer_ID]],customers__2[#All],3,0)</f>
        <v>West</v>
      </c>
      <c r="J571" t="str">
        <f>VLOOKUP(orders__17[[#This Row],[Customer_ID]],customers__2[#All],4,0)</f>
        <v>Home Office</v>
      </c>
      <c r="K571" t="str">
        <f>VLOOKUP(orders__17[[#This Row],[Product_ID]],products[#All],3,0)</f>
        <v>Furniture</v>
      </c>
      <c r="L571" s="1" t="str">
        <f>VLOOKUP(orders__17[[#This Row],[Product_ID]],products[#All],4,0)</f>
        <v>Shelf</v>
      </c>
      <c r="M571" s="1" t="str">
        <f>VLOOKUP(orders__17[[#This Row],[Order_ID]],returns[#All],2,0)</f>
        <v>No</v>
      </c>
    </row>
    <row r="572" spans="1:13" x14ac:dyDescent="0.3">
      <c r="A572" s="1" t="s">
        <v>866</v>
      </c>
      <c r="B572" s="2">
        <v>45165</v>
      </c>
      <c r="C572" s="1" t="s">
        <v>174</v>
      </c>
      <c r="D572" s="1" t="s">
        <v>770</v>
      </c>
      <c r="E572">
        <v>2</v>
      </c>
      <c r="F572" s="4">
        <v>1039</v>
      </c>
      <c r="G572" s="3">
        <v>0.2</v>
      </c>
      <c r="H572" s="4">
        <v>213.91</v>
      </c>
      <c r="I572" t="str">
        <f>VLOOKUP(orders__17[[#This Row],[Customer_ID]],customers__2[#All],3,0)</f>
        <v>East</v>
      </c>
      <c r="J572" t="str">
        <f>VLOOKUP(orders__17[[#This Row],[Customer_ID]],customers__2[#All],4,0)</f>
        <v>Consumer</v>
      </c>
      <c r="K572" t="str">
        <f>VLOOKUP(orders__17[[#This Row],[Product_ID]],products[#All],3,0)</f>
        <v>Technology</v>
      </c>
      <c r="L572" s="1" t="str">
        <f>VLOOKUP(orders__17[[#This Row],[Product_ID]],products[#All],4,0)</f>
        <v>Accessories</v>
      </c>
      <c r="M572" s="1" t="str">
        <f>VLOOKUP(orders__17[[#This Row],[Order_ID]],returns[#All],2,0)</f>
        <v>No</v>
      </c>
    </row>
    <row r="573" spans="1:13" x14ac:dyDescent="0.3">
      <c r="A573" s="1" t="s">
        <v>867</v>
      </c>
      <c r="B573" s="2">
        <v>44598</v>
      </c>
      <c r="C573" s="1" t="s">
        <v>547</v>
      </c>
      <c r="D573" s="1" t="s">
        <v>221</v>
      </c>
      <c r="E573">
        <v>2</v>
      </c>
      <c r="F573" s="4">
        <v>1673.67</v>
      </c>
      <c r="G573" s="3">
        <v>0.1</v>
      </c>
      <c r="H573" s="4">
        <v>138.62</v>
      </c>
      <c r="I573" t="str">
        <f>VLOOKUP(orders__17[[#This Row],[Customer_ID]],customers__2[#All],3,0)</f>
        <v>West</v>
      </c>
      <c r="J573" t="str">
        <f>VLOOKUP(orders__17[[#This Row],[Customer_ID]],customers__2[#All],4,0)</f>
        <v>Corporate</v>
      </c>
      <c r="K573" t="str">
        <f>VLOOKUP(orders__17[[#This Row],[Product_ID]],products[#All],3,0)</f>
        <v>Technology</v>
      </c>
      <c r="L573" s="1" t="str">
        <f>VLOOKUP(orders__17[[#This Row],[Product_ID]],products[#All],4,0)</f>
        <v>Laptop</v>
      </c>
      <c r="M573" s="1" t="str">
        <f>VLOOKUP(orders__17[[#This Row],[Order_ID]],returns[#All],2,0)</f>
        <v>No</v>
      </c>
    </row>
    <row r="574" spans="1:13" x14ac:dyDescent="0.3">
      <c r="A574" s="1" t="s">
        <v>868</v>
      </c>
      <c r="B574" s="2">
        <v>44838</v>
      </c>
      <c r="C574" s="1" t="s">
        <v>526</v>
      </c>
      <c r="D574" s="1" t="s">
        <v>309</v>
      </c>
      <c r="E574">
        <v>3</v>
      </c>
      <c r="F574" s="4">
        <v>736.9</v>
      </c>
      <c r="G574" s="3">
        <v>0</v>
      </c>
      <c r="H574" s="4">
        <v>93.9</v>
      </c>
      <c r="I574" t="str">
        <f>VLOOKUP(orders__17[[#This Row],[Customer_ID]],customers__2[#All],3,0)</f>
        <v>West</v>
      </c>
      <c r="J574" t="str">
        <f>VLOOKUP(orders__17[[#This Row],[Customer_ID]],customers__2[#All],4,0)</f>
        <v>Corporate</v>
      </c>
      <c r="K574" t="str">
        <f>VLOOKUP(orders__17[[#This Row],[Product_ID]],products[#All],3,0)</f>
        <v>Office Supplies</v>
      </c>
      <c r="L574" s="1" t="str">
        <f>VLOOKUP(orders__17[[#This Row],[Product_ID]],products[#All],4,0)</f>
        <v>Pen</v>
      </c>
      <c r="M574" s="1" t="str">
        <f>VLOOKUP(orders__17[[#This Row],[Order_ID]],returns[#All],2,0)</f>
        <v>No</v>
      </c>
    </row>
    <row r="575" spans="1:13" x14ac:dyDescent="0.3">
      <c r="A575" s="1" t="s">
        <v>869</v>
      </c>
      <c r="B575" s="2">
        <v>45020</v>
      </c>
      <c r="C575" s="1" t="s">
        <v>347</v>
      </c>
      <c r="D575" s="1" t="s">
        <v>301</v>
      </c>
      <c r="E575">
        <v>3</v>
      </c>
      <c r="F575" s="4">
        <v>430.15</v>
      </c>
      <c r="G575" s="3">
        <v>0.2</v>
      </c>
      <c r="H575" s="4">
        <v>43.21</v>
      </c>
      <c r="I575" t="str">
        <f>VLOOKUP(orders__17[[#This Row],[Customer_ID]],customers__2[#All],3,0)</f>
        <v>South</v>
      </c>
      <c r="J575" t="str">
        <f>VLOOKUP(orders__17[[#This Row],[Customer_ID]],customers__2[#All],4,0)</f>
        <v>Home Office</v>
      </c>
      <c r="K575" t="str">
        <f>VLOOKUP(orders__17[[#This Row],[Product_ID]],products[#All],3,0)</f>
        <v>Furniture</v>
      </c>
      <c r="L575" s="1" t="str">
        <f>VLOOKUP(orders__17[[#This Row],[Product_ID]],products[#All],4,0)</f>
        <v>Table</v>
      </c>
      <c r="M575" s="1" t="str">
        <f>VLOOKUP(orders__17[[#This Row],[Order_ID]],returns[#All],2,0)</f>
        <v>Yes</v>
      </c>
    </row>
    <row r="576" spans="1:13" x14ac:dyDescent="0.3">
      <c r="A576" s="1" t="s">
        <v>870</v>
      </c>
      <c r="B576" s="2">
        <v>44828</v>
      </c>
      <c r="C576" s="1" t="s">
        <v>442</v>
      </c>
      <c r="D576" s="1" t="s">
        <v>22</v>
      </c>
      <c r="E576">
        <v>5</v>
      </c>
      <c r="F576" s="4">
        <v>1452.83</v>
      </c>
      <c r="G576" s="3">
        <v>0.3</v>
      </c>
      <c r="H576" s="4">
        <v>402.73</v>
      </c>
      <c r="I576" t="str">
        <f>VLOOKUP(orders__17[[#This Row],[Customer_ID]],customers__2[#All],3,0)</f>
        <v>North</v>
      </c>
      <c r="J576" t="str">
        <f>VLOOKUP(orders__17[[#This Row],[Customer_ID]],customers__2[#All],4,0)</f>
        <v>Consumer</v>
      </c>
      <c r="K576" t="str">
        <f>VLOOKUP(orders__17[[#This Row],[Product_ID]],products[#All],3,0)</f>
        <v>Furniture</v>
      </c>
      <c r="L576" s="1" t="str">
        <f>VLOOKUP(orders__17[[#This Row],[Product_ID]],products[#All],4,0)</f>
        <v>Chair</v>
      </c>
      <c r="M576" s="1" t="str">
        <f>VLOOKUP(orders__17[[#This Row],[Order_ID]],returns[#All],2,0)</f>
        <v>No</v>
      </c>
    </row>
    <row r="577" spans="1:13" x14ac:dyDescent="0.3">
      <c r="A577" s="1" t="s">
        <v>871</v>
      </c>
      <c r="B577" s="2">
        <v>45258</v>
      </c>
      <c r="C577" s="1" t="s">
        <v>843</v>
      </c>
      <c r="D577" s="1" t="s">
        <v>451</v>
      </c>
      <c r="E577">
        <v>5</v>
      </c>
      <c r="F577" s="4">
        <v>1669.36</v>
      </c>
      <c r="G577" s="3">
        <v>0.3</v>
      </c>
      <c r="H577" s="4">
        <v>400.81</v>
      </c>
      <c r="I577" t="str">
        <f>VLOOKUP(orders__17[[#This Row],[Customer_ID]],customers__2[#All],3,0)</f>
        <v>North</v>
      </c>
      <c r="J577" t="str">
        <f>VLOOKUP(orders__17[[#This Row],[Customer_ID]],customers__2[#All],4,0)</f>
        <v>Consumer</v>
      </c>
      <c r="K577" t="str">
        <f>VLOOKUP(orders__17[[#This Row],[Product_ID]],products[#All],3,0)</f>
        <v>Technology</v>
      </c>
      <c r="L577" s="1" t="str">
        <f>VLOOKUP(orders__17[[#This Row],[Product_ID]],products[#All],4,0)</f>
        <v>Laptop</v>
      </c>
      <c r="M577" s="1" t="str">
        <f>VLOOKUP(orders__17[[#This Row],[Order_ID]],returns[#All],2,0)</f>
        <v>No</v>
      </c>
    </row>
    <row r="578" spans="1:13" x14ac:dyDescent="0.3">
      <c r="A578" s="1" t="s">
        <v>872</v>
      </c>
      <c r="B578" s="2">
        <v>44741</v>
      </c>
      <c r="C578" s="1" t="s">
        <v>231</v>
      </c>
      <c r="D578" s="1" t="s">
        <v>13</v>
      </c>
      <c r="E578">
        <v>2</v>
      </c>
      <c r="F578" s="4">
        <v>291.20999999999998</v>
      </c>
      <c r="G578" s="3">
        <v>0</v>
      </c>
      <c r="H578" s="4">
        <v>63.8</v>
      </c>
      <c r="I578" t="str">
        <f>VLOOKUP(orders__17[[#This Row],[Customer_ID]],customers__2[#All],3,0)</f>
        <v>South</v>
      </c>
      <c r="J578" t="str">
        <f>VLOOKUP(orders__17[[#This Row],[Customer_ID]],customers__2[#All],4,0)</f>
        <v>Consumer</v>
      </c>
      <c r="K578" t="str">
        <f>VLOOKUP(orders__17[[#This Row],[Product_ID]],products[#All],3,0)</f>
        <v>Furniture</v>
      </c>
      <c r="L578" s="1" t="str">
        <f>VLOOKUP(orders__17[[#This Row],[Product_ID]],products[#All],4,0)</f>
        <v>Desk</v>
      </c>
      <c r="M578" s="1" t="str">
        <f>VLOOKUP(orders__17[[#This Row],[Order_ID]],returns[#All],2,0)</f>
        <v>No</v>
      </c>
    </row>
    <row r="579" spans="1:13" x14ac:dyDescent="0.3">
      <c r="A579" s="1" t="s">
        <v>873</v>
      </c>
      <c r="B579" s="2">
        <v>44686</v>
      </c>
      <c r="C579" s="1" t="s">
        <v>683</v>
      </c>
      <c r="D579" s="1" t="s">
        <v>249</v>
      </c>
      <c r="E579">
        <v>4</v>
      </c>
      <c r="F579" s="4">
        <v>555.76</v>
      </c>
      <c r="G579" s="3">
        <v>0.1</v>
      </c>
      <c r="H579" s="4">
        <v>69.599999999999994</v>
      </c>
      <c r="I579" t="str">
        <f>VLOOKUP(orders__17[[#This Row],[Customer_ID]],customers__2[#All],3,0)</f>
        <v>East</v>
      </c>
      <c r="J579" t="str">
        <f>VLOOKUP(orders__17[[#This Row],[Customer_ID]],customers__2[#All],4,0)</f>
        <v>Corporate</v>
      </c>
      <c r="K579" t="str">
        <f>VLOOKUP(orders__17[[#This Row],[Product_ID]],products[#All],3,0)</f>
        <v>Office Supplies</v>
      </c>
      <c r="L579" s="1" t="str">
        <f>VLOOKUP(orders__17[[#This Row],[Product_ID]],products[#All],4,0)</f>
        <v>Paper</v>
      </c>
      <c r="M579" s="1" t="str">
        <f>VLOOKUP(orders__17[[#This Row],[Order_ID]],returns[#All],2,0)</f>
        <v>No</v>
      </c>
    </row>
    <row r="580" spans="1:13" x14ac:dyDescent="0.3">
      <c r="A580" s="1" t="s">
        <v>874</v>
      </c>
      <c r="B580" s="2">
        <v>44813</v>
      </c>
      <c r="C580" s="1" t="s">
        <v>697</v>
      </c>
      <c r="D580" s="1" t="s">
        <v>147</v>
      </c>
      <c r="E580">
        <v>2</v>
      </c>
      <c r="F580" s="4">
        <v>369.75</v>
      </c>
      <c r="G580" s="3">
        <v>0.1</v>
      </c>
      <c r="H580" s="4">
        <v>35.5</v>
      </c>
      <c r="I580" t="str">
        <f>VLOOKUP(orders__17[[#This Row],[Customer_ID]],customers__2[#All],3,0)</f>
        <v>South</v>
      </c>
      <c r="J580" t="str">
        <f>VLOOKUP(orders__17[[#This Row],[Customer_ID]],customers__2[#All],4,0)</f>
        <v>Corporate</v>
      </c>
      <c r="K580" t="str">
        <f>VLOOKUP(orders__17[[#This Row],[Product_ID]],products[#All],3,0)</f>
        <v>Technology</v>
      </c>
      <c r="L580" s="1" t="str">
        <f>VLOOKUP(orders__17[[#This Row],[Product_ID]],products[#All],4,0)</f>
        <v>Laptop</v>
      </c>
      <c r="M580" s="1" t="str">
        <f>VLOOKUP(orders__17[[#This Row],[Order_ID]],returns[#All],2,0)</f>
        <v>No</v>
      </c>
    </row>
    <row r="581" spans="1:13" x14ac:dyDescent="0.3">
      <c r="A581" s="1" t="s">
        <v>875</v>
      </c>
      <c r="B581" s="2">
        <v>45116</v>
      </c>
      <c r="C581" s="1" t="s">
        <v>126</v>
      </c>
      <c r="D581" s="1" t="s">
        <v>378</v>
      </c>
      <c r="E581">
        <v>4</v>
      </c>
      <c r="F581" s="4">
        <v>761.09</v>
      </c>
      <c r="G581" s="3">
        <v>0.3</v>
      </c>
      <c r="H581" s="4">
        <v>181.99</v>
      </c>
      <c r="I581" t="str">
        <f>VLOOKUP(orders__17[[#This Row],[Customer_ID]],customers__2[#All],3,0)</f>
        <v>North</v>
      </c>
      <c r="J581" t="str">
        <f>VLOOKUP(orders__17[[#This Row],[Customer_ID]],customers__2[#All],4,0)</f>
        <v>Consumer</v>
      </c>
      <c r="K581" t="str">
        <f>VLOOKUP(orders__17[[#This Row],[Product_ID]],products[#All],3,0)</f>
        <v>Office Supplies</v>
      </c>
      <c r="L581" s="1" t="str">
        <f>VLOOKUP(orders__17[[#This Row],[Product_ID]],products[#All],4,0)</f>
        <v>Paper</v>
      </c>
      <c r="M581" s="1" t="str">
        <f>VLOOKUP(orders__17[[#This Row],[Order_ID]],returns[#All],2,0)</f>
        <v>No</v>
      </c>
    </row>
    <row r="582" spans="1:13" x14ac:dyDescent="0.3">
      <c r="A582" s="1" t="s">
        <v>876</v>
      </c>
      <c r="B582" s="2">
        <v>45005</v>
      </c>
      <c r="C582" s="1" t="s">
        <v>569</v>
      </c>
      <c r="D582" s="1" t="s">
        <v>242</v>
      </c>
      <c r="E582">
        <v>4</v>
      </c>
      <c r="F582" s="4">
        <v>955.67</v>
      </c>
      <c r="G582" s="3">
        <v>0.1</v>
      </c>
      <c r="H582" s="4">
        <v>161.07</v>
      </c>
      <c r="I582" t="str">
        <f>VLOOKUP(orders__17[[#This Row],[Customer_ID]],customers__2[#All],3,0)</f>
        <v>West</v>
      </c>
      <c r="J582" t="str">
        <f>VLOOKUP(orders__17[[#This Row],[Customer_ID]],customers__2[#All],4,0)</f>
        <v>Consumer</v>
      </c>
      <c r="K582" t="str">
        <f>VLOOKUP(orders__17[[#This Row],[Product_ID]],products[#All],3,0)</f>
        <v>Technology</v>
      </c>
      <c r="L582" s="1" t="str">
        <f>VLOOKUP(orders__17[[#This Row],[Product_ID]],products[#All],4,0)</f>
        <v>Phone</v>
      </c>
      <c r="M582" s="1" t="str">
        <f>VLOOKUP(orders__17[[#This Row],[Order_ID]],returns[#All],2,0)</f>
        <v>No</v>
      </c>
    </row>
    <row r="583" spans="1:13" x14ac:dyDescent="0.3">
      <c r="A583" s="1" t="s">
        <v>877</v>
      </c>
      <c r="B583" s="2">
        <v>45370</v>
      </c>
      <c r="C583" s="1" t="s">
        <v>24</v>
      </c>
      <c r="D583" s="1" t="s">
        <v>660</v>
      </c>
      <c r="E583">
        <v>5</v>
      </c>
      <c r="F583" s="4">
        <v>1522.77</v>
      </c>
      <c r="G583" s="3">
        <v>0</v>
      </c>
      <c r="H583" s="4">
        <v>162.09</v>
      </c>
      <c r="I583" t="str">
        <f>VLOOKUP(orders__17[[#This Row],[Customer_ID]],customers__2[#All],3,0)</f>
        <v>North</v>
      </c>
      <c r="J583" t="str">
        <f>VLOOKUP(orders__17[[#This Row],[Customer_ID]],customers__2[#All],4,0)</f>
        <v>Consumer</v>
      </c>
      <c r="K583" t="str">
        <f>VLOOKUP(orders__17[[#This Row],[Product_ID]],products[#All],3,0)</f>
        <v>Office Supplies</v>
      </c>
      <c r="L583" s="1" t="str">
        <f>VLOOKUP(orders__17[[#This Row],[Product_ID]],products[#All],4,0)</f>
        <v>Storage</v>
      </c>
      <c r="M583" s="1" t="str">
        <f>VLOOKUP(orders__17[[#This Row],[Order_ID]],returns[#All],2,0)</f>
        <v>No</v>
      </c>
    </row>
    <row r="584" spans="1:13" x14ac:dyDescent="0.3">
      <c r="A584" s="1" t="s">
        <v>878</v>
      </c>
      <c r="B584" s="2">
        <v>44633</v>
      </c>
      <c r="C584" s="1" t="s">
        <v>559</v>
      </c>
      <c r="D584" s="1" t="s">
        <v>119</v>
      </c>
      <c r="E584">
        <v>1</v>
      </c>
      <c r="F584" s="4">
        <v>1337.18</v>
      </c>
      <c r="G584" s="3">
        <v>0.3</v>
      </c>
      <c r="H584" s="4">
        <v>272.99</v>
      </c>
      <c r="I584" t="str">
        <f>VLOOKUP(orders__17[[#This Row],[Customer_ID]],customers__2[#All],3,0)</f>
        <v>South</v>
      </c>
      <c r="J584" t="str">
        <f>VLOOKUP(orders__17[[#This Row],[Customer_ID]],customers__2[#All],4,0)</f>
        <v>Consumer</v>
      </c>
      <c r="K584" t="str">
        <f>VLOOKUP(orders__17[[#This Row],[Product_ID]],products[#All],3,0)</f>
        <v>Technology</v>
      </c>
      <c r="L584" s="1" t="str">
        <f>VLOOKUP(orders__17[[#This Row],[Product_ID]],products[#All],4,0)</f>
        <v>Tablet</v>
      </c>
      <c r="M584" s="1" t="str">
        <f>VLOOKUP(orders__17[[#This Row],[Order_ID]],returns[#All],2,0)</f>
        <v>No</v>
      </c>
    </row>
    <row r="585" spans="1:13" x14ac:dyDescent="0.3">
      <c r="A585" s="1" t="s">
        <v>879</v>
      </c>
      <c r="B585" s="2">
        <v>44769</v>
      </c>
      <c r="C585" s="1" t="s">
        <v>404</v>
      </c>
      <c r="D585" s="1" t="s">
        <v>221</v>
      </c>
      <c r="E585">
        <v>1</v>
      </c>
      <c r="F585" s="4">
        <v>1279.76</v>
      </c>
      <c r="G585" s="3">
        <v>0.2</v>
      </c>
      <c r="H585" s="4">
        <v>76.89</v>
      </c>
      <c r="I585" t="str">
        <f>VLOOKUP(orders__17[[#This Row],[Customer_ID]],customers__2[#All],3,0)</f>
        <v>West</v>
      </c>
      <c r="J585" t="str">
        <f>VLOOKUP(orders__17[[#This Row],[Customer_ID]],customers__2[#All],4,0)</f>
        <v>Home Office</v>
      </c>
      <c r="K585" t="str">
        <f>VLOOKUP(orders__17[[#This Row],[Product_ID]],products[#All],3,0)</f>
        <v>Technology</v>
      </c>
      <c r="L585" s="1" t="str">
        <f>VLOOKUP(orders__17[[#This Row],[Product_ID]],products[#All],4,0)</f>
        <v>Laptop</v>
      </c>
      <c r="M585" s="1" t="str">
        <f>VLOOKUP(orders__17[[#This Row],[Order_ID]],returns[#All],2,0)</f>
        <v>No</v>
      </c>
    </row>
    <row r="586" spans="1:13" x14ac:dyDescent="0.3">
      <c r="A586" s="1" t="s">
        <v>880</v>
      </c>
      <c r="B586" s="2">
        <v>45353</v>
      </c>
      <c r="C586" s="1" t="s">
        <v>77</v>
      </c>
      <c r="D586" s="1" t="s">
        <v>122</v>
      </c>
      <c r="E586">
        <v>3</v>
      </c>
      <c r="F586" s="4">
        <v>769.51</v>
      </c>
      <c r="G586" s="3">
        <v>0.2</v>
      </c>
      <c r="H586" s="4">
        <v>101.22</v>
      </c>
      <c r="I586" t="str">
        <f>VLOOKUP(orders__17[[#This Row],[Customer_ID]],customers__2[#All],3,0)</f>
        <v>West</v>
      </c>
      <c r="J586" t="str">
        <f>VLOOKUP(orders__17[[#This Row],[Customer_ID]],customers__2[#All],4,0)</f>
        <v>Consumer</v>
      </c>
      <c r="K586" t="str">
        <f>VLOOKUP(orders__17[[#This Row],[Product_ID]],products[#All],3,0)</f>
        <v>Office Supplies</v>
      </c>
      <c r="L586" s="1" t="str">
        <f>VLOOKUP(orders__17[[#This Row],[Product_ID]],products[#All],4,0)</f>
        <v>Storage</v>
      </c>
      <c r="M586" s="1" t="str">
        <f>VLOOKUP(orders__17[[#This Row],[Order_ID]],returns[#All],2,0)</f>
        <v>No</v>
      </c>
    </row>
    <row r="587" spans="1:13" x14ac:dyDescent="0.3">
      <c r="A587" s="1" t="s">
        <v>881</v>
      </c>
      <c r="B587" s="2">
        <v>45414</v>
      </c>
      <c r="C587" s="1" t="s">
        <v>434</v>
      </c>
      <c r="D587" s="1" t="s">
        <v>221</v>
      </c>
      <c r="E587">
        <v>5</v>
      </c>
      <c r="F587" s="4">
        <v>1698.75</v>
      </c>
      <c r="G587" s="3">
        <v>0.1</v>
      </c>
      <c r="H587" s="4">
        <v>283.93</v>
      </c>
      <c r="I587" t="str">
        <f>VLOOKUP(orders__17[[#This Row],[Customer_ID]],customers__2[#All],3,0)</f>
        <v>North</v>
      </c>
      <c r="J587" t="str">
        <f>VLOOKUP(orders__17[[#This Row],[Customer_ID]],customers__2[#All],4,0)</f>
        <v>Corporate</v>
      </c>
      <c r="K587" t="str">
        <f>VLOOKUP(orders__17[[#This Row],[Product_ID]],products[#All],3,0)</f>
        <v>Technology</v>
      </c>
      <c r="L587" s="1" t="str">
        <f>VLOOKUP(orders__17[[#This Row],[Product_ID]],products[#All],4,0)</f>
        <v>Laptop</v>
      </c>
      <c r="M587" s="1" t="str">
        <f>VLOOKUP(orders__17[[#This Row],[Order_ID]],returns[#All],2,0)</f>
        <v>No</v>
      </c>
    </row>
    <row r="588" spans="1:13" x14ac:dyDescent="0.3">
      <c r="A588" s="1" t="s">
        <v>882</v>
      </c>
      <c r="B588" s="2">
        <v>44878</v>
      </c>
      <c r="C588" s="1" t="s">
        <v>18</v>
      </c>
      <c r="D588" s="1" t="s">
        <v>455</v>
      </c>
      <c r="E588">
        <v>4</v>
      </c>
      <c r="F588" s="4">
        <v>995.45</v>
      </c>
      <c r="G588" s="3">
        <v>0.3</v>
      </c>
      <c r="H588" s="4">
        <v>86.59</v>
      </c>
      <c r="I588" t="str">
        <f>VLOOKUP(orders__17[[#This Row],[Customer_ID]],customers__2[#All],3,0)</f>
        <v>North</v>
      </c>
      <c r="J588" t="str">
        <f>VLOOKUP(orders__17[[#This Row],[Customer_ID]],customers__2[#All],4,0)</f>
        <v>Home Office</v>
      </c>
      <c r="K588" t="str">
        <f>VLOOKUP(orders__17[[#This Row],[Product_ID]],products[#All],3,0)</f>
        <v>Furniture</v>
      </c>
      <c r="L588" s="1" t="str">
        <f>VLOOKUP(orders__17[[#This Row],[Product_ID]],products[#All],4,0)</f>
        <v>Shelf</v>
      </c>
      <c r="M588" s="1" t="str">
        <f>VLOOKUP(orders__17[[#This Row],[Order_ID]],returns[#All],2,0)</f>
        <v>No</v>
      </c>
    </row>
    <row r="589" spans="1:13" x14ac:dyDescent="0.3">
      <c r="A589" s="1" t="s">
        <v>883</v>
      </c>
      <c r="B589" s="2">
        <v>45447</v>
      </c>
      <c r="C589" s="1" t="s">
        <v>18</v>
      </c>
      <c r="D589" s="1" t="s">
        <v>70</v>
      </c>
      <c r="E589">
        <v>1</v>
      </c>
      <c r="F589" s="4">
        <v>1960.3</v>
      </c>
      <c r="G589" s="3">
        <v>0.3</v>
      </c>
      <c r="H589" s="4">
        <v>580.57000000000005</v>
      </c>
      <c r="I589" t="str">
        <f>VLOOKUP(orders__17[[#This Row],[Customer_ID]],customers__2[#All],3,0)</f>
        <v>North</v>
      </c>
      <c r="J589" t="str">
        <f>VLOOKUP(orders__17[[#This Row],[Customer_ID]],customers__2[#All],4,0)</f>
        <v>Home Office</v>
      </c>
      <c r="K589" t="str">
        <f>VLOOKUP(orders__17[[#This Row],[Product_ID]],products[#All],3,0)</f>
        <v>Office Supplies</v>
      </c>
      <c r="L589" s="1" t="str">
        <f>VLOOKUP(orders__17[[#This Row],[Product_ID]],products[#All],4,0)</f>
        <v>Paper</v>
      </c>
      <c r="M589" s="1" t="str">
        <f>VLOOKUP(orders__17[[#This Row],[Order_ID]],returns[#All],2,0)</f>
        <v>Yes</v>
      </c>
    </row>
    <row r="590" spans="1:13" x14ac:dyDescent="0.3">
      <c r="A590" s="1" t="s">
        <v>884</v>
      </c>
      <c r="B590" s="2">
        <v>45412</v>
      </c>
      <c r="C590" s="1" t="s">
        <v>510</v>
      </c>
      <c r="D590" s="1" t="s">
        <v>25</v>
      </c>
      <c r="E590">
        <v>4</v>
      </c>
      <c r="F590" s="4">
        <v>1304.8699999999999</v>
      </c>
      <c r="G590" s="3">
        <v>0.2</v>
      </c>
      <c r="H590" s="4">
        <v>133.44999999999999</v>
      </c>
      <c r="I590" t="str">
        <f>VLOOKUP(orders__17[[#This Row],[Customer_ID]],customers__2[#All],3,0)</f>
        <v>South</v>
      </c>
      <c r="J590" t="str">
        <f>VLOOKUP(orders__17[[#This Row],[Customer_ID]],customers__2[#All],4,0)</f>
        <v>Consumer</v>
      </c>
      <c r="K590" t="str">
        <f>VLOOKUP(orders__17[[#This Row],[Product_ID]],products[#All],3,0)</f>
        <v>Office Supplies</v>
      </c>
      <c r="L590" s="1" t="str">
        <f>VLOOKUP(orders__17[[#This Row],[Product_ID]],products[#All],4,0)</f>
        <v>Paper</v>
      </c>
      <c r="M590" s="1" t="str">
        <f>VLOOKUP(orders__17[[#This Row],[Order_ID]],returns[#All],2,0)</f>
        <v>No</v>
      </c>
    </row>
    <row r="591" spans="1:13" x14ac:dyDescent="0.3">
      <c r="A591" s="1" t="s">
        <v>885</v>
      </c>
      <c r="B591" s="2">
        <v>45081</v>
      </c>
      <c r="C591" s="1" t="s">
        <v>380</v>
      </c>
      <c r="D591" s="1" t="s">
        <v>25</v>
      </c>
      <c r="E591">
        <v>1</v>
      </c>
      <c r="F591" s="4">
        <v>339.9</v>
      </c>
      <c r="G591" s="3">
        <v>0.3</v>
      </c>
      <c r="H591" s="4">
        <v>28.07</v>
      </c>
      <c r="I591" t="str">
        <f>VLOOKUP(orders__17[[#This Row],[Customer_ID]],customers__2[#All],3,0)</f>
        <v>South</v>
      </c>
      <c r="J591" t="str">
        <f>VLOOKUP(orders__17[[#This Row],[Customer_ID]],customers__2[#All],4,0)</f>
        <v>Home Office</v>
      </c>
      <c r="K591" t="str">
        <f>VLOOKUP(orders__17[[#This Row],[Product_ID]],products[#All],3,0)</f>
        <v>Office Supplies</v>
      </c>
      <c r="L591" s="1" t="str">
        <f>VLOOKUP(orders__17[[#This Row],[Product_ID]],products[#All],4,0)</f>
        <v>Paper</v>
      </c>
      <c r="M591" s="1" t="str">
        <f>VLOOKUP(orders__17[[#This Row],[Order_ID]],returns[#All],2,0)</f>
        <v>No</v>
      </c>
    </row>
    <row r="592" spans="1:13" x14ac:dyDescent="0.3">
      <c r="A592" s="1" t="s">
        <v>886</v>
      </c>
      <c r="B592" s="2">
        <v>44838</v>
      </c>
      <c r="C592" s="1" t="s">
        <v>494</v>
      </c>
      <c r="D592" s="1" t="s">
        <v>156</v>
      </c>
      <c r="E592">
        <v>1</v>
      </c>
      <c r="F592" s="4">
        <v>1384.74</v>
      </c>
      <c r="G592" s="3">
        <v>0.3</v>
      </c>
      <c r="H592" s="4">
        <v>139.69999999999999</v>
      </c>
      <c r="I592" t="str">
        <f>VLOOKUP(orders__17[[#This Row],[Customer_ID]],customers__2[#All],3,0)</f>
        <v>South</v>
      </c>
      <c r="J592" t="str">
        <f>VLOOKUP(orders__17[[#This Row],[Customer_ID]],customers__2[#All],4,0)</f>
        <v>Home Office</v>
      </c>
      <c r="K592" t="str">
        <f>VLOOKUP(orders__17[[#This Row],[Product_ID]],products[#All],3,0)</f>
        <v>Furniture</v>
      </c>
      <c r="L592" s="1" t="str">
        <f>VLOOKUP(orders__17[[#This Row],[Product_ID]],products[#All],4,0)</f>
        <v>Desk</v>
      </c>
      <c r="M592" s="1" t="str">
        <f>VLOOKUP(orders__17[[#This Row],[Order_ID]],returns[#All],2,0)</f>
        <v>No</v>
      </c>
    </row>
    <row r="593" spans="1:13" x14ac:dyDescent="0.3">
      <c r="A593" s="1" t="s">
        <v>887</v>
      </c>
      <c r="B593" s="2">
        <v>45377</v>
      </c>
      <c r="C593" s="1" t="s">
        <v>176</v>
      </c>
      <c r="D593" s="1" t="s">
        <v>116</v>
      </c>
      <c r="E593">
        <v>1</v>
      </c>
      <c r="F593" s="4">
        <v>717.7</v>
      </c>
      <c r="G593" s="3">
        <v>0.3</v>
      </c>
      <c r="H593" s="4">
        <v>173.87</v>
      </c>
      <c r="I593" t="str">
        <f>VLOOKUP(orders__17[[#This Row],[Customer_ID]],customers__2[#All],3,0)</f>
        <v>South</v>
      </c>
      <c r="J593" t="str">
        <f>VLOOKUP(orders__17[[#This Row],[Customer_ID]],customers__2[#All],4,0)</f>
        <v>Home Office</v>
      </c>
      <c r="K593" t="str">
        <f>VLOOKUP(orders__17[[#This Row],[Product_ID]],products[#All],3,0)</f>
        <v>Furniture</v>
      </c>
      <c r="L593" s="1" t="str">
        <f>VLOOKUP(orders__17[[#This Row],[Product_ID]],products[#All],4,0)</f>
        <v>Shelf</v>
      </c>
      <c r="M593" s="1" t="str">
        <f>VLOOKUP(orders__17[[#This Row],[Order_ID]],returns[#All],2,0)</f>
        <v>No</v>
      </c>
    </row>
    <row r="594" spans="1:13" x14ac:dyDescent="0.3">
      <c r="A594" s="1" t="s">
        <v>888</v>
      </c>
      <c r="B594" s="2">
        <v>44580</v>
      </c>
      <c r="C594" s="1" t="s">
        <v>165</v>
      </c>
      <c r="D594" s="1" t="s">
        <v>100</v>
      </c>
      <c r="E594">
        <v>5</v>
      </c>
      <c r="F594" s="4">
        <v>1404.02</v>
      </c>
      <c r="G594" s="3">
        <v>0.1</v>
      </c>
      <c r="H594" s="4">
        <v>219.56</v>
      </c>
      <c r="I594" t="str">
        <f>VLOOKUP(orders__17[[#This Row],[Customer_ID]],customers__2[#All],3,0)</f>
        <v>West</v>
      </c>
      <c r="J594" t="str">
        <f>VLOOKUP(orders__17[[#This Row],[Customer_ID]],customers__2[#All],4,0)</f>
        <v>Corporate</v>
      </c>
      <c r="K594" t="str">
        <f>VLOOKUP(orders__17[[#This Row],[Product_ID]],products[#All],3,0)</f>
        <v>Technology</v>
      </c>
      <c r="L594" s="1" t="str">
        <f>VLOOKUP(orders__17[[#This Row],[Product_ID]],products[#All],4,0)</f>
        <v>Laptop</v>
      </c>
      <c r="M594" s="1" t="str">
        <f>VLOOKUP(orders__17[[#This Row],[Order_ID]],returns[#All],2,0)</f>
        <v>No</v>
      </c>
    </row>
    <row r="595" spans="1:13" x14ac:dyDescent="0.3">
      <c r="A595" s="1" t="s">
        <v>889</v>
      </c>
      <c r="B595" s="2">
        <v>45122</v>
      </c>
      <c r="C595" s="1" t="s">
        <v>115</v>
      </c>
      <c r="D595" s="1" t="s">
        <v>75</v>
      </c>
      <c r="E595">
        <v>2</v>
      </c>
      <c r="F595" s="4">
        <v>232.32</v>
      </c>
      <c r="G595" s="3">
        <v>0.3</v>
      </c>
      <c r="H595" s="4">
        <v>44.46</v>
      </c>
      <c r="I595" t="str">
        <f>VLOOKUP(orders__17[[#This Row],[Customer_ID]],customers__2[#All],3,0)</f>
        <v>South</v>
      </c>
      <c r="J595" t="str">
        <f>VLOOKUP(orders__17[[#This Row],[Customer_ID]],customers__2[#All],4,0)</f>
        <v>Consumer</v>
      </c>
      <c r="K595" t="str">
        <f>VLOOKUP(orders__17[[#This Row],[Product_ID]],products[#All],3,0)</f>
        <v>Technology</v>
      </c>
      <c r="L595" s="1" t="str">
        <f>VLOOKUP(orders__17[[#This Row],[Product_ID]],products[#All],4,0)</f>
        <v>Tablet</v>
      </c>
      <c r="M595" s="1" t="str">
        <f>VLOOKUP(orders__17[[#This Row],[Order_ID]],returns[#All],2,0)</f>
        <v>No</v>
      </c>
    </row>
    <row r="596" spans="1:13" x14ac:dyDescent="0.3">
      <c r="A596" s="1" t="s">
        <v>890</v>
      </c>
      <c r="B596" s="2">
        <v>44960</v>
      </c>
      <c r="C596" s="1" t="s">
        <v>273</v>
      </c>
      <c r="D596" s="1" t="s">
        <v>177</v>
      </c>
      <c r="E596">
        <v>4</v>
      </c>
      <c r="F596" s="4">
        <v>432.27</v>
      </c>
      <c r="G596" s="3">
        <v>0</v>
      </c>
      <c r="H596" s="4">
        <v>23.88</v>
      </c>
      <c r="I596" t="str">
        <f>VLOOKUP(orders__17[[#This Row],[Customer_ID]],customers__2[#All],3,0)</f>
        <v>North</v>
      </c>
      <c r="J596" t="str">
        <f>VLOOKUP(orders__17[[#This Row],[Customer_ID]],customers__2[#All],4,0)</f>
        <v>Corporate</v>
      </c>
      <c r="K596" t="str">
        <f>VLOOKUP(orders__17[[#This Row],[Product_ID]],products[#All],3,0)</f>
        <v>Furniture</v>
      </c>
      <c r="L596" s="1" t="str">
        <f>VLOOKUP(orders__17[[#This Row],[Product_ID]],products[#All],4,0)</f>
        <v>Table</v>
      </c>
      <c r="M596" s="1" t="str">
        <f>VLOOKUP(orders__17[[#This Row],[Order_ID]],returns[#All],2,0)</f>
        <v>No</v>
      </c>
    </row>
    <row r="597" spans="1:13" x14ac:dyDescent="0.3">
      <c r="A597" s="1" t="s">
        <v>891</v>
      </c>
      <c r="B597" s="2">
        <v>44587</v>
      </c>
      <c r="C597" s="1" t="s">
        <v>106</v>
      </c>
      <c r="D597" s="1" t="s">
        <v>585</v>
      </c>
      <c r="E597">
        <v>5</v>
      </c>
      <c r="F597" s="4">
        <v>1725.9</v>
      </c>
      <c r="G597" s="3">
        <v>0.1</v>
      </c>
      <c r="H597" s="4">
        <v>101.15</v>
      </c>
      <c r="I597" t="str">
        <f>VLOOKUP(orders__17[[#This Row],[Customer_ID]],customers__2[#All],3,0)</f>
        <v>South</v>
      </c>
      <c r="J597" t="str">
        <f>VLOOKUP(orders__17[[#This Row],[Customer_ID]],customers__2[#All],4,0)</f>
        <v>Consumer</v>
      </c>
      <c r="K597" t="str">
        <f>VLOOKUP(orders__17[[#This Row],[Product_ID]],products[#All],3,0)</f>
        <v>Office Supplies</v>
      </c>
      <c r="L597" s="1" t="str">
        <f>VLOOKUP(orders__17[[#This Row],[Product_ID]],products[#All],4,0)</f>
        <v>Storage</v>
      </c>
      <c r="M597" s="1" t="str">
        <f>VLOOKUP(orders__17[[#This Row],[Order_ID]],returns[#All],2,0)</f>
        <v>No</v>
      </c>
    </row>
    <row r="598" spans="1:13" x14ac:dyDescent="0.3">
      <c r="A598" s="1" t="s">
        <v>892</v>
      </c>
      <c r="B598" s="2">
        <v>45452</v>
      </c>
      <c r="C598" s="1" t="s">
        <v>489</v>
      </c>
      <c r="D598" s="1" t="s">
        <v>309</v>
      </c>
      <c r="E598">
        <v>5</v>
      </c>
      <c r="F598" s="4">
        <v>531.64</v>
      </c>
      <c r="G598" s="3">
        <v>0.3</v>
      </c>
      <c r="H598" s="4">
        <v>85.84</v>
      </c>
      <c r="I598" t="str">
        <f>VLOOKUP(orders__17[[#This Row],[Customer_ID]],customers__2[#All],3,0)</f>
        <v>North</v>
      </c>
      <c r="J598" t="str">
        <f>VLOOKUP(orders__17[[#This Row],[Customer_ID]],customers__2[#All],4,0)</f>
        <v>Home Office</v>
      </c>
      <c r="K598" t="str">
        <f>VLOOKUP(orders__17[[#This Row],[Product_ID]],products[#All],3,0)</f>
        <v>Office Supplies</v>
      </c>
      <c r="L598" s="1" t="str">
        <f>VLOOKUP(orders__17[[#This Row],[Product_ID]],products[#All],4,0)</f>
        <v>Pen</v>
      </c>
      <c r="M598" s="1" t="str">
        <f>VLOOKUP(orders__17[[#This Row],[Order_ID]],returns[#All],2,0)</f>
        <v>Yes</v>
      </c>
    </row>
    <row r="599" spans="1:13" x14ac:dyDescent="0.3">
      <c r="A599" s="1" t="s">
        <v>893</v>
      </c>
      <c r="B599" s="2">
        <v>45436</v>
      </c>
      <c r="C599" s="1" t="s">
        <v>238</v>
      </c>
      <c r="D599" s="1" t="s">
        <v>130</v>
      </c>
      <c r="E599">
        <v>5</v>
      </c>
      <c r="F599" s="4">
        <v>1690.38</v>
      </c>
      <c r="G599" s="3">
        <v>0.3</v>
      </c>
      <c r="H599" s="4">
        <v>429.63</v>
      </c>
      <c r="I599" t="str">
        <f>VLOOKUP(orders__17[[#This Row],[Customer_ID]],customers__2[#All],3,0)</f>
        <v>West</v>
      </c>
      <c r="J599" t="str">
        <f>VLOOKUP(orders__17[[#This Row],[Customer_ID]],customers__2[#All],4,0)</f>
        <v>Corporate</v>
      </c>
      <c r="K599" t="str">
        <f>VLOOKUP(orders__17[[#This Row],[Product_ID]],products[#All],3,0)</f>
        <v>Furniture</v>
      </c>
      <c r="L599" s="1" t="str">
        <f>VLOOKUP(orders__17[[#This Row],[Product_ID]],products[#All],4,0)</f>
        <v>Desk</v>
      </c>
      <c r="M599" s="1" t="str">
        <f>VLOOKUP(orders__17[[#This Row],[Order_ID]],returns[#All],2,0)</f>
        <v>No</v>
      </c>
    </row>
    <row r="600" spans="1:13" x14ac:dyDescent="0.3">
      <c r="A600" s="1" t="s">
        <v>894</v>
      </c>
      <c r="B600" s="2">
        <v>45073</v>
      </c>
      <c r="C600" s="1" t="s">
        <v>154</v>
      </c>
      <c r="D600" s="1" t="s">
        <v>116</v>
      </c>
      <c r="E600">
        <v>5</v>
      </c>
      <c r="F600" s="4">
        <v>630.62</v>
      </c>
      <c r="G600" s="3">
        <v>0</v>
      </c>
      <c r="H600" s="4">
        <v>171.09</v>
      </c>
      <c r="I600" t="str">
        <f>VLOOKUP(orders__17[[#This Row],[Customer_ID]],customers__2[#All],3,0)</f>
        <v>West</v>
      </c>
      <c r="J600" t="str">
        <f>VLOOKUP(orders__17[[#This Row],[Customer_ID]],customers__2[#All],4,0)</f>
        <v>Corporate</v>
      </c>
      <c r="K600" t="str">
        <f>VLOOKUP(orders__17[[#This Row],[Product_ID]],products[#All],3,0)</f>
        <v>Furniture</v>
      </c>
      <c r="L600" s="1" t="str">
        <f>VLOOKUP(orders__17[[#This Row],[Product_ID]],products[#All],4,0)</f>
        <v>Shelf</v>
      </c>
      <c r="M600" s="1" t="str">
        <f>VLOOKUP(orders__17[[#This Row],[Order_ID]],returns[#All],2,0)</f>
        <v>No</v>
      </c>
    </row>
    <row r="601" spans="1:13" x14ac:dyDescent="0.3">
      <c r="A601" s="1" t="s">
        <v>895</v>
      </c>
      <c r="B601" s="2">
        <v>44739</v>
      </c>
      <c r="C601" s="1" t="s">
        <v>66</v>
      </c>
      <c r="D601" s="1" t="s">
        <v>97</v>
      </c>
      <c r="E601">
        <v>5</v>
      </c>
      <c r="F601" s="4">
        <v>1321.48</v>
      </c>
      <c r="G601" s="3">
        <v>0.1</v>
      </c>
      <c r="H601" s="4">
        <v>94.72</v>
      </c>
      <c r="I601" t="str">
        <f>VLOOKUP(orders__17[[#This Row],[Customer_ID]],customers__2[#All],3,0)</f>
        <v>East</v>
      </c>
      <c r="J601" t="str">
        <f>VLOOKUP(orders__17[[#This Row],[Customer_ID]],customers__2[#All],4,0)</f>
        <v>Corporate</v>
      </c>
      <c r="K601" t="str">
        <f>VLOOKUP(orders__17[[#This Row],[Product_ID]],products[#All],3,0)</f>
        <v>Technology</v>
      </c>
      <c r="L601" s="1" t="str">
        <f>VLOOKUP(orders__17[[#This Row],[Product_ID]],products[#All],4,0)</f>
        <v>Tablet</v>
      </c>
      <c r="M601" s="1" t="str">
        <f>VLOOKUP(orders__17[[#This Row],[Order_ID]],returns[#All],2,0)</f>
        <v>No</v>
      </c>
    </row>
    <row r="602" spans="1:13" x14ac:dyDescent="0.3">
      <c r="A602" s="1" t="s">
        <v>896</v>
      </c>
      <c r="B602" s="2">
        <v>45371</v>
      </c>
      <c r="C602" s="1" t="s">
        <v>277</v>
      </c>
      <c r="D602" s="1" t="s">
        <v>127</v>
      </c>
      <c r="E602">
        <v>3</v>
      </c>
      <c r="F602" s="4">
        <v>1418.89</v>
      </c>
      <c r="G602" s="3">
        <v>0.2</v>
      </c>
      <c r="H602" s="4">
        <v>261.91000000000003</v>
      </c>
      <c r="I602" t="str">
        <f>VLOOKUP(orders__17[[#This Row],[Customer_ID]],customers__2[#All],3,0)</f>
        <v>North</v>
      </c>
      <c r="J602" t="str">
        <f>VLOOKUP(orders__17[[#This Row],[Customer_ID]],customers__2[#All],4,0)</f>
        <v>Corporate</v>
      </c>
      <c r="K602" t="str">
        <f>VLOOKUP(orders__17[[#This Row],[Product_ID]],products[#All],3,0)</f>
        <v>Furniture</v>
      </c>
      <c r="L602" s="1" t="str">
        <f>VLOOKUP(orders__17[[#This Row],[Product_ID]],products[#All],4,0)</f>
        <v>Chair</v>
      </c>
      <c r="M602" s="1" t="str">
        <f>VLOOKUP(orders__17[[#This Row],[Order_ID]],returns[#All],2,0)</f>
        <v>No</v>
      </c>
    </row>
    <row r="603" spans="1:13" x14ac:dyDescent="0.3">
      <c r="A603" s="1" t="s">
        <v>897</v>
      </c>
      <c r="B603" s="2">
        <v>45453</v>
      </c>
      <c r="C603" s="1" t="s">
        <v>88</v>
      </c>
      <c r="D603" s="1" t="s">
        <v>48</v>
      </c>
      <c r="E603">
        <v>4</v>
      </c>
      <c r="F603" s="4">
        <v>1074.04</v>
      </c>
      <c r="G603" s="3">
        <v>0.2</v>
      </c>
      <c r="H603" s="4">
        <v>298.91000000000003</v>
      </c>
      <c r="I603" t="str">
        <f>VLOOKUP(orders__17[[#This Row],[Customer_ID]],customers__2[#All],3,0)</f>
        <v>West</v>
      </c>
      <c r="J603" t="str">
        <f>VLOOKUP(orders__17[[#This Row],[Customer_ID]],customers__2[#All],4,0)</f>
        <v>Corporate</v>
      </c>
      <c r="K603" t="str">
        <f>VLOOKUP(orders__17[[#This Row],[Product_ID]],products[#All],3,0)</f>
        <v>Office Supplies</v>
      </c>
      <c r="L603" s="1" t="str">
        <f>VLOOKUP(orders__17[[#This Row],[Product_ID]],products[#All],4,0)</f>
        <v>Pen</v>
      </c>
      <c r="M603" s="1" t="str">
        <f>VLOOKUP(orders__17[[#This Row],[Order_ID]],returns[#All],2,0)</f>
        <v>No</v>
      </c>
    </row>
    <row r="604" spans="1:13" x14ac:dyDescent="0.3">
      <c r="A604" s="1" t="s">
        <v>898</v>
      </c>
      <c r="B604" s="2">
        <v>44837</v>
      </c>
      <c r="C604" s="1" t="s">
        <v>622</v>
      </c>
      <c r="D604" s="1" t="s">
        <v>397</v>
      </c>
      <c r="E604">
        <v>5</v>
      </c>
      <c r="F604" s="4">
        <v>680.09</v>
      </c>
      <c r="G604" s="3">
        <v>0.1</v>
      </c>
      <c r="H604" s="4">
        <v>99.97</v>
      </c>
      <c r="I604" t="str">
        <f>VLOOKUP(orders__17[[#This Row],[Customer_ID]],customers__2[#All],3,0)</f>
        <v>South</v>
      </c>
      <c r="J604" t="str">
        <f>VLOOKUP(orders__17[[#This Row],[Customer_ID]],customers__2[#All],4,0)</f>
        <v>Home Office</v>
      </c>
      <c r="K604" t="str">
        <f>VLOOKUP(orders__17[[#This Row],[Product_ID]],products[#All],3,0)</f>
        <v>Office Supplies</v>
      </c>
      <c r="L604" s="1" t="str">
        <f>VLOOKUP(orders__17[[#This Row],[Product_ID]],products[#All],4,0)</f>
        <v>Pen</v>
      </c>
      <c r="M604" s="1" t="str">
        <f>VLOOKUP(orders__17[[#This Row],[Order_ID]],returns[#All],2,0)</f>
        <v>No</v>
      </c>
    </row>
    <row r="605" spans="1:13" x14ac:dyDescent="0.3">
      <c r="A605" s="1" t="s">
        <v>899</v>
      </c>
      <c r="B605" s="2">
        <v>45266</v>
      </c>
      <c r="C605" s="1" t="s">
        <v>360</v>
      </c>
      <c r="D605" s="1" t="s">
        <v>397</v>
      </c>
      <c r="E605">
        <v>4</v>
      </c>
      <c r="F605" s="4">
        <v>504.02</v>
      </c>
      <c r="G605" s="3">
        <v>0.3</v>
      </c>
      <c r="H605" s="4">
        <v>129.72999999999999</v>
      </c>
      <c r="I605" t="str">
        <f>VLOOKUP(orders__17[[#This Row],[Customer_ID]],customers__2[#All],3,0)</f>
        <v>South</v>
      </c>
      <c r="J605" t="str">
        <f>VLOOKUP(orders__17[[#This Row],[Customer_ID]],customers__2[#All],4,0)</f>
        <v>Home Office</v>
      </c>
      <c r="K605" t="str">
        <f>VLOOKUP(orders__17[[#This Row],[Product_ID]],products[#All],3,0)</f>
        <v>Office Supplies</v>
      </c>
      <c r="L605" s="1" t="str">
        <f>VLOOKUP(orders__17[[#This Row],[Product_ID]],products[#All],4,0)</f>
        <v>Pen</v>
      </c>
      <c r="M605" s="1" t="str">
        <f>VLOOKUP(orders__17[[#This Row],[Order_ID]],returns[#All],2,0)</f>
        <v>No</v>
      </c>
    </row>
    <row r="606" spans="1:13" x14ac:dyDescent="0.3">
      <c r="A606" s="1" t="s">
        <v>900</v>
      </c>
      <c r="B606" s="2">
        <v>44644</v>
      </c>
      <c r="C606" s="1" t="s">
        <v>434</v>
      </c>
      <c r="D606" s="1" t="s">
        <v>86</v>
      </c>
      <c r="E606">
        <v>3</v>
      </c>
      <c r="F606" s="4">
        <v>163.06</v>
      </c>
      <c r="G606" s="3">
        <v>0.3</v>
      </c>
      <c r="H606" s="4">
        <v>13.6</v>
      </c>
      <c r="I606" t="str">
        <f>VLOOKUP(orders__17[[#This Row],[Customer_ID]],customers__2[#All],3,0)</f>
        <v>North</v>
      </c>
      <c r="J606" t="str">
        <f>VLOOKUP(orders__17[[#This Row],[Customer_ID]],customers__2[#All],4,0)</f>
        <v>Corporate</v>
      </c>
      <c r="K606" t="str">
        <f>VLOOKUP(orders__17[[#This Row],[Product_ID]],products[#All],3,0)</f>
        <v>Furniture</v>
      </c>
      <c r="L606" s="1" t="str">
        <f>VLOOKUP(orders__17[[#This Row],[Product_ID]],products[#All],4,0)</f>
        <v>Table</v>
      </c>
      <c r="M606" s="1" t="str">
        <f>VLOOKUP(orders__17[[#This Row],[Order_ID]],returns[#All],2,0)</f>
        <v>No</v>
      </c>
    </row>
    <row r="607" spans="1:13" x14ac:dyDescent="0.3">
      <c r="A607" s="1" t="s">
        <v>901</v>
      </c>
      <c r="B607" s="2">
        <v>44575</v>
      </c>
      <c r="C607" s="1" t="s">
        <v>902</v>
      </c>
      <c r="D607" s="1" t="s">
        <v>19</v>
      </c>
      <c r="E607">
        <v>3</v>
      </c>
      <c r="F607" s="4">
        <v>677.5</v>
      </c>
      <c r="G607" s="3">
        <v>0.2</v>
      </c>
      <c r="H607" s="4">
        <v>192.31</v>
      </c>
      <c r="I607" t="str">
        <f>VLOOKUP(orders__17[[#This Row],[Customer_ID]],customers__2[#All],3,0)</f>
        <v>West</v>
      </c>
      <c r="J607" t="str">
        <f>VLOOKUP(orders__17[[#This Row],[Customer_ID]],customers__2[#All],4,0)</f>
        <v>Home Office</v>
      </c>
      <c r="K607" t="str">
        <f>VLOOKUP(orders__17[[#This Row],[Product_ID]],products[#All],3,0)</f>
        <v>Office Supplies</v>
      </c>
      <c r="L607" s="1" t="str">
        <f>VLOOKUP(orders__17[[#This Row],[Product_ID]],products[#All],4,0)</f>
        <v>Pen</v>
      </c>
      <c r="M607" s="1" t="str">
        <f>VLOOKUP(orders__17[[#This Row],[Order_ID]],returns[#All],2,0)</f>
        <v>No</v>
      </c>
    </row>
    <row r="608" spans="1:13" x14ac:dyDescent="0.3">
      <c r="A608" s="1" t="s">
        <v>903</v>
      </c>
      <c r="B608" s="2">
        <v>44906</v>
      </c>
      <c r="C608" s="1" t="s">
        <v>53</v>
      </c>
      <c r="D608" s="1" t="s">
        <v>275</v>
      </c>
      <c r="E608">
        <v>4</v>
      </c>
      <c r="F608" s="4">
        <v>1341.01</v>
      </c>
      <c r="G608" s="3">
        <v>0.2</v>
      </c>
      <c r="H608" s="4">
        <v>318.97000000000003</v>
      </c>
      <c r="I608" t="str">
        <f>VLOOKUP(orders__17[[#This Row],[Customer_ID]],customers__2[#All],3,0)</f>
        <v>West</v>
      </c>
      <c r="J608" t="str">
        <f>VLOOKUP(orders__17[[#This Row],[Customer_ID]],customers__2[#All],4,0)</f>
        <v>Home Office</v>
      </c>
      <c r="K608" t="str">
        <f>VLOOKUP(orders__17[[#This Row],[Product_ID]],products[#All],3,0)</f>
        <v>Furniture</v>
      </c>
      <c r="L608" s="1" t="str">
        <f>VLOOKUP(orders__17[[#This Row],[Product_ID]],products[#All],4,0)</f>
        <v>Table</v>
      </c>
      <c r="M608" s="1" t="str">
        <f>VLOOKUP(orders__17[[#This Row],[Order_ID]],returns[#All],2,0)</f>
        <v>No</v>
      </c>
    </row>
    <row r="609" spans="1:13" x14ac:dyDescent="0.3">
      <c r="A609" s="1" t="s">
        <v>904</v>
      </c>
      <c r="B609" s="2">
        <v>44673</v>
      </c>
      <c r="C609" s="1" t="s">
        <v>205</v>
      </c>
      <c r="D609" s="1" t="s">
        <v>242</v>
      </c>
      <c r="E609">
        <v>1</v>
      </c>
      <c r="F609" s="4">
        <v>1882.78</v>
      </c>
      <c r="G609" s="3">
        <v>0.2</v>
      </c>
      <c r="H609" s="4">
        <v>537.22</v>
      </c>
      <c r="I609" t="str">
        <f>VLOOKUP(orders__17[[#This Row],[Customer_ID]],customers__2[#All],3,0)</f>
        <v>North</v>
      </c>
      <c r="J609" t="str">
        <f>VLOOKUP(orders__17[[#This Row],[Customer_ID]],customers__2[#All],4,0)</f>
        <v>Consumer</v>
      </c>
      <c r="K609" t="str">
        <f>VLOOKUP(orders__17[[#This Row],[Product_ID]],products[#All],3,0)</f>
        <v>Technology</v>
      </c>
      <c r="L609" s="1" t="str">
        <f>VLOOKUP(orders__17[[#This Row],[Product_ID]],products[#All],4,0)</f>
        <v>Phone</v>
      </c>
      <c r="M609" s="1" t="str">
        <f>VLOOKUP(orders__17[[#This Row],[Order_ID]],returns[#All],2,0)</f>
        <v>No</v>
      </c>
    </row>
    <row r="610" spans="1:13" x14ac:dyDescent="0.3">
      <c r="A610" s="1" t="s">
        <v>905</v>
      </c>
      <c r="B610" s="2">
        <v>45071</v>
      </c>
      <c r="C610" s="1" t="s">
        <v>99</v>
      </c>
      <c r="D610" s="1" t="s">
        <v>141</v>
      </c>
      <c r="E610">
        <v>2</v>
      </c>
      <c r="F610" s="4">
        <v>1755.29</v>
      </c>
      <c r="G610" s="3">
        <v>0</v>
      </c>
      <c r="H610" s="4">
        <v>384.68</v>
      </c>
      <c r="I610" t="str">
        <f>VLOOKUP(orders__17[[#This Row],[Customer_ID]],customers__2[#All],3,0)</f>
        <v>East</v>
      </c>
      <c r="J610" t="str">
        <f>VLOOKUP(orders__17[[#This Row],[Customer_ID]],customers__2[#All],4,0)</f>
        <v>Corporate</v>
      </c>
      <c r="K610" t="str">
        <f>VLOOKUP(orders__17[[#This Row],[Product_ID]],products[#All],3,0)</f>
        <v>Technology</v>
      </c>
      <c r="L610" s="1" t="str">
        <f>VLOOKUP(orders__17[[#This Row],[Product_ID]],products[#All],4,0)</f>
        <v>Phone</v>
      </c>
      <c r="M610" s="1" t="str">
        <f>VLOOKUP(orders__17[[#This Row],[Order_ID]],returns[#All],2,0)</f>
        <v>No</v>
      </c>
    </row>
    <row r="611" spans="1:13" x14ac:dyDescent="0.3">
      <c r="A611" s="1" t="s">
        <v>906</v>
      </c>
      <c r="B611" s="2">
        <v>44759</v>
      </c>
      <c r="C611" s="1" t="s">
        <v>384</v>
      </c>
      <c r="D611" s="1" t="s">
        <v>31</v>
      </c>
      <c r="E611">
        <v>1</v>
      </c>
      <c r="F611" s="4">
        <v>1555.52</v>
      </c>
      <c r="G611" s="3">
        <v>0.2</v>
      </c>
      <c r="H611" s="4">
        <v>219.1</v>
      </c>
      <c r="I611" t="str">
        <f>VLOOKUP(orders__17[[#This Row],[Customer_ID]],customers__2[#All],3,0)</f>
        <v>East</v>
      </c>
      <c r="J611" t="str">
        <f>VLOOKUP(orders__17[[#This Row],[Customer_ID]],customers__2[#All],4,0)</f>
        <v>Corporate</v>
      </c>
      <c r="K611" t="str">
        <f>VLOOKUP(orders__17[[#This Row],[Product_ID]],products[#All],3,0)</f>
        <v>Furniture</v>
      </c>
      <c r="L611" s="1" t="str">
        <f>VLOOKUP(orders__17[[#This Row],[Product_ID]],products[#All],4,0)</f>
        <v>Chair</v>
      </c>
      <c r="M611" s="1" t="str">
        <f>VLOOKUP(orders__17[[#This Row],[Order_ID]],returns[#All],2,0)</f>
        <v>No</v>
      </c>
    </row>
    <row r="612" spans="1:13" x14ac:dyDescent="0.3">
      <c r="A612" s="1" t="s">
        <v>907</v>
      </c>
      <c r="B612" s="2">
        <v>45031</v>
      </c>
      <c r="C612" s="1" t="s">
        <v>444</v>
      </c>
      <c r="D612" s="1" t="s">
        <v>37</v>
      </c>
      <c r="E612">
        <v>1</v>
      </c>
      <c r="F612" s="4">
        <v>1598.05</v>
      </c>
      <c r="G612" s="3">
        <v>0</v>
      </c>
      <c r="H612" s="4">
        <v>454.72</v>
      </c>
      <c r="I612" t="str">
        <f>VLOOKUP(orders__17[[#This Row],[Customer_ID]],customers__2[#All],3,0)</f>
        <v>North</v>
      </c>
      <c r="J612" t="str">
        <f>VLOOKUP(orders__17[[#This Row],[Customer_ID]],customers__2[#All],4,0)</f>
        <v>Corporate</v>
      </c>
      <c r="K612" t="str">
        <f>VLOOKUP(orders__17[[#This Row],[Product_ID]],products[#All],3,0)</f>
        <v>Furniture</v>
      </c>
      <c r="L612" s="1" t="str">
        <f>VLOOKUP(orders__17[[#This Row],[Product_ID]],products[#All],4,0)</f>
        <v>Desk</v>
      </c>
      <c r="M612" s="1" t="str">
        <f>VLOOKUP(orders__17[[#This Row],[Order_ID]],returns[#All],2,0)</f>
        <v>No</v>
      </c>
    </row>
    <row r="613" spans="1:13" x14ac:dyDescent="0.3">
      <c r="A613" s="1" t="s">
        <v>908</v>
      </c>
      <c r="B613" s="2">
        <v>45298</v>
      </c>
      <c r="C613" s="1" t="s">
        <v>347</v>
      </c>
      <c r="D613" s="1" t="s">
        <v>163</v>
      </c>
      <c r="E613">
        <v>1</v>
      </c>
      <c r="F613" s="4">
        <v>1363.47</v>
      </c>
      <c r="G613" s="3">
        <v>0.1</v>
      </c>
      <c r="H613" s="4">
        <v>162.11000000000001</v>
      </c>
      <c r="I613" t="str">
        <f>VLOOKUP(orders__17[[#This Row],[Customer_ID]],customers__2[#All],3,0)</f>
        <v>South</v>
      </c>
      <c r="J613" t="str">
        <f>VLOOKUP(orders__17[[#This Row],[Customer_ID]],customers__2[#All],4,0)</f>
        <v>Home Office</v>
      </c>
      <c r="K613" t="str">
        <f>VLOOKUP(orders__17[[#This Row],[Product_ID]],products[#All],3,0)</f>
        <v>Furniture</v>
      </c>
      <c r="L613" s="1" t="str">
        <f>VLOOKUP(orders__17[[#This Row],[Product_ID]],products[#All],4,0)</f>
        <v>Table</v>
      </c>
      <c r="M613" s="1" t="str">
        <f>VLOOKUP(orders__17[[#This Row],[Order_ID]],returns[#All],2,0)</f>
        <v>No</v>
      </c>
    </row>
    <row r="614" spans="1:13" x14ac:dyDescent="0.3">
      <c r="A614" s="1" t="s">
        <v>909</v>
      </c>
      <c r="B614" s="2">
        <v>45302</v>
      </c>
      <c r="C614" s="1" t="s">
        <v>391</v>
      </c>
      <c r="D614" s="1" t="s">
        <v>226</v>
      </c>
      <c r="E614">
        <v>5</v>
      </c>
      <c r="F614" s="4">
        <v>594.54999999999995</v>
      </c>
      <c r="G614" s="3">
        <v>0.3</v>
      </c>
      <c r="H614" s="4">
        <v>79.099999999999994</v>
      </c>
      <c r="I614" t="str">
        <f>VLOOKUP(orders__17[[#This Row],[Customer_ID]],customers__2[#All],3,0)</f>
        <v>West</v>
      </c>
      <c r="J614" t="str">
        <f>VLOOKUP(orders__17[[#This Row],[Customer_ID]],customers__2[#All],4,0)</f>
        <v>Corporate</v>
      </c>
      <c r="K614" t="str">
        <f>VLOOKUP(orders__17[[#This Row],[Product_ID]],products[#All],3,0)</f>
        <v>Technology</v>
      </c>
      <c r="L614" s="1" t="str">
        <f>VLOOKUP(orders__17[[#This Row],[Product_ID]],products[#All],4,0)</f>
        <v>Laptop</v>
      </c>
      <c r="M614" s="1" t="str">
        <f>VLOOKUP(orders__17[[#This Row],[Order_ID]],returns[#All],2,0)</f>
        <v>No</v>
      </c>
    </row>
    <row r="615" spans="1:13" x14ac:dyDescent="0.3">
      <c r="A615" s="1" t="s">
        <v>910</v>
      </c>
      <c r="B615" s="2">
        <v>45001</v>
      </c>
      <c r="C615" s="1" t="s">
        <v>190</v>
      </c>
      <c r="D615" s="1" t="s">
        <v>37</v>
      </c>
      <c r="E615">
        <v>3</v>
      </c>
      <c r="F615" s="4">
        <v>1823.67</v>
      </c>
      <c r="G615" s="3">
        <v>0.2</v>
      </c>
      <c r="H615" s="4">
        <v>410.69</v>
      </c>
      <c r="I615" t="str">
        <f>VLOOKUP(orders__17[[#This Row],[Customer_ID]],customers__2[#All],3,0)</f>
        <v>East</v>
      </c>
      <c r="J615" t="str">
        <f>VLOOKUP(orders__17[[#This Row],[Customer_ID]],customers__2[#All],4,0)</f>
        <v>Home Office</v>
      </c>
      <c r="K615" t="str">
        <f>VLOOKUP(orders__17[[#This Row],[Product_ID]],products[#All],3,0)</f>
        <v>Furniture</v>
      </c>
      <c r="L615" s="1" t="str">
        <f>VLOOKUP(orders__17[[#This Row],[Product_ID]],products[#All],4,0)</f>
        <v>Desk</v>
      </c>
      <c r="M615" s="1" t="str">
        <f>VLOOKUP(orders__17[[#This Row],[Order_ID]],returns[#All],2,0)</f>
        <v>No</v>
      </c>
    </row>
    <row r="616" spans="1:13" x14ac:dyDescent="0.3">
      <c r="A616" s="1" t="s">
        <v>911</v>
      </c>
      <c r="B616" s="2">
        <v>45458</v>
      </c>
      <c r="C616" s="1" t="s">
        <v>129</v>
      </c>
      <c r="D616" s="1" t="s">
        <v>314</v>
      </c>
      <c r="E616">
        <v>1</v>
      </c>
      <c r="F616" s="4">
        <v>1374.39</v>
      </c>
      <c r="G616" s="3">
        <v>0.3</v>
      </c>
      <c r="H616" s="4">
        <v>331.68</v>
      </c>
      <c r="I616" t="str">
        <f>VLOOKUP(orders__17[[#This Row],[Customer_ID]],customers__2[#All],3,0)</f>
        <v>South</v>
      </c>
      <c r="J616" t="str">
        <f>VLOOKUP(orders__17[[#This Row],[Customer_ID]],customers__2[#All],4,0)</f>
        <v>Corporate</v>
      </c>
      <c r="K616" t="str">
        <f>VLOOKUP(orders__17[[#This Row],[Product_ID]],products[#All],3,0)</f>
        <v>Office Supplies</v>
      </c>
      <c r="L616" s="1" t="str">
        <f>VLOOKUP(orders__17[[#This Row],[Product_ID]],products[#All],4,0)</f>
        <v>Paper</v>
      </c>
      <c r="M616" s="1" t="str">
        <f>VLOOKUP(orders__17[[#This Row],[Order_ID]],returns[#All],2,0)</f>
        <v>No</v>
      </c>
    </row>
    <row r="617" spans="1:13" x14ac:dyDescent="0.3">
      <c r="A617" s="1" t="s">
        <v>912</v>
      </c>
      <c r="B617" s="2">
        <v>44772</v>
      </c>
      <c r="C617" s="1" t="s">
        <v>350</v>
      </c>
      <c r="D617" s="1" t="s">
        <v>31</v>
      </c>
      <c r="E617">
        <v>3</v>
      </c>
      <c r="F617" s="4">
        <v>1164.8399999999999</v>
      </c>
      <c r="G617" s="3">
        <v>0.3</v>
      </c>
      <c r="H617" s="4">
        <v>328.89</v>
      </c>
      <c r="I617" t="str">
        <f>VLOOKUP(orders__17[[#This Row],[Customer_ID]],customers__2[#All],3,0)</f>
        <v>West</v>
      </c>
      <c r="J617" t="str">
        <f>VLOOKUP(orders__17[[#This Row],[Customer_ID]],customers__2[#All],4,0)</f>
        <v>Corporate</v>
      </c>
      <c r="K617" t="str">
        <f>VLOOKUP(orders__17[[#This Row],[Product_ID]],products[#All],3,0)</f>
        <v>Furniture</v>
      </c>
      <c r="L617" s="1" t="str">
        <f>VLOOKUP(orders__17[[#This Row],[Product_ID]],products[#All],4,0)</f>
        <v>Chair</v>
      </c>
      <c r="M617" s="1" t="str">
        <f>VLOOKUP(orders__17[[#This Row],[Order_ID]],returns[#All],2,0)</f>
        <v>Yes</v>
      </c>
    </row>
    <row r="618" spans="1:13" x14ac:dyDescent="0.3">
      <c r="A618" s="1" t="s">
        <v>913</v>
      </c>
      <c r="B618" s="2">
        <v>44881</v>
      </c>
      <c r="C618" s="1" t="s">
        <v>136</v>
      </c>
      <c r="D618" s="1" t="s">
        <v>25</v>
      </c>
      <c r="E618">
        <v>4</v>
      </c>
      <c r="F618" s="4">
        <v>310.88</v>
      </c>
      <c r="G618" s="3">
        <v>0.2</v>
      </c>
      <c r="H618" s="4">
        <v>31.46</v>
      </c>
      <c r="I618" t="str">
        <f>VLOOKUP(orders__17[[#This Row],[Customer_ID]],customers__2[#All],3,0)</f>
        <v>West</v>
      </c>
      <c r="J618" t="str">
        <f>VLOOKUP(orders__17[[#This Row],[Customer_ID]],customers__2[#All],4,0)</f>
        <v>Consumer</v>
      </c>
      <c r="K618" t="str">
        <f>VLOOKUP(orders__17[[#This Row],[Product_ID]],products[#All],3,0)</f>
        <v>Office Supplies</v>
      </c>
      <c r="L618" s="1" t="str">
        <f>VLOOKUP(orders__17[[#This Row],[Product_ID]],products[#All],4,0)</f>
        <v>Paper</v>
      </c>
      <c r="M618" s="1" t="str">
        <f>VLOOKUP(orders__17[[#This Row],[Order_ID]],returns[#All],2,0)</f>
        <v>No</v>
      </c>
    </row>
    <row r="619" spans="1:13" x14ac:dyDescent="0.3">
      <c r="A619" s="1" t="s">
        <v>914</v>
      </c>
      <c r="B619" s="2">
        <v>45368</v>
      </c>
      <c r="C619" s="1" t="s">
        <v>334</v>
      </c>
      <c r="D619" s="1" t="s">
        <v>392</v>
      </c>
      <c r="E619">
        <v>2</v>
      </c>
      <c r="F619" s="4">
        <v>949.41</v>
      </c>
      <c r="G619" s="3">
        <v>0.2</v>
      </c>
      <c r="H619" s="4">
        <v>236.88</v>
      </c>
      <c r="I619" t="str">
        <f>VLOOKUP(orders__17[[#This Row],[Customer_ID]],customers__2[#All],3,0)</f>
        <v>East</v>
      </c>
      <c r="J619" t="str">
        <f>VLOOKUP(orders__17[[#This Row],[Customer_ID]],customers__2[#All],4,0)</f>
        <v>Consumer</v>
      </c>
      <c r="K619" t="str">
        <f>VLOOKUP(orders__17[[#This Row],[Product_ID]],products[#All],3,0)</f>
        <v>Furniture</v>
      </c>
      <c r="L619" s="1" t="str">
        <f>VLOOKUP(orders__17[[#This Row],[Product_ID]],products[#All],4,0)</f>
        <v>Desk</v>
      </c>
      <c r="M619" s="1" t="str">
        <f>VLOOKUP(orders__17[[#This Row],[Order_ID]],returns[#All],2,0)</f>
        <v>No</v>
      </c>
    </row>
    <row r="620" spans="1:13" x14ac:dyDescent="0.3">
      <c r="A620" s="1" t="s">
        <v>915</v>
      </c>
      <c r="B620" s="2">
        <v>44649</v>
      </c>
      <c r="C620" s="1" t="s">
        <v>56</v>
      </c>
      <c r="D620" s="1" t="s">
        <v>361</v>
      </c>
      <c r="E620">
        <v>4</v>
      </c>
      <c r="F620" s="4">
        <v>974.68</v>
      </c>
      <c r="G620" s="3">
        <v>0.1</v>
      </c>
      <c r="H620" s="4">
        <v>228.7</v>
      </c>
      <c r="I620" t="str">
        <f>VLOOKUP(orders__17[[#This Row],[Customer_ID]],customers__2[#All],3,0)</f>
        <v>South</v>
      </c>
      <c r="J620" t="str">
        <f>VLOOKUP(orders__17[[#This Row],[Customer_ID]],customers__2[#All],4,0)</f>
        <v>Consumer</v>
      </c>
      <c r="K620" t="str">
        <f>VLOOKUP(orders__17[[#This Row],[Product_ID]],products[#All],3,0)</f>
        <v>Furniture</v>
      </c>
      <c r="L620" s="1" t="str">
        <f>VLOOKUP(orders__17[[#This Row],[Product_ID]],products[#All],4,0)</f>
        <v>Shelf</v>
      </c>
      <c r="M620" s="1" t="str">
        <f>VLOOKUP(orders__17[[#This Row],[Order_ID]],returns[#All],2,0)</f>
        <v>Yes</v>
      </c>
    </row>
    <row r="621" spans="1:13" x14ac:dyDescent="0.3">
      <c r="A621" s="1" t="s">
        <v>916</v>
      </c>
      <c r="B621" s="2">
        <v>45134</v>
      </c>
      <c r="C621" s="1" t="s">
        <v>118</v>
      </c>
      <c r="D621" s="1" t="s">
        <v>258</v>
      </c>
      <c r="E621">
        <v>4</v>
      </c>
      <c r="F621" s="4">
        <v>1742.67</v>
      </c>
      <c r="G621" s="3">
        <v>0</v>
      </c>
      <c r="H621" s="4">
        <v>114.93</v>
      </c>
      <c r="I621" t="str">
        <f>VLOOKUP(orders__17[[#This Row],[Customer_ID]],customers__2[#All],3,0)</f>
        <v>North</v>
      </c>
      <c r="J621" t="str">
        <f>VLOOKUP(orders__17[[#This Row],[Customer_ID]],customers__2[#All],4,0)</f>
        <v>Consumer</v>
      </c>
      <c r="K621" t="str">
        <f>VLOOKUP(orders__17[[#This Row],[Product_ID]],products[#All],3,0)</f>
        <v>Technology</v>
      </c>
      <c r="L621" s="1" t="str">
        <f>VLOOKUP(orders__17[[#This Row],[Product_ID]],products[#All],4,0)</f>
        <v>Phone</v>
      </c>
      <c r="M621" s="1" t="str">
        <f>VLOOKUP(orders__17[[#This Row],[Order_ID]],returns[#All],2,0)</f>
        <v>No</v>
      </c>
    </row>
    <row r="622" spans="1:13" x14ac:dyDescent="0.3">
      <c r="A622" s="1" t="s">
        <v>917</v>
      </c>
      <c r="B622" s="2">
        <v>44916</v>
      </c>
      <c r="C622" s="1" t="s">
        <v>50</v>
      </c>
      <c r="D622" s="1" t="s">
        <v>283</v>
      </c>
      <c r="E622">
        <v>5</v>
      </c>
      <c r="F622" s="4">
        <v>1138.6300000000001</v>
      </c>
      <c r="G622" s="3">
        <v>0</v>
      </c>
      <c r="H622" s="4">
        <v>167.16</v>
      </c>
      <c r="I622" t="str">
        <f>VLOOKUP(orders__17[[#This Row],[Customer_ID]],customers__2[#All],3,0)</f>
        <v>East</v>
      </c>
      <c r="J622" t="str">
        <f>VLOOKUP(orders__17[[#This Row],[Customer_ID]],customers__2[#All],4,0)</f>
        <v>Corporate</v>
      </c>
      <c r="K622" t="str">
        <f>VLOOKUP(orders__17[[#This Row],[Product_ID]],products[#All],3,0)</f>
        <v>Furniture</v>
      </c>
      <c r="L622" s="1" t="str">
        <f>VLOOKUP(orders__17[[#This Row],[Product_ID]],products[#All],4,0)</f>
        <v>Chair</v>
      </c>
      <c r="M622" s="1" t="str">
        <f>VLOOKUP(orders__17[[#This Row],[Order_ID]],returns[#All],2,0)</f>
        <v>No</v>
      </c>
    </row>
    <row r="623" spans="1:13" x14ac:dyDescent="0.3">
      <c r="A623" s="1" t="s">
        <v>918</v>
      </c>
      <c r="B623" s="2">
        <v>45000</v>
      </c>
      <c r="C623" s="1" t="s">
        <v>709</v>
      </c>
      <c r="D623" s="1" t="s">
        <v>59</v>
      </c>
      <c r="E623">
        <v>2</v>
      </c>
      <c r="F623" s="4">
        <v>822.76</v>
      </c>
      <c r="G623" s="3">
        <v>0.3</v>
      </c>
      <c r="H623" s="4">
        <v>99.3</v>
      </c>
      <c r="I623" t="str">
        <f>VLOOKUP(orders__17[[#This Row],[Customer_ID]],customers__2[#All],3,0)</f>
        <v>East</v>
      </c>
      <c r="J623" t="str">
        <f>VLOOKUP(orders__17[[#This Row],[Customer_ID]],customers__2[#All],4,0)</f>
        <v>Home Office</v>
      </c>
      <c r="K623" t="str">
        <f>VLOOKUP(orders__17[[#This Row],[Product_ID]],products[#All],3,0)</f>
        <v>Office Supplies</v>
      </c>
      <c r="L623" s="1" t="str">
        <f>VLOOKUP(orders__17[[#This Row],[Product_ID]],products[#All],4,0)</f>
        <v>Paper</v>
      </c>
      <c r="M623" s="1" t="str">
        <f>VLOOKUP(orders__17[[#This Row],[Order_ID]],returns[#All],2,0)</f>
        <v>No</v>
      </c>
    </row>
    <row r="624" spans="1:13" x14ac:dyDescent="0.3">
      <c r="A624" s="1" t="s">
        <v>919</v>
      </c>
      <c r="B624" s="2">
        <v>45102</v>
      </c>
      <c r="C624" s="1" t="s">
        <v>744</v>
      </c>
      <c r="D624" s="1" t="s">
        <v>43</v>
      </c>
      <c r="E624">
        <v>4</v>
      </c>
      <c r="F624" s="4">
        <v>1955.92</v>
      </c>
      <c r="G624" s="3">
        <v>0.2</v>
      </c>
      <c r="H624" s="4">
        <v>246.69</v>
      </c>
      <c r="I624" t="str">
        <f>VLOOKUP(orders__17[[#This Row],[Customer_ID]],customers__2[#All],3,0)</f>
        <v>East</v>
      </c>
      <c r="J624" t="str">
        <f>VLOOKUP(orders__17[[#This Row],[Customer_ID]],customers__2[#All],4,0)</f>
        <v>Consumer</v>
      </c>
      <c r="K624" t="str">
        <f>VLOOKUP(orders__17[[#This Row],[Product_ID]],products[#All],3,0)</f>
        <v>Technology</v>
      </c>
      <c r="L624" s="1" t="str">
        <f>VLOOKUP(orders__17[[#This Row],[Product_ID]],products[#All],4,0)</f>
        <v>Tablet</v>
      </c>
      <c r="M624" s="1" t="str">
        <f>VLOOKUP(orders__17[[#This Row],[Order_ID]],returns[#All],2,0)</f>
        <v>No</v>
      </c>
    </row>
    <row r="625" spans="1:13" x14ac:dyDescent="0.3">
      <c r="A625" s="1" t="s">
        <v>920</v>
      </c>
      <c r="B625" s="2">
        <v>44920</v>
      </c>
      <c r="C625" s="1" t="s">
        <v>192</v>
      </c>
      <c r="D625" s="1" t="s">
        <v>502</v>
      </c>
      <c r="E625">
        <v>4</v>
      </c>
      <c r="F625" s="4">
        <v>310.37</v>
      </c>
      <c r="G625" s="3">
        <v>0.1</v>
      </c>
      <c r="H625" s="4">
        <v>91.79</v>
      </c>
      <c r="I625" t="str">
        <f>VLOOKUP(orders__17[[#This Row],[Customer_ID]],customers__2[#All],3,0)</f>
        <v>South</v>
      </c>
      <c r="J625" t="str">
        <f>VLOOKUP(orders__17[[#This Row],[Customer_ID]],customers__2[#All],4,0)</f>
        <v>Corporate</v>
      </c>
      <c r="K625" t="str">
        <f>VLOOKUP(orders__17[[#This Row],[Product_ID]],products[#All],3,0)</f>
        <v>Furniture</v>
      </c>
      <c r="L625" s="1" t="str">
        <f>VLOOKUP(orders__17[[#This Row],[Product_ID]],products[#All],4,0)</f>
        <v>Shelf</v>
      </c>
      <c r="M625" s="1" t="str">
        <f>VLOOKUP(orders__17[[#This Row],[Order_ID]],returns[#All],2,0)</f>
        <v>Yes</v>
      </c>
    </row>
    <row r="626" spans="1:13" x14ac:dyDescent="0.3">
      <c r="A626" s="1" t="s">
        <v>921</v>
      </c>
      <c r="B626" s="2">
        <v>45386</v>
      </c>
      <c r="C626" s="1" t="s">
        <v>723</v>
      </c>
      <c r="D626" s="1" t="s">
        <v>364</v>
      </c>
      <c r="E626">
        <v>2</v>
      </c>
      <c r="F626" s="4">
        <v>902.84</v>
      </c>
      <c r="G626" s="3">
        <v>0.1</v>
      </c>
      <c r="H626" s="4">
        <v>190.22</v>
      </c>
      <c r="I626" t="str">
        <f>VLOOKUP(orders__17[[#This Row],[Customer_ID]],customers__2[#All],3,0)</f>
        <v>North</v>
      </c>
      <c r="J626" t="str">
        <f>VLOOKUP(orders__17[[#This Row],[Customer_ID]],customers__2[#All],4,0)</f>
        <v>Home Office</v>
      </c>
      <c r="K626" t="str">
        <f>VLOOKUP(orders__17[[#This Row],[Product_ID]],products[#All],3,0)</f>
        <v>Technology</v>
      </c>
      <c r="L626" s="1" t="str">
        <f>VLOOKUP(orders__17[[#This Row],[Product_ID]],products[#All],4,0)</f>
        <v>Accessories</v>
      </c>
      <c r="M626" s="1" t="str">
        <f>VLOOKUP(orders__17[[#This Row],[Order_ID]],returns[#All],2,0)</f>
        <v>No</v>
      </c>
    </row>
    <row r="627" spans="1:13" x14ac:dyDescent="0.3">
      <c r="A627" s="1" t="s">
        <v>922</v>
      </c>
      <c r="B627" s="2">
        <v>44791</v>
      </c>
      <c r="C627" s="1" t="s">
        <v>47</v>
      </c>
      <c r="D627" s="1" t="s">
        <v>75</v>
      </c>
      <c r="E627">
        <v>2</v>
      </c>
      <c r="F627" s="4">
        <v>179.85</v>
      </c>
      <c r="G627" s="3">
        <v>0.1</v>
      </c>
      <c r="H627" s="4">
        <v>41.26</v>
      </c>
      <c r="I627" t="str">
        <f>VLOOKUP(orders__17[[#This Row],[Customer_ID]],customers__2[#All],3,0)</f>
        <v>West</v>
      </c>
      <c r="J627" t="str">
        <f>VLOOKUP(orders__17[[#This Row],[Customer_ID]],customers__2[#All],4,0)</f>
        <v>Consumer</v>
      </c>
      <c r="K627" t="str">
        <f>VLOOKUP(orders__17[[#This Row],[Product_ID]],products[#All],3,0)</f>
        <v>Technology</v>
      </c>
      <c r="L627" s="1" t="str">
        <f>VLOOKUP(orders__17[[#This Row],[Product_ID]],products[#All],4,0)</f>
        <v>Tablet</v>
      </c>
      <c r="M627" s="1" t="str">
        <f>VLOOKUP(orders__17[[#This Row],[Order_ID]],returns[#All],2,0)</f>
        <v>Yes</v>
      </c>
    </row>
    <row r="628" spans="1:13" x14ac:dyDescent="0.3">
      <c r="A628" s="1" t="s">
        <v>923</v>
      </c>
      <c r="B628" s="2">
        <v>44810</v>
      </c>
      <c r="C628" s="1" t="s">
        <v>58</v>
      </c>
      <c r="D628" s="1" t="s">
        <v>19</v>
      </c>
      <c r="E628">
        <v>4</v>
      </c>
      <c r="F628" s="4">
        <v>1505.82</v>
      </c>
      <c r="G628" s="3">
        <v>0.1</v>
      </c>
      <c r="H628" s="4">
        <v>442.94</v>
      </c>
      <c r="I628" t="str">
        <f>VLOOKUP(orders__17[[#This Row],[Customer_ID]],customers__2[#All],3,0)</f>
        <v>West</v>
      </c>
      <c r="J628" t="str">
        <f>VLOOKUP(orders__17[[#This Row],[Customer_ID]],customers__2[#All],4,0)</f>
        <v>Corporate</v>
      </c>
      <c r="K628" t="str">
        <f>VLOOKUP(orders__17[[#This Row],[Product_ID]],products[#All],3,0)</f>
        <v>Office Supplies</v>
      </c>
      <c r="L628" s="1" t="str">
        <f>VLOOKUP(orders__17[[#This Row],[Product_ID]],products[#All],4,0)</f>
        <v>Pen</v>
      </c>
      <c r="M628" s="1" t="str">
        <f>VLOOKUP(orders__17[[#This Row],[Order_ID]],returns[#All],2,0)</f>
        <v>No</v>
      </c>
    </row>
    <row r="629" spans="1:13" x14ac:dyDescent="0.3">
      <c r="A629" s="1" t="s">
        <v>924</v>
      </c>
      <c r="B629" s="2">
        <v>44838</v>
      </c>
      <c r="C629" s="1" t="s">
        <v>697</v>
      </c>
      <c r="D629" s="1" t="s">
        <v>43</v>
      </c>
      <c r="E629">
        <v>2</v>
      </c>
      <c r="F629" s="4">
        <v>1844.35</v>
      </c>
      <c r="G629" s="3">
        <v>0.1</v>
      </c>
      <c r="H629" s="4">
        <v>266.14</v>
      </c>
      <c r="I629" t="str">
        <f>VLOOKUP(orders__17[[#This Row],[Customer_ID]],customers__2[#All],3,0)</f>
        <v>South</v>
      </c>
      <c r="J629" t="str">
        <f>VLOOKUP(orders__17[[#This Row],[Customer_ID]],customers__2[#All],4,0)</f>
        <v>Corporate</v>
      </c>
      <c r="K629" t="str">
        <f>VLOOKUP(orders__17[[#This Row],[Product_ID]],products[#All],3,0)</f>
        <v>Technology</v>
      </c>
      <c r="L629" s="1" t="str">
        <f>VLOOKUP(orders__17[[#This Row],[Product_ID]],products[#All],4,0)</f>
        <v>Tablet</v>
      </c>
      <c r="M629" s="1" t="str">
        <f>VLOOKUP(orders__17[[#This Row],[Order_ID]],returns[#All],2,0)</f>
        <v>Yes</v>
      </c>
    </row>
    <row r="630" spans="1:13" x14ac:dyDescent="0.3">
      <c r="A630" s="1" t="s">
        <v>925</v>
      </c>
      <c r="B630" s="2">
        <v>45164</v>
      </c>
      <c r="C630" s="1" t="s">
        <v>228</v>
      </c>
      <c r="D630" s="1" t="s">
        <v>727</v>
      </c>
      <c r="E630">
        <v>4</v>
      </c>
      <c r="F630" s="4">
        <v>632.07000000000005</v>
      </c>
      <c r="G630" s="3">
        <v>0</v>
      </c>
      <c r="H630" s="4">
        <v>158.31</v>
      </c>
      <c r="I630" t="str">
        <f>VLOOKUP(orders__17[[#This Row],[Customer_ID]],customers__2[#All],3,0)</f>
        <v>North</v>
      </c>
      <c r="J630" t="str">
        <f>VLOOKUP(orders__17[[#This Row],[Customer_ID]],customers__2[#All],4,0)</f>
        <v>Consumer</v>
      </c>
      <c r="K630" t="str">
        <f>VLOOKUP(orders__17[[#This Row],[Product_ID]],products[#All],3,0)</f>
        <v>Furniture</v>
      </c>
      <c r="L630" s="1" t="str">
        <f>VLOOKUP(orders__17[[#This Row],[Product_ID]],products[#All],4,0)</f>
        <v>Chair</v>
      </c>
      <c r="M630" s="1" t="str">
        <f>VLOOKUP(orders__17[[#This Row],[Order_ID]],returns[#All],2,0)</f>
        <v>No</v>
      </c>
    </row>
    <row r="631" spans="1:13" x14ac:dyDescent="0.3">
      <c r="A631" s="1" t="s">
        <v>926</v>
      </c>
      <c r="B631" s="2">
        <v>45133</v>
      </c>
      <c r="C631" s="1" t="s">
        <v>927</v>
      </c>
      <c r="D631" s="1" t="s">
        <v>43</v>
      </c>
      <c r="E631">
        <v>4</v>
      </c>
      <c r="F631" s="4">
        <v>1730.85</v>
      </c>
      <c r="G631" s="3">
        <v>0</v>
      </c>
      <c r="H631" s="4">
        <v>274.57</v>
      </c>
      <c r="I631" t="str">
        <f>VLOOKUP(orders__17[[#This Row],[Customer_ID]],customers__2[#All],3,0)</f>
        <v>South</v>
      </c>
      <c r="J631" t="str">
        <f>VLOOKUP(orders__17[[#This Row],[Customer_ID]],customers__2[#All],4,0)</f>
        <v>Corporate</v>
      </c>
      <c r="K631" t="str">
        <f>VLOOKUP(orders__17[[#This Row],[Product_ID]],products[#All],3,0)</f>
        <v>Technology</v>
      </c>
      <c r="L631" s="1" t="str">
        <f>VLOOKUP(orders__17[[#This Row],[Product_ID]],products[#All],4,0)</f>
        <v>Tablet</v>
      </c>
      <c r="M631" s="1" t="str">
        <f>VLOOKUP(orders__17[[#This Row],[Order_ID]],returns[#All],2,0)</f>
        <v>No</v>
      </c>
    </row>
    <row r="632" spans="1:13" x14ac:dyDescent="0.3">
      <c r="A632" s="1" t="s">
        <v>928</v>
      </c>
      <c r="B632" s="2">
        <v>44973</v>
      </c>
      <c r="C632" s="1" t="s">
        <v>58</v>
      </c>
      <c r="D632" s="1" t="s">
        <v>141</v>
      </c>
      <c r="E632">
        <v>5</v>
      </c>
      <c r="F632" s="4">
        <v>655.21</v>
      </c>
      <c r="G632" s="3">
        <v>0</v>
      </c>
      <c r="H632" s="4">
        <v>175.19</v>
      </c>
      <c r="I632" t="str">
        <f>VLOOKUP(orders__17[[#This Row],[Customer_ID]],customers__2[#All],3,0)</f>
        <v>West</v>
      </c>
      <c r="J632" t="str">
        <f>VLOOKUP(orders__17[[#This Row],[Customer_ID]],customers__2[#All],4,0)</f>
        <v>Corporate</v>
      </c>
      <c r="K632" t="str">
        <f>VLOOKUP(orders__17[[#This Row],[Product_ID]],products[#All],3,0)</f>
        <v>Technology</v>
      </c>
      <c r="L632" s="1" t="str">
        <f>VLOOKUP(orders__17[[#This Row],[Product_ID]],products[#All],4,0)</f>
        <v>Phone</v>
      </c>
      <c r="M632" s="1" t="str">
        <f>VLOOKUP(orders__17[[#This Row],[Order_ID]],returns[#All],2,0)</f>
        <v>No</v>
      </c>
    </row>
    <row r="633" spans="1:13" x14ac:dyDescent="0.3">
      <c r="A633" s="1" t="s">
        <v>929</v>
      </c>
      <c r="B633" s="2">
        <v>45438</v>
      </c>
      <c r="C633" s="1" t="s">
        <v>208</v>
      </c>
      <c r="D633" s="1" t="s">
        <v>127</v>
      </c>
      <c r="E633">
        <v>1</v>
      </c>
      <c r="F633" s="4">
        <v>1830.46</v>
      </c>
      <c r="G633" s="3">
        <v>0.2</v>
      </c>
      <c r="H633" s="4">
        <v>174.19</v>
      </c>
      <c r="I633" t="str">
        <f>VLOOKUP(orders__17[[#This Row],[Customer_ID]],customers__2[#All],3,0)</f>
        <v>North</v>
      </c>
      <c r="J633" t="str">
        <f>VLOOKUP(orders__17[[#This Row],[Customer_ID]],customers__2[#All],4,0)</f>
        <v>Home Office</v>
      </c>
      <c r="K633" t="str">
        <f>VLOOKUP(orders__17[[#This Row],[Product_ID]],products[#All],3,0)</f>
        <v>Furniture</v>
      </c>
      <c r="L633" s="1" t="str">
        <f>VLOOKUP(orders__17[[#This Row],[Product_ID]],products[#All],4,0)</f>
        <v>Chair</v>
      </c>
      <c r="M633" s="1" t="str">
        <f>VLOOKUP(orders__17[[#This Row],[Order_ID]],returns[#All],2,0)</f>
        <v>No</v>
      </c>
    </row>
    <row r="634" spans="1:13" x14ac:dyDescent="0.3">
      <c r="A634" s="1" t="s">
        <v>930</v>
      </c>
      <c r="B634" s="2">
        <v>45417</v>
      </c>
      <c r="C634" s="1" t="s">
        <v>246</v>
      </c>
      <c r="D634" s="1" t="s">
        <v>263</v>
      </c>
      <c r="E634">
        <v>4</v>
      </c>
      <c r="F634" s="4">
        <v>1532.53</v>
      </c>
      <c r="G634" s="3">
        <v>0.3</v>
      </c>
      <c r="H634" s="4">
        <v>439.72</v>
      </c>
      <c r="I634" t="str">
        <f>VLOOKUP(orders__17[[#This Row],[Customer_ID]],customers__2[#All],3,0)</f>
        <v>West</v>
      </c>
      <c r="J634" t="str">
        <f>VLOOKUP(orders__17[[#This Row],[Customer_ID]],customers__2[#All],4,0)</f>
        <v>Home Office</v>
      </c>
      <c r="K634" t="str">
        <f>VLOOKUP(orders__17[[#This Row],[Product_ID]],products[#All],3,0)</f>
        <v>Office Supplies</v>
      </c>
      <c r="L634" s="1" t="str">
        <f>VLOOKUP(orders__17[[#This Row],[Product_ID]],products[#All],4,0)</f>
        <v>Storage</v>
      </c>
      <c r="M634" s="1" t="str">
        <f>VLOOKUP(orders__17[[#This Row],[Order_ID]],returns[#All],2,0)</f>
        <v>No</v>
      </c>
    </row>
    <row r="635" spans="1:13" x14ac:dyDescent="0.3">
      <c r="A635" s="1" t="s">
        <v>931</v>
      </c>
      <c r="B635" s="2">
        <v>44977</v>
      </c>
      <c r="C635" s="1" t="s">
        <v>169</v>
      </c>
      <c r="D635" s="1" t="s">
        <v>372</v>
      </c>
      <c r="E635">
        <v>3</v>
      </c>
      <c r="F635" s="4">
        <v>1629.32</v>
      </c>
      <c r="G635" s="3">
        <v>0.1</v>
      </c>
      <c r="H635" s="4">
        <v>170.58</v>
      </c>
      <c r="I635" t="str">
        <f>VLOOKUP(orders__17[[#This Row],[Customer_ID]],customers__2[#All],3,0)</f>
        <v>East</v>
      </c>
      <c r="J635" t="str">
        <f>VLOOKUP(orders__17[[#This Row],[Customer_ID]],customers__2[#All],4,0)</f>
        <v>Home Office</v>
      </c>
      <c r="K635" t="str">
        <f>VLOOKUP(orders__17[[#This Row],[Product_ID]],products[#All],3,0)</f>
        <v>Furniture</v>
      </c>
      <c r="L635" s="1" t="str">
        <f>VLOOKUP(orders__17[[#This Row],[Product_ID]],products[#All],4,0)</f>
        <v>Shelf</v>
      </c>
      <c r="M635" s="1" t="str">
        <f>VLOOKUP(orders__17[[#This Row],[Order_ID]],returns[#All],2,0)</f>
        <v>Yes</v>
      </c>
    </row>
    <row r="636" spans="1:13" x14ac:dyDescent="0.3">
      <c r="A636" s="1" t="s">
        <v>932</v>
      </c>
      <c r="B636" s="2">
        <v>45291</v>
      </c>
      <c r="C636" s="1" t="s">
        <v>203</v>
      </c>
      <c r="D636" s="1" t="s">
        <v>296</v>
      </c>
      <c r="E636">
        <v>1</v>
      </c>
      <c r="F636" s="4">
        <v>134.21</v>
      </c>
      <c r="G636" s="3">
        <v>0.2</v>
      </c>
      <c r="H636" s="4">
        <v>17.66</v>
      </c>
      <c r="I636" t="str">
        <f>VLOOKUP(orders__17[[#This Row],[Customer_ID]],customers__2[#All],3,0)</f>
        <v>West</v>
      </c>
      <c r="J636" t="str">
        <f>VLOOKUP(orders__17[[#This Row],[Customer_ID]],customers__2[#All],4,0)</f>
        <v>Corporate</v>
      </c>
      <c r="K636" t="str">
        <f>VLOOKUP(orders__17[[#This Row],[Product_ID]],products[#All],3,0)</f>
        <v>Technology</v>
      </c>
      <c r="L636" s="1" t="str">
        <f>VLOOKUP(orders__17[[#This Row],[Product_ID]],products[#All],4,0)</f>
        <v>Accessories</v>
      </c>
      <c r="M636" s="1" t="str">
        <f>VLOOKUP(orders__17[[#This Row],[Order_ID]],returns[#All],2,0)</f>
        <v>No</v>
      </c>
    </row>
    <row r="637" spans="1:13" x14ac:dyDescent="0.3">
      <c r="A637" s="1" t="s">
        <v>933</v>
      </c>
      <c r="B637" s="2">
        <v>44627</v>
      </c>
      <c r="C637" s="1" t="s">
        <v>588</v>
      </c>
      <c r="D637" s="1" t="s">
        <v>89</v>
      </c>
      <c r="E637">
        <v>1</v>
      </c>
      <c r="F637" s="4">
        <v>1929.34</v>
      </c>
      <c r="G637" s="3">
        <v>0.1</v>
      </c>
      <c r="H637" s="4">
        <v>461.2</v>
      </c>
      <c r="I637" t="str">
        <f>VLOOKUP(orders__17[[#This Row],[Customer_ID]],customers__2[#All],3,0)</f>
        <v>South</v>
      </c>
      <c r="J637" t="str">
        <f>VLOOKUP(orders__17[[#This Row],[Customer_ID]],customers__2[#All],4,0)</f>
        <v>Home Office</v>
      </c>
      <c r="K637" t="str">
        <f>VLOOKUP(orders__17[[#This Row],[Product_ID]],products[#All],3,0)</f>
        <v>Technology</v>
      </c>
      <c r="L637" s="1" t="str">
        <f>VLOOKUP(orders__17[[#This Row],[Product_ID]],products[#All],4,0)</f>
        <v>Phone</v>
      </c>
      <c r="M637" s="1" t="str">
        <f>VLOOKUP(orders__17[[#This Row],[Order_ID]],returns[#All],2,0)</f>
        <v>No</v>
      </c>
    </row>
    <row r="638" spans="1:13" x14ac:dyDescent="0.3">
      <c r="A638" s="1" t="s">
        <v>934</v>
      </c>
      <c r="B638" s="2">
        <v>44960</v>
      </c>
      <c r="C638" s="1" t="s">
        <v>466</v>
      </c>
      <c r="D638" s="1" t="s">
        <v>83</v>
      </c>
      <c r="E638">
        <v>1</v>
      </c>
      <c r="F638" s="4">
        <v>1480.67</v>
      </c>
      <c r="G638" s="3">
        <v>0</v>
      </c>
      <c r="H638" s="4">
        <v>219.79</v>
      </c>
      <c r="I638" t="str">
        <f>VLOOKUP(orders__17[[#This Row],[Customer_ID]],customers__2[#All],3,0)</f>
        <v>South</v>
      </c>
      <c r="J638" t="str">
        <f>VLOOKUP(orders__17[[#This Row],[Customer_ID]],customers__2[#All],4,0)</f>
        <v>Home Office</v>
      </c>
      <c r="K638" t="str">
        <f>VLOOKUP(orders__17[[#This Row],[Product_ID]],products[#All],3,0)</f>
        <v>Furniture</v>
      </c>
      <c r="L638" s="1" t="str">
        <f>VLOOKUP(orders__17[[#This Row],[Product_ID]],products[#All],4,0)</f>
        <v>Table</v>
      </c>
      <c r="M638" s="1" t="str">
        <f>VLOOKUP(orders__17[[#This Row],[Order_ID]],returns[#All],2,0)</f>
        <v>Yes</v>
      </c>
    </row>
    <row r="639" spans="1:13" x14ac:dyDescent="0.3">
      <c r="A639" s="1" t="s">
        <v>935</v>
      </c>
      <c r="B639" s="2">
        <v>45362</v>
      </c>
      <c r="C639" s="1" t="s">
        <v>179</v>
      </c>
      <c r="D639" s="1" t="s">
        <v>455</v>
      </c>
      <c r="E639">
        <v>5</v>
      </c>
      <c r="F639" s="4">
        <v>679.03</v>
      </c>
      <c r="G639" s="3">
        <v>0.2</v>
      </c>
      <c r="H639" s="4">
        <v>137.19999999999999</v>
      </c>
      <c r="I639" t="str">
        <f>VLOOKUP(orders__17[[#This Row],[Customer_ID]],customers__2[#All],3,0)</f>
        <v>North</v>
      </c>
      <c r="J639" t="str">
        <f>VLOOKUP(orders__17[[#This Row],[Customer_ID]],customers__2[#All],4,0)</f>
        <v>Consumer</v>
      </c>
      <c r="K639" t="str">
        <f>VLOOKUP(orders__17[[#This Row],[Product_ID]],products[#All],3,0)</f>
        <v>Furniture</v>
      </c>
      <c r="L639" s="1" t="str">
        <f>VLOOKUP(orders__17[[#This Row],[Product_ID]],products[#All],4,0)</f>
        <v>Shelf</v>
      </c>
      <c r="M639" s="1" t="str">
        <f>VLOOKUP(orders__17[[#This Row],[Order_ID]],returns[#All],2,0)</f>
        <v>No</v>
      </c>
    </row>
    <row r="640" spans="1:13" x14ac:dyDescent="0.3">
      <c r="A640" s="1" t="s">
        <v>936</v>
      </c>
      <c r="B640" s="2">
        <v>45412</v>
      </c>
      <c r="C640" s="1" t="s">
        <v>605</v>
      </c>
      <c r="D640" s="1" t="s">
        <v>226</v>
      </c>
      <c r="E640">
        <v>4</v>
      </c>
      <c r="F640" s="4">
        <v>1675.85</v>
      </c>
      <c r="G640" s="3">
        <v>0</v>
      </c>
      <c r="H640" s="4">
        <v>270.05</v>
      </c>
      <c r="I640" t="str">
        <f>VLOOKUP(orders__17[[#This Row],[Customer_ID]],customers__2[#All],3,0)</f>
        <v>West</v>
      </c>
      <c r="J640" t="str">
        <f>VLOOKUP(orders__17[[#This Row],[Customer_ID]],customers__2[#All],4,0)</f>
        <v>Corporate</v>
      </c>
      <c r="K640" t="str">
        <f>VLOOKUP(orders__17[[#This Row],[Product_ID]],products[#All],3,0)</f>
        <v>Technology</v>
      </c>
      <c r="L640" s="1" t="str">
        <f>VLOOKUP(orders__17[[#This Row],[Product_ID]],products[#All],4,0)</f>
        <v>Laptop</v>
      </c>
      <c r="M640" s="1" t="str">
        <f>VLOOKUP(orders__17[[#This Row],[Order_ID]],returns[#All],2,0)</f>
        <v>No</v>
      </c>
    </row>
    <row r="641" spans="1:13" x14ac:dyDescent="0.3">
      <c r="A641" s="1" t="s">
        <v>937</v>
      </c>
      <c r="B641" s="2">
        <v>44687</v>
      </c>
      <c r="C641" s="1" t="s">
        <v>27</v>
      </c>
      <c r="D641" s="1" t="s">
        <v>341</v>
      </c>
      <c r="E641">
        <v>5</v>
      </c>
      <c r="F641" s="4">
        <v>634.89</v>
      </c>
      <c r="G641" s="3">
        <v>0.1</v>
      </c>
      <c r="H641" s="4">
        <v>149.58000000000001</v>
      </c>
      <c r="I641" t="str">
        <f>VLOOKUP(orders__17[[#This Row],[Customer_ID]],customers__2[#All],3,0)</f>
        <v>North</v>
      </c>
      <c r="J641" t="str">
        <f>VLOOKUP(orders__17[[#This Row],[Customer_ID]],customers__2[#All],4,0)</f>
        <v>Consumer</v>
      </c>
      <c r="K641" t="str">
        <f>VLOOKUP(orders__17[[#This Row],[Product_ID]],products[#All],3,0)</f>
        <v>Technology</v>
      </c>
      <c r="L641" s="1" t="str">
        <f>VLOOKUP(orders__17[[#This Row],[Product_ID]],products[#All],4,0)</f>
        <v>Phone</v>
      </c>
      <c r="M641" s="1" t="str">
        <f>VLOOKUP(orders__17[[#This Row],[Order_ID]],returns[#All],2,0)</f>
        <v>No</v>
      </c>
    </row>
    <row r="642" spans="1:13" x14ac:dyDescent="0.3">
      <c r="A642" s="1" t="s">
        <v>938</v>
      </c>
      <c r="B642" s="2">
        <v>44695</v>
      </c>
      <c r="C642" s="1" t="s">
        <v>244</v>
      </c>
      <c r="D642" s="1" t="s">
        <v>92</v>
      </c>
      <c r="E642">
        <v>4</v>
      </c>
      <c r="F642" s="4">
        <v>1758.23</v>
      </c>
      <c r="G642" s="3">
        <v>0.1</v>
      </c>
      <c r="H642" s="4">
        <v>188.28</v>
      </c>
      <c r="I642" t="str">
        <f>VLOOKUP(orders__17[[#This Row],[Customer_ID]],customers__2[#All],3,0)</f>
        <v>South</v>
      </c>
      <c r="J642" t="str">
        <f>VLOOKUP(orders__17[[#This Row],[Customer_ID]],customers__2[#All],4,0)</f>
        <v>Corporate</v>
      </c>
      <c r="K642" t="str">
        <f>VLOOKUP(orders__17[[#This Row],[Product_ID]],products[#All],3,0)</f>
        <v>Furniture</v>
      </c>
      <c r="L642" s="1" t="str">
        <f>VLOOKUP(orders__17[[#This Row],[Product_ID]],products[#All],4,0)</f>
        <v>Shelf</v>
      </c>
      <c r="M642" s="1" t="str">
        <f>VLOOKUP(orders__17[[#This Row],[Order_ID]],returns[#All],2,0)</f>
        <v>No</v>
      </c>
    </row>
    <row r="643" spans="1:13" x14ac:dyDescent="0.3">
      <c r="A643" s="1" t="s">
        <v>939</v>
      </c>
      <c r="B643" s="2">
        <v>44612</v>
      </c>
      <c r="C643" s="1" t="s">
        <v>526</v>
      </c>
      <c r="D643" s="1" t="s">
        <v>139</v>
      </c>
      <c r="E643">
        <v>5</v>
      </c>
      <c r="F643" s="4">
        <v>313.89999999999998</v>
      </c>
      <c r="G643" s="3">
        <v>0.3</v>
      </c>
      <c r="H643" s="4">
        <v>20.28</v>
      </c>
      <c r="I643" t="str">
        <f>VLOOKUP(orders__17[[#This Row],[Customer_ID]],customers__2[#All],3,0)</f>
        <v>West</v>
      </c>
      <c r="J643" t="str">
        <f>VLOOKUP(orders__17[[#This Row],[Customer_ID]],customers__2[#All],4,0)</f>
        <v>Corporate</v>
      </c>
      <c r="K643" t="str">
        <f>VLOOKUP(orders__17[[#This Row],[Product_ID]],products[#All],3,0)</f>
        <v>Furniture</v>
      </c>
      <c r="L643" s="1" t="str">
        <f>VLOOKUP(orders__17[[#This Row],[Product_ID]],products[#All],4,0)</f>
        <v>Table</v>
      </c>
      <c r="M643" s="1" t="str">
        <f>VLOOKUP(orders__17[[#This Row],[Order_ID]],returns[#All],2,0)</f>
        <v>No</v>
      </c>
    </row>
    <row r="644" spans="1:13" x14ac:dyDescent="0.3">
      <c r="A644" s="1" t="s">
        <v>940</v>
      </c>
      <c r="B644" s="2">
        <v>45297</v>
      </c>
      <c r="C644" s="1" t="s">
        <v>121</v>
      </c>
      <c r="D644" s="1" t="s">
        <v>603</v>
      </c>
      <c r="E644">
        <v>5</v>
      </c>
      <c r="F644" s="4">
        <v>1437</v>
      </c>
      <c r="G644" s="3">
        <v>0.1</v>
      </c>
      <c r="H644" s="4">
        <v>179.6</v>
      </c>
      <c r="I644" t="str">
        <f>VLOOKUP(orders__17[[#This Row],[Customer_ID]],customers__2[#All],3,0)</f>
        <v>East</v>
      </c>
      <c r="J644" t="str">
        <f>VLOOKUP(orders__17[[#This Row],[Customer_ID]],customers__2[#All],4,0)</f>
        <v>Corporate</v>
      </c>
      <c r="K644" t="str">
        <f>VLOOKUP(orders__17[[#This Row],[Product_ID]],products[#All],3,0)</f>
        <v>Technology</v>
      </c>
      <c r="L644" s="1" t="str">
        <f>VLOOKUP(orders__17[[#This Row],[Product_ID]],products[#All],4,0)</f>
        <v>Accessories</v>
      </c>
      <c r="M644" s="1" t="str">
        <f>VLOOKUP(orders__17[[#This Row],[Order_ID]],returns[#All],2,0)</f>
        <v>No</v>
      </c>
    </row>
    <row r="645" spans="1:13" x14ac:dyDescent="0.3">
      <c r="A645" s="1" t="s">
        <v>941</v>
      </c>
      <c r="B645" s="2">
        <v>45421</v>
      </c>
      <c r="C645" s="1" t="s">
        <v>442</v>
      </c>
      <c r="D645" s="1" t="s">
        <v>13</v>
      </c>
      <c r="E645">
        <v>3</v>
      </c>
      <c r="F645" s="4">
        <v>1127.33</v>
      </c>
      <c r="G645" s="3">
        <v>0</v>
      </c>
      <c r="H645" s="4">
        <v>190.04</v>
      </c>
      <c r="I645" t="str">
        <f>VLOOKUP(orders__17[[#This Row],[Customer_ID]],customers__2[#All],3,0)</f>
        <v>North</v>
      </c>
      <c r="J645" t="str">
        <f>VLOOKUP(orders__17[[#This Row],[Customer_ID]],customers__2[#All],4,0)</f>
        <v>Consumer</v>
      </c>
      <c r="K645" t="str">
        <f>VLOOKUP(orders__17[[#This Row],[Product_ID]],products[#All],3,0)</f>
        <v>Furniture</v>
      </c>
      <c r="L645" s="1" t="str">
        <f>VLOOKUP(orders__17[[#This Row],[Product_ID]],products[#All],4,0)</f>
        <v>Desk</v>
      </c>
      <c r="M645" s="1" t="str">
        <f>VLOOKUP(orders__17[[#This Row],[Order_ID]],returns[#All],2,0)</f>
        <v>No</v>
      </c>
    </row>
    <row r="646" spans="1:13" x14ac:dyDescent="0.3">
      <c r="A646" s="1" t="s">
        <v>942</v>
      </c>
      <c r="B646" s="2">
        <v>44970</v>
      </c>
      <c r="C646" s="1" t="s">
        <v>607</v>
      </c>
      <c r="D646" s="1" t="s">
        <v>296</v>
      </c>
      <c r="E646">
        <v>5</v>
      </c>
      <c r="F646" s="4">
        <v>283.42</v>
      </c>
      <c r="G646" s="3">
        <v>0.1</v>
      </c>
      <c r="H646" s="4">
        <v>26.08</v>
      </c>
      <c r="I646" t="str">
        <f>VLOOKUP(orders__17[[#This Row],[Customer_ID]],customers__2[#All],3,0)</f>
        <v>East</v>
      </c>
      <c r="J646" t="str">
        <f>VLOOKUP(orders__17[[#This Row],[Customer_ID]],customers__2[#All],4,0)</f>
        <v>Consumer</v>
      </c>
      <c r="K646" t="str">
        <f>VLOOKUP(orders__17[[#This Row],[Product_ID]],products[#All],3,0)</f>
        <v>Technology</v>
      </c>
      <c r="L646" s="1" t="str">
        <f>VLOOKUP(orders__17[[#This Row],[Product_ID]],products[#All],4,0)</f>
        <v>Accessories</v>
      </c>
      <c r="M646" s="1" t="str">
        <f>VLOOKUP(orders__17[[#This Row],[Order_ID]],returns[#All],2,0)</f>
        <v>Yes</v>
      </c>
    </row>
    <row r="647" spans="1:13" x14ac:dyDescent="0.3">
      <c r="A647" s="1" t="s">
        <v>943</v>
      </c>
      <c r="B647" s="2">
        <v>44680</v>
      </c>
      <c r="C647" s="1" t="s">
        <v>74</v>
      </c>
      <c r="D647" s="1" t="s">
        <v>451</v>
      </c>
      <c r="E647">
        <v>2</v>
      </c>
      <c r="F647" s="4">
        <v>559.6</v>
      </c>
      <c r="G647" s="3">
        <v>0.3</v>
      </c>
      <c r="H647" s="4">
        <v>77.62</v>
      </c>
      <c r="I647" t="str">
        <f>VLOOKUP(orders__17[[#This Row],[Customer_ID]],customers__2[#All],3,0)</f>
        <v>North</v>
      </c>
      <c r="J647" t="str">
        <f>VLOOKUP(orders__17[[#This Row],[Customer_ID]],customers__2[#All],4,0)</f>
        <v>Consumer</v>
      </c>
      <c r="K647" t="str">
        <f>VLOOKUP(orders__17[[#This Row],[Product_ID]],products[#All],3,0)</f>
        <v>Technology</v>
      </c>
      <c r="L647" s="1" t="str">
        <f>VLOOKUP(orders__17[[#This Row],[Product_ID]],products[#All],4,0)</f>
        <v>Laptop</v>
      </c>
      <c r="M647" s="1" t="str">
        <f>VLOOKUP(orders__17[[#This Row],[Order_ID]],returns[#All],2,0)</f>
        <v>No</v>
      </c>
    </row>
    <row r="648" spans="1:13" x14ac:dyDescent="0.3">
      <c r="A648" s="1" t="s">
        <v>944</v>
      </c>
      <c r="B648" s="2">
        <v>45080</v>
      </c>
      <c r="C648" s="1" t="s">
        <v>145</v>
      </c>
      <c r="D648" s="1" t="s">
        <v>364</v>
      </c>
      <c r="E648">
        <v>3</v>
      </c>
      <c r="F648" s="4">
        <v>123.57</v>
      </c>
      <c r="G648" s="3">
        <v>0.3</v>
      </c>
      <c r="H648" s="4">
        <v>18.53</v>
      </c>
      <c r="I648" t="str">
        <f>VLOOKUP(orders__17[[#This Row],[Customer_ID]],customers__2[#All],3,0)</f>
        <v>West</v>
      </c>
      <c r="J648" t="str">
        <f>VLOOKUP(orders__17[[#This Row],[Customer_ID]],customers__2[#All],4,0)</f>
        <v>Corporate</v>
      </c>
      <c r="K648" t="str">
        <f>VLOOKUP(orders__17[[#This Row],[Product_ID]],products[#All],3,0)</f>
        <v>Technology</v>
      </c>
      <c r="L648" s="1" t="str">
        <f>VLOOKUP(orders__17[[#This Row],[Product_ID]],products[#All],4,0)</f>
        <v>Accessories</v>
      </c>
      <c r="M648" s="1" t="str">
        <f>VLOOKUP(orders__17[[#This Row],[Order_ID]],returns[#All],2,0)</f>
        <v>No</v>
      </c>
    </row>
    <row r="649" spans="1:13" x14ac:dyDescent="0.3">
      <c r="A649" s="1" t="s">
        <v>945</v>
      </c>
      <c r="B649" s="2">
        <v>45187</v>
      </c>
      <c r="C649" s="1" t="s">
        <v>946</v>
      </c>
      <c r="D649" s="1" t="s">
        <v>72</v>
      </c>
      <c r="E649">
        <v>5</v>
      </c>
      <c r="F649" s="4">
        <v>990.66</v>
      </c>
      <c r="G649" s="3">
        <v>0</v>
      </c>
      <c r="H649" s="4">
        <v>63.75</v>
      </c>
      <c r="I649" t="str">
        <f>VLOOKUP(orders__17[[#This Row],[Customer_ID]],customers__2[#All],3,0)</f>
        <v>South</v>
      </c>
      <c r="J649" t="str">
        <f>VLOOKUP(orders__17[[#This Row],[Customer_ID]],customers__2[#All],4,0)</f>
        <v>Corporate</v>
      </c>
      <c r="K649" t="str">
        <f>VLOOKUP(orders__17[[#This Row],[Product_ID]],products[#All],3,0)</f>
        <v>Furniture</v>
      </c>
      <c r="L649" s="1" t="str">
        <f>VLOOKUP(orders__17[[#This Row],[Product_ID]],products[#All],4,0)</f>
        <v>Chair</v>
      </c>
      <c r="M649" s="1" t="str">
        <f>VLOOKUP(orders__17[[#This Row],[Order_ID]],returns[#All],2,0)</f>
        <v>No</v>
      </c>
    </row>
    <row r="650" spans="1:13" x14ac:dyDescent="0.3">
      <c r="A650" s="1" t="s">
        <v>947</v>
      </c>
      <c r="B650" s="2">
        <v>44791</v>
      </c>
      <c r="C650" s="1" t="s">
        <v>406</v>
      </c>
      <c r="D650" s="1" t="s">
        <v>59</v>
      </c>
      <c r="E650">
        <v>1</v>
      </c>
      <c r="F650" s="4">
        <v>672.4</v>
      </c>
      <c r="G650" s="3">
        <v>0.2</v>
      </c>
      <c r="H650" s="4">
        <v>131.66999999999999</v>
      </c>
      <c r="I650" t="str">
        <f>VLOOKUP(orders__17[[#This Row],[Customer_ID]],customers__2[#All],3,0)</f>
        <v>East</v>
      </c>
      <c r="J650" t="str">
        <f>VLOOKUP(orders__17[[#This Row],[Customer_ID]],customers__2[#All],4,0)</f>
        <v>Home Office</v>
      </c>
      <c r="K650" t="str">
        <f>VLOOKUP(orders__17[[#This Row],[Product_ID]],products[#All],3,0)</f>
        <v>Office Supplies</v>
      </c>
      <c r="L650" s="1" t="str">
        <f>VLOOKUP(orders__17[[#This Row],[Product_ID]],products[#All],4,0)</f>
        <v>Paper</v>
      </c>
      <c r="M650" s="1" t="str">
        <f>VLOOKUP(orders__17[[#This Row],[Order_ID]],returns[#All],2,0)</f>
        <v>No</v>
      </c>
    </row>
    <row r="651" spans="1:13" x14ac:dyDescent="0.3">
      <c r="A651" s="1" t="s">
        <v>948</v>
      </c>
      <c r="B651" s="2">
        <v>45095</v>
      </c>
      <c r="C651" s="1" t="s">
        <v>129</v>
      </c>
      <c r="D651" s="1" t="s">
        <v>239</v>
      </c>
      <c r="E651">
        <v>2</v>
      </c>
      <c r="F651" s="4">
        <v>1236.8800000000001</v>
      </c>
      <c r="G651" s="3">
        <v>0.1</v>
      </c>
      <c r="H651" s="4">
        <v>335.3</v>
      </c>
      <c r="I651" t="str">
        <f>VLOOKUP(orders__17[[#This Row],[Customer_ID]],customers__2[#All],3,0)</f>
        <v>South</v>
      </c>
      <c r="J651" t="str">
        <f>VLOOKUP(orders__17[[#This Row],[Customer_ID]],customers__2[#All],4,0)</f>
        <v>Corporate</v>
      </c>
      <c r="K651" t="str">
        <f>VLOOKUP(orders__17[[#This Row],[Product_ID]],products[#All],3,0)</f>
        <v>Furniture</v>
      </c>
      <c r="L651" s="1" t="str">
        <f>VLOOKUP(orders__17[[#This Row],[Product_ID]],products[#All],4,0)</f>
        <v>Shelf</v>
      </c>
      <c r="M651" s="1" t="str">
        <f>VLOOKUP(orders__17[[#This Row],[Order_ID]],returns[#All],2,0)</f>
        <v>Yes</v>
      </c>
    </row>
    <row r="652" spans="1:13" x14ac:dyDescent="0.3">
      <c r="A652" s="1" t="s">
        <v>949</v>
      </c>
      <c r="B652" s="2">
        <v>44983</v>
      </c>
      <c r="C652" s="1" t="s">
        <v>388</v>
      </c>
      <c r="D652" s="1" t="s">
        <v>226</v>
      </c>
      <c r="E652">
        <v>2</v>
      </c>
      <c r="F652" s="4">
        <v>664.75</v>
      </c>
      <c r="G652" s="3">
        <v>0.3</v>
      </c>
      <c r="H652" s="4">
        <v>58.46</v>
      </c>
      <c r="I652" t="str">
        <f>VLOOKUP(orders__17[[#This Row],[Customer_ID]],customers__2[#All],3,0)</f>
        <v>East</v>
      </c>
      <c r="J652" t="str">
        <f>VLOOKUP(orders__17[[#This Row],[Customer_ID]],customers__2[#All],4,0)</f>
        <v>Home Office</v>
      </c>
      <c r="K652" t="str">
        <f>VLOOKUP(orders__17[[#This Row],[Product_ID]],products[#All],3,0)</f>
        <v>Technology</v>
      </c>
      <c r="L652" s="1" t="str">
        <f>VLOOKUP(orders__17[[#This Row],[Product_ID]],products[#All],4,0)</f>
        <v>Laptop</v>
      </c>
      <c r="M652" s="1" t="str">
        <f>VLOOKUP(orders__17[[#This Row],[Order_ID]],returns[#All],2,0)</f>
        <v>No</v>
      </c>
    </row>
    <row r="653" spans="1:13" x14ac:dyDescent="0.3">
      <c r="A653" s="1" t="s">
        <v>950</v>
      </c>
      <c r="B653" s="2">
        <v>45228</v>
      </c>
      <c r="C653" s="1" t="s">
        <v>360</v>
      </c>
      <c r="D653" s="1" t="s">
        <v>34</v>
      </c>
      <c r="E653">
        <v>2</v>
      </c>
      <c r="F653" s="4">
        <v>669.85</v>
      </c>
      <c r="G653" s="3">
        <v>0.1</v>
      </c>
      <c r="H653" s="4">
        <v>133.6</v>
      </c>
      <c r="I653" t="str">
        <f>VLOOKUP(orders__17[[#This Row],[Customer_ID]],customers__2[#All],3,0)</f>
        <v>South</v>
      </c>
      <c r="J653" t="str">
        <f>VLOOKUP(orders__17[[#This Row],[Customer_ID]],customers__2[#All],4,0)</f>
        <v>Home Office</v>
      </c>
      <c r="K653" t="str">
        <f>VLOOKUP(orders__17[[#This Row],[Product_ID]],products[#All],3,0)</f>
        <v>Furniture</v>
      </c>
      <c r="L653" s="1" t="str">
        <f>VLOOKUP(orders__17[[#This Row],[Product_ID]],products[#All],4,0)</f>
        <v>Table</v>
      </c>
      <c r="M653" s="1" t="str">
        <f>VLOOKUP(orders__17[[#This Row],[Order_ID]],returns[#All],2,0)</f>
        <v>No</v>
      </c>
    </row>
    <row r="654" spans="1:13" x14ac:dyDescent="0.3">
      <c r="A654" s="1" t="s">
        <v>951</v>
      </c>
      <c r="B654" s="2">
        <v>45240</v>
      </c>
      <c r="C654" s="1" t="s">
        <v>526</v>
      </c>
      <c r="D654" s="1" t="s">
        <v>341</v>
      </c>
      <c r="E654">
        <v>3</v>
      </c>
      <c r="F654" s="4">
        <v>1512.07</v>
      </c>
      <c r="G654" s="3">
        <v>0.1</v>
      </c>
      <c r="H654" s="4">
        <v>326.89</v>
      </c>
      <c r="I654" t="str">
        <f>VLOOKUP(orders__17[[#This Row],[Customer_ID]],customers__2[#All],3,0)</f>
        <v>West</v>
      </c>
      <c r="J654" t="str">
        <f>VLOOKUP(orders__17[[#This Row],[Customer_ID]],customers__2[#All],4,0)</f>
        <v>Corporate</v>
      </c>
      <c r="K654" t="str">
        <f>VLOOKUP(orders__17[[#This Row],[Product_ID]],products[#All],3,0)</f>
        <v>Technology</v>
      </c>
      <c r="L654" s="1" t="str">
        <f>VLOOKUP(orders__17[[#This Row],[Product_ID]],products[#All],4,0)</f>
        <v>Phone</v>
      </c>
      <c r="M654" s="1" t="str">
        <f>VLOOKUP(orders__17[[#This Row],[Order_ID]],returns[#All],2,0)</f>
        <v>Yes</v>
      </c>
    </row>
    <row r="655" spans="1:13" x14ac:dyDescent="0.3">
      <c r="A655" s="1" t="s">
        <v>952</v>
      </c>
      <c r="B655" s="2">
        <v>45131</v>
      </c>
      <c r="C655" s="1" t="s">
        <v>347</v>
      </c>
      <c r="D655" s="1" t="s">
        <v>16</v>
      </c>
      <c r="E655">
        <v>5</v>
      </c>
      <c r="F655" s="4">
        <v>191.47</v>
      </c>
      <c r="G655" s="3">
        <v>0.2</v>
      </c>
      <c r="H655" s="4">
        <v>29.65</v>
      </c>
      <c r="I655" t="str">
        <f>VLOOKUP(orders__17[[#This Row],[Customer_ID]],customers__2[#All],3,0)</f>
        <v>South</v>
      </c>
      <c r="J655" t="str">
        <f>VLOOKUP(orders__17[[#This Row],[Customer_ID]],customers__2[#All],4,0)</f>
        <v>Home Office</v>
      </c>
      <c r="K655" t="str">
        <f>VLOOKUP(orders__17[[#This Row],[Product_ID]],products[#All],3,0)</f>
        <v>Technology</v>
      </c>
      <c r="L655" s="1" t="str">
        <f>VLOOKUP(orders__17[[#This Row],[Product_ID]],products[#All],4,0)</f>
        <v>Laptop</v>
      </c>
      <c r="M655" s="1" t="str">
        <f>VLOOKUP(orders__17[[#This Row],[Order_ID]],returns[#All],2,0)</f>
        <v>No</v>
      </c>
    </row>
    <row r="656" spans="1:13" x14ac:dyDescent="0.3">
      <c r="A656" s="1" t="s">
        <v>953</v>
      </c>
      <c r="B656" s="2">
        <v>44989</v>
      </c>
      <c r="C656" s="1" t="s">
        <v>671</v>
      </c>
      <c r="D656" s="1" t="s">
        <v>458</v>
      </c>
      <c r="E656">
        <v>5</v>
      </c>
      <c r="F656" s="4">
        <v>1815.5</v>
      </c>
      <c r="G656" s="3">
        <v>0.3</v>
      </c>
      <c r="H656" s="4">
        <v>408.99</v>
      </c>
      <c r="I656" t="str">
        <f>VLOOKUP(orders__17[[#This Row],[Customer_ID]],customers__2[#All],3,0)</f>
        <v>North</v>
      </c>
      <c r="J656" t="str">
        <f>VLOOKUP(orders__17[[#This Row],[Customer_ID]],customers__2[#All],4,0)</f>
        <v>Corporate</v>
      </c>
      <c r="K656" t="str">
        <f>VLOOKUP(orders__17[[#This Row],[Product_ID]],products[#All],3,0)</f>
        <v>Technology</v>
      </c>
      <c r="L656" s="1" t="str">
        <f>VLOOKUP(orders__17[[#This Row],[Product_ID]],products[#All],4,0)</f>
        <v>Phone</v>
      </c>
      <c r="M656" s="1" t="str">
        <f>VLOOKUP(orders__17[[#This Row],[Order_ID]],returns[#All],2,0)</f>
        <v>Yes</v>
      </c>
    </row>
    <row r="657" spans="1:13" x14ac:dyDescent="0.3">
      <c r="A657" s="1" t="s">
        <v>954</v>
      </c>
      <c r="B657" s="2">
        <v>45082</v>
      </c>
      <c r="C657" s="1" t="s">
        <v>380</v>
      </c>
      <c r="D657" s="1" t="s">
        <v>201</v>
      </c>
      <c r="E657">
        <v>1</v>
      </c>
      <c r="F657" s="4">
        <v>1719.3</v>
      </c>
      <c r="G657" s="3">
        <v>0.1</v>
      </c>
      <c r="H657" s="4">
        <v>262.51</v>
      </c>
      <c r="I657" t="str">
        <f>VLOOKUP(orders__17[[#This Row],[Customer_ID]],customers__2[#All],3,0)</f>
        <v>South</v>
      </c>
      <c r="J657" t="str">
        <f>VLOOKUP(orders__17[[#This Row],[Customer_ID]],customers__2[#All],4,0)</f>
        <v>Home Office</v>
      </c>
      <c r="K657" t="str">
        <f>VLOOKUP(orders__17[[#This Row],[Product_ID]],products[#All],3,0)</f>
        <v>Office Supplies</v>
      </c>
      <c r="L657" s="1" t="str">
        <f>VLOOKUP(orders__17[[#This Row],[Product_ID]],products[#All],4,0)</f>
        <v>Paper</v>
      </c>
      <c r="M657" s="1" t="str">
        <f>VLOOKUP(orders__17[[#This Row],[Order_ID]],returns[#All],2,0)</f>
        <v>No</v>
      </c>
    </row>
    <row r="658" spans="1:13" x14ac:dyDescent="0.3">
      <c r="A658" s="1" t="s">
        <v>955</v>
      </c>
      <c r="B658" s="2">
        <v>45345</v>
      </c>
      <c r="C658" s="1" t="s">
        <v>526</v>
      </c>
      <c r="D658" s="1" t="s">
        <v>309</v>
      </c>
      <c r="E658">
        <v>1</v>
      </c>
      <c r="F658" s="4">
        <v>1368.83</v>
      </c>
      <c r="G658" s="3">
        <v>0.3</v>
      </c>
      <c r="H658" s="4">
        <v>241.13</v>
      </c>
      <c r="I658" t="str">
        <f>VLOOKUP(orders__17[[#This Row],[Customer_ID]],customers__2[#All],3,0)</f>
        <v>West</v>
      </c>
      <c r="J658" t="str">
        <f>VLOOKUP(orders__17[[#This Row],[Customer_ID]],customers__2[#All],4,0)</f>
        <v>Corporate</v>
      </c>
      <c r="K658" t="str">
        <f>VLOOKUP(orders__17[[#This Row],[Product_ID]],products[#All],3,0)</f>
        <v>Office Supplies</v>
      </c>
      <c r="L658" s="1" t="str">
        <f>VLOOKUP(orders__17[[#This Row],[Product_ID]],products[#All],4,0)</f>
        <v>Pen</v>
      </c>
      <c r="M658" s="1" t="str">
        <f>VLOOKUP(orders__17[[#This Row],[Order_ID]],returns[#All],2,0)</f>
        <v>No</v>
      </c>
    </row>
    <row r="659" spans="1:13" x14ac:dyDescent="0.3">
      <c r="A659" s="1" t="s">
        <v>956</v>
      </c>
      <c r="B659" s="2">
        <v>44891</v>
      </c>
      <c r="C659" s="1" t="s">
        <v>53</v>
      </c>
      <c r="D659" s="1" t="s">
        <v>275</v>
      </c>
      <c r="E659">
        <v>2</v>
      </c>
      <c r="F659" s="4">
        <v>1227.1199999999999</v>
      </c>
      <c r="G659" s="3">
        <v>0</v>
      </c>
      <c r="H659" s="4">
        <v>63.61</v>
      </c>
      <c r="I659" t="str">
        <f>VLOOKUP(orders__17[[#This Row],[Customer_ID]],customers__2[#All],3,0)</f>
        <v>West</v>
      </c>
      <c r="J659" t="str">
        <f>VLOOKUP(orders__17[[#This Row],[Customer_ID]],customers__2[#All],4,0)</f>
        <v>Home Office</v>
      </c>
      <c r="K659" t="str">
        <f>VLOOKUP(orders__17[[#This Row],[Product_ID]],products[#All],3,0)</f>
        <v>Furniture</v>
      </c>
      <c r="L659" s="1" t="str">
        <f>VLOOKUP(orders__17[[#This Row],[Product_ID]],products[#All],4,0)</f>
        <v>Table</v>
      </c>
      <c r="M659" s="1" t="str">
        <f>VLOOKUP(orders__17[[#This Row],[Order_ID]],returns[#All],2,0)</f>
        <v>No</v>
      </c>
    </row>
    <row r="660" spans="1:13" x14ac:dyDescent="0.3">
      <c r="A660" s="1" t="s">
        <v>957</v>
      </c>
      <c r="B660" s="2">
        <v>44889</v>
      </c>
      <c r="C660" s="1" t="s">
        <v>69</v>
      </c>
      <c r="D660" s="1" t="s">
        <v>669</v>
      </c>
      <c r="E660">
        <v>1</v>
      </c>
      <c r="F660" s="4">
        <v>1795.37</v>
      </c>
      <c r="G660" s="3">
        <v>0</v>
      </c>
      <c r="H660" s="4">
        <v>400.24</v>
      </c>
      <c r="I660" t="str">
        <f>VLOOKUP(orders__17[[#This Row],[Customer_ID]],customers__2[#All],3,0)</f>
        <v>West</v>
      </c>
      <c r="J660" t="str">
        <f>VLOOKUP(orders__17[[#This Row],[Customer_ID]],customers__2[#All],4,0)</f>
        <v>Corporate</v>
      </c>
      <c r="K660" t="str">
        <f>VLOOKUP(orders__17[[#This Row],[Product_ID]],products[#All],3,0)</f>
        <v>Office Supplies</v>
      </c>
      <c r="L660" s="1" t="str">
        <f>VLOOKUP(orders__17[[#This Row],[Product_ID]],products[#All],4,0)</f>
        <v>Pen</v>
      </c>
      <c r="M660" s="1" t="str">
        <f>VLOOKUP(orders__17[[#This Row],[Order_ID]],returns[#All],2,0)</f>
        <v>No</v>
      </c>
    </row>
    <row r="661" spans="1:13" x14ac:dyDescent="0.3">
      <c r="A661" s="1" t="s">
        <v>958</v>
      </c>
      <c r="B661" s="2">
        <v>45308</v>
      </c>
      <c r="C661" s="1" t="s">
        <v>927</v>
      </c>
      <c r="D661" s="1" t="s">
        <v>107</v>
      </c>
      <c r="E661">
        <v>3</v>
      </c>
      <c r="F661" s="4">
        <v>452.13</v>
      </c>
      <c r="G661" s="3">
        <v>0.1</v>
      </c>
      <c r="H661" s="4">
        <v>97.36</v>
      </c>
      <c r="I661" t="str">
        <f>VLOOKUP(orders__17[[#This Row],[Customer_ID]],customers__2[#All],3,0)</f>
        <v>South</v>
      </c>
      <c r="J661" t="str">
        <f>VLOOKUP(orders__17[[#This Row],[Customer_ID]],customers__2[#All],4,0)</f>
        <v>Corporate</v>
      </c>
      <c r="K661" t="str">
        <f>VLOOKUP(orders__17[[#This Row],[Product_ID]],products[#All],3,0)</f>
        <v>Office Supplies</v>
      </c>
      <c r="L661" s="1" t="str">
        <f>VLOOKUP(orders__17[[#This Row],[Product_ID]],products[#All],4,0)</f>
        <v>Pen</v>
      </c>
      <c r="M661" s="1" t="str">
        <f>VLOOKUP(orders__17[[#This Row],[Order_ID]],returns[#All],2,0)</f>
        <v>No</v>
      </c>
    </row>
    <row r="662" spans="1:13" x14ac:dyDescent="0.3">
      <c r="A662" s="1" t="s">
        <v>959</v>
      </c>
      <c r="B662" s="2">
        <v>45143</v>
      </c>
      <c r="C662" s="1" t="s">
        <v>169</v>
      </c>
      <c r="D662" s="1" t="s">
        <v>107</v>
      </c>
      <c r="E662">
        <v>5</v>
      </c>
      <c r="F662" s="4">
        <v>250.04</v>
      </c>
      <c r="G662" s="3">
        <v>0.3</v>
      </c>
      <c r="H662" s="4">
        <v>14.9</v>
      </c>
      <c r="I662" t="str">
        <f>VLOOKUP(orders__17[[#This Row],[Customer_ID]],customers__2[#All],3,0)</f>
        <v>East</v>
      </c>
      <c r="J662" t="str">
        <f>VLOOKUP(orders__17[[#This Row],[Customer_ID]],customers__2[#All],4,0)</f>
        <v>Home Office</v>
      </c>
      <c r="K662" t="str">
        <f>VLOOKUP(orders__17[[#This Row],[Product_ID]],products[#All],3,0)</f>
        <v>Office Supplies</v>
      </c>
      <c r="L662" s="1" t="str">
        <f>VLOOKUP(orders__17[[#This Row],[Product_ID]],products[#All],4,0)</f>
        <v>Pen</v>
      </c>
      <c r="M662" s="1" t="str">
        <f>VLOOKUP(orders__17[[#This Row],[Order_ID]],returns[#All],2,0)</f>
        <v>No</v>
      </c>
    </row>
    <row r="663" spans="1:13" x14ac:dyDescent="0.3">
      <c r="A663" s="1" t="s">
        <v>960</v>
      </c>
      <c r="B663" s="2">
        <v>44962</v>
      </c>
      <c r="C663" s="1" t="s">
        <v>248</v>
      </c>
      <c r="D663" s="1" t="s">
        <v>119</v>
      </c>
      <c r="E663">
        <v>2</v>
      </c>
      <c r="F663" s="4">
        <v>555.07000000000005</v>
      </c>
      <c r="G663" s="3">
        <v>0.1</v>
      </c>
      <c r="H663" s="4">
        <v>78.849999999999994</v>
      </c>
      <c r="I663" t="str">
        <f>VLOOKUP(orders__17[[#This Row],[Customer_ID]],customers__2[#All],3,0)</f>
        <v>East</v>
      </c>
      <c r="J663" t="str">
        <f>VLOOKUP(orders__17[[#This Row],[Customer_ID]],customers__2[#All],4,0)</f>
        <v>Corporate</v>
      </c>
      <c r="K663" t="str">
        <f>VLOOKUP(orders__17[[#This Row],[Product_ID]],products[#All],3,0)</f>
        <v>Technology</v>
      </c>
      <c r="L663" s="1" t="str">
        <f>VLOOKUP(orders__17[[#This Row],[Product_ID]],products[#All],4,0)</f>
        <v>Tablet</v>
      </c>
      <c r="M663" s="1" t="str">
        <f>VLOOKUP(orders__17[[#This Row],[Order_ID]],returns[#All],2,0)</f>
        <v>No</v>
      </c>
    </row>
    <row r="664" spans="1:13" x14ac:dyDescent="0.3">
      <c r="A664" s="1" t="s">
        <v>961</v>
      </c>
      <c r="B664" s="2">
        <v>45146</v>
      </c>
      <c r="C664" s="1" t="s">
        <v>334</v>
      </c>
      <c r="D664" s="1" t="s">
        <v>10</v>
      </c>
      <c r="E664">
        <v>1</v>
      </c>
      <c r="F664" s="4">
        <v>1609.7</v>
      </c>
      <c r="G664" s="3">
        <v>0.3</v>
      </c>
      <c r="H664" s="4">
        <v>474.47</v>
      </c>
      <c r="I664" t="str">
        <f>VLOOKUP(orders__17[[#This Row],[Customer_ID]],customers__2[#All],3,0)</f>
        <v>East</v>
      </c>
      <c r="J664" t="str">
        <f>VLOOKUP(orders__17[[#This Row],[Customer_ID]],customers__2[#All],4,0)</f>
        <v>Consumer</v>
      </c>
      <c r="K664" t="str">
        <f>VLOOKUP(orders__17[[#This Row],[Product_ID]],products[#All],3,0)</f>
        <v>Technology</v>
      </c>
      <c r="L664" s="1" t="str">
        <f>VLOOKUP(orders__17[[#This Row],[Product_ID]],products[#All],4,0)</f>
        <v>Tablet</v>
      </c>
      <c r="M664" s="1" t="str">
        <f>VLOOKUP(orders__17[[#This Row],[Order_ID]],returns[#All],2,0)</f>
        <v>No</v>
      </c>
    </row>
    <row r="665" spans="1:13" x14ac:dyDescent="0.3">
      <c r="A665" s="1" t="s">
        <v>962</v>
      </c>
      <c r="B665" s="2">
        <v>45055</v>
      </c>
      <c r="C665" s="1" t="s">
        <v>475</v>
      </c>
      <c r="D665" s="1" t="s">
        <v>296</v>
      </c>
      <c r="E665">
        <v>3</v>
      </c>
      <c r="F665" s="4">
        <v>165.87</v>
      </c>
      <c r="G665" s="3">
        <v>0.3</v>
      </c>
      <c r="H665" s="4">
        <v>25.74</v>
      </c>
      <c r="I665" t="str">
        <f>VLOOKUP(orders__17[[#This Row],[Customer_ID]],customers__2[#All],3,0)</f>
        <v>South</v>
      </c>
      <c r="J665" t="str">
        <f>VLOOKUP(orders__17[[#This Row],[Customer_ID]],customers__2[#All],4,0)</f>
        <v>Corporate</v>
      </c>
      <c r="K665" t="str">
        <f>VLOOKUP(orders__17[[#This Row],[Product_ID]],products[#All],3,0)</f>
        <v>Technology</v>
      </c>
      <c r="L665" s="1" t="str">
        <f>VLOOKUP(orders__17[[#This Row],[Product_ID]],products[#All],4,0)</f>
        <v>Accessories</v>
      </c>
      <c r="M665" s="1" t="str">
        <f>VLOOKUP(orders__17[[#This Row],[Order_ID]],returns[#All],2,0)</f>
        <v>No</v>
      </c>
    </row>
    <row r="666" spans="1:13" x14ac:dyDescent="0.3">
      <c r="A666" s="1" t="s">
        <v>963</v>
      </c>
      <c r="B666" s="2">
        <v>45215</v>
      </c>
      <c r="C666" s="1" t="s">
        <v>126</v>
      </c>
      <c r="D666" s="1" t="s">
        <v>660</v>
      </c>
      <c r="E666">
        <v>3</v>
      </c>
      <c r="F666" s="4">
        <v>1207.33</v>
      </c>
      <c r="G666" s="3">
        <v>0.2</v>
      </c>
      <c r="H666" s="4">
        <v>211.87</v>
      </c>
      <c r="I666" t="str">
        <f>VLOOKUP(orders__17[[#This Row],[Customer_ID]],customers__2[#All],3,0)</f>
        <v>North</v>
      </c>
      <c r="J666" t="str">
        <f>VLOOKUP(orders__17[[#This Row],[Customer_ID]],customers__2[#All],4,0)</f>
        <v>Consumer</v>
      </c>
      <c r="K666" t="str">
        <f>VLOOKUP(orders__17[[#This Row],[Product_ID]],products[#All],3,0)</f>
        <v>Office Supplies</v>
      </c>
      <c r="L666" s="1" t="str">
        <f>VLOOKUP(orders__17[[#This Row],[Product_ID]],products[#All],4,0)</f>
        <v>Storage</v>
      </c>
      <c r="M666" s="1" t="str">
        <f>VLOOKUP(orders__17[[#This Row],[Order_ID]],returns[#All],2,0)</f>
        <v>Yes</v>
      </c>
    </row>
    <row r="667" spans="1:13" x14ac:dyDescent="0.3">
      <c r="A667" s="1" t="s">
        <v>964</v>
      </c>
      <c r="B667" s="2">
        <v>45333</v>
      </c>
      <c r="C667" s="1" t="s">
        <v>524</v>
      </c>
      <c r="D667" s="1" t="s">
        <v>195</v>
      </c>
      <c r="E667">
        <v>1</v>
      </c>
      <c r="F667" s="4">
        <v>1991.33</v>
      </c>
      <c r="G667" s="3">
        <v>0.2</v>
      </c>
      <c r="H667" s="4">
        <v>552.55999999999995</v>
      </c>
      <c r="I667" t="str">
        <f>VLOOKUP(orders__17[[#This Row],[Customer_ID]],customers__2[#All],3,0)</f>
        <v>East</v>
      </c>
      <c r="J667" t="str">
        <f>VLOOKUP(orders__17[[#This Row],[Customer_ID]],customers__2[#All],4,0)</f>
        <v>Corporate</v>
      </c>
      <c r="K667" t="str">
        <f>VLOOKUP(orders__17[[#This Row],[Product_ID]],products[#All],3,0)</f>
        <v>Furniture</v>
      </c>
      <c r="L667" s="1" t="str">
        <f>VLOOKUP(orders__17[[#This Row],[Product_ID]],products[#All],4,0)</f>
        <v>Chair</v>
      </c>
      <c r="M667" s="1" t="str">
        <f>VLOOKUP(orders__17[[#This Row],[Order_ID]],returns[#All],2,0)</f>
        <v>No</v>
      </c>
    </row>
    <row r="668" spans="1:13" x14ac:dyDescent="0.3">
      <c r="A668" s="1" t="s">
        <v>965</v>
      </c>
      <c r="B668" s="2">
        <v>44585</v>
      </c>
      <c r="C668" s="1" t="s">
        <v>468</v>
      </c>
      <c r="D668" s="1" t="s">
        <v>372</v>
      </c>
      <c r="E668">
        <v>5</v>
      </c>
      <c r="F668" s="4">
        <v>1725.82</v>
      </c>
      <c r="G668" s="3">
        <v>0.2</v>
      </c>
      <c r="H668" s="4">
        <v>395.76</v>
      </c>
      <c r="I668" t="str">
        <f>VLOOKUP(orders__17[[#This Row],[Customer_ID]],customers__2[#All],3,0)</f>
        <v>South</v>
      </c>
      <c r="J668" t="str">
        <f>VLOOKUP(orders__17[[#This Row],[Customer_ID]],customers__2[#All],4,0)</f>
        <v>Consumer</v>
      </c>
      <c r="K668" t="str">
        <f>VLOOKUP(orders__17[[#This Row],[Product_ID]],products[#All],3,0)</f>
        <v>Furniture</v>
      </c>
      <c r="L668" s="1" t="str">
        <f>VLOOKUP(orders__17[[#This Row],[Product_ID]],products[#All],4,0)</f>
        <v>Shelf</v>
      </c>
      <c r="M668" s="1" t="str">
        <f>VLOOKUP(orders__17[[#This Row],[Order_ID]],returns[#All],2,0)</f>
        <v>No</v>
      </c>
    </row>
    <row r="669" spans="1:13" x14ac:dyDescent="0.3">
      <c r="A669" s="1" t="s">
        <v>966</v>
      </c>
      <c r="B669" s="2">
        <v>44997</v>
      </c>
      <c r="C669" s="1" t="s">
        <v>332</v>
      </c>
      <c r="D669" s="1" t="s">
        <v>341</v>
      </c>
      <c r="E669">
        <v>1</v>
      </c>
      <c r="F669" s="4">
        <v>1090.75</v>
      </c>
      <c r="G669" s="3">
        <v>0.1</v>
      </c>
      <c r="H669" s="4">
        <v>213.26</v>
      </c>
      <c r="I669" t="str">
        <f>VLOOKUP(orders__17[[#This Row],[Customer_ID]],customers__2[#All],3,0)</f>
        <v>North</v>
      </c>
      <c r="J669" t="str">
        <f>VLOOKUP(orders__17[[#This Row],[Customer_ID]],customers__2[#All],4,0)</f>
        <v>Home Office</v>
      </c>
      <c r="K669" t="str">
        <f>VLOOKUP(orders__17[[#This Row],[Product_ID]],products[#All],3,0)</f>
        <v>Technology</v>
      </c>
      <c r="L669" s="1" t="str">
        <f>VLOOKUP(orders__17[[#This Row],[Product_ID]],products[#All],4,0)</f>
        <v>Phone</v>
      </c>
      <c r="M669" s="1" t="str">
        <f>VLOOKUP(orders__17[[#This Row],[Order_ID]],returns[#All],2,0)</f>
        <v>Yes</v>
      </c>
    </row>
    <row r="670" spans="1:13" x14ac:dyDescent="0.3">
      <c r="A670" s="1" t="s">
        <v>967</v>
      </c>
      <c r="B670" s="2">
        <v>44976</v>
      </c>
      <c r="C670" s="1" t="s">
        <v>42</v>
      </c>
      <c r="D670" s="1" t="s">
        <v>226</v>
      </c>
      <c r="E670">
        <v>2</v>
      </c>
      <c r="F670" s="4">
        <v>220.92</v>
      </c>
      <c r="G670" s="3">
        <v>0.2</v>
      </c>
      <c r="H670" s="4">
        <v>55.11</v>
      </c>
      <c r="I670" t="str">
        <f>VLOOKUP(orders__17[[#This Row],[Customer_ID]],customers__2[#All],3,0)</f>
        <v>North</v>
      </c>
      <c r="J670" t="str">
        <f>VLOOKUP(orders__17[[#This Row],[Customer_ID]],customers__2[#All],4,0)</f>
        <v>Corporate</v>
      </c>
      <c r="K670" t="str">
        <f>VLOOKUP(orders__17[[#This Row],[Product_ID]],products[#All],3,0)</f>
        <v>Technology</v>
      </c>
      <c r="L670" s="1" t="str">
        <f>VLOOKUP(orders__17[[#This Row],[Product_ID]],products[#All],4,0)</f>
        <v>Laptop</v>
      </c>
      <c r="M670" s="1" t="str">
        <f>VLOOKUP(orders__17[[#This Row],[Order_ID]],returns[#All],2,0)</f>
        <v>No</v>
      </c>
    </row>
    <row r="671" spans="1:13" x14ac:dyDescent="0.3">
      <c r="A671" s="1" t="s">
        <v>968</v>
      </c>
      <c r="B671" s="2">
        <v>45181</v>
      </c>
      <c r="C671" s="1" t="s">
        <v>53</v>
      </c>
      <c r="D671" s="1" t="s">
        <v>669</v>
      </c>
      <c r="E671">
        <v>1</v>
      </c>
      <c r="F671" s="4">
        <v>1679.61</v>
      </c>
      <c r="G671" s="3">
        <v>0.2</v>
      </c>
      <c r="H671" s="4">
        <v>446.93</v>
      </c>
      <c r="I671" t="str">
        <f>VLOOKUP(orders__17[[#This Row],[Customer_ID]],customers__2[#All],3,0)</f>
        <v>West</v>
      </c>
      <c r="J671" t="str">
        <f>VLOOKUP(orders__17[[#This Row],[Customer_ID]],customers__2[#All],4,0)</f>
        <v>Home Office</v>
      </c>
      <c r="K671" t="str">
        <f>VLOOKUP(orders__17[[#This Row],[Product_ID]],products[#All],3,0)</f>
        <v>Office Supplies</v>
      </c>
      <c r="L671" s="1" t="str">
        <f>VLOOKUP(orders__17[[#This Row],[Product_ID]],products[#All],4,0)</f>
        <v>Pen</v>
      </c>
      <c r="M671" s="1" t="str">
        <f>VLOOKUP(orders__17[[#This Row],[Order_ID]],returns[#All],2,0)</f>
        <v>No</v>
      </c>
    </row>
    <row r="672" spans="1:13" x14ac:dyDescent="0.3">
      <c r="A672" s="1" t="s">
        <v>969</v>
      </c>
      <c r="B672" s="2">
        <v>44599</v>
      </c>
      <c r="C672" s="1" t="s">
        <v>533</v>
      </c>
      <c r="D672" s="1" t="s">
        <v>13</v>
      </c>
      <c r="E672">
        <v>3</v>
      </c>
      <c r="F672" s="4">
        <v>1238.06</v>
      </c>
      <c r="G672" s="3">
        <v>0</v>
      </c>
      <c r="H672" s="4">
        <v>203.32</v>
      </c>
      <c r="I672" t="str">
        <f>VLOOKUP(orders__17[[#This Row],[Customer_ID]],customers__2[#All],3,0)</f>
        <v>West</v>
      </c>
      <c r="J672" t="str">
        <f>VLOOKUP(orders__17[[#This Row],[Customer_ID]],customers__2[#All],4,0)</f>
        <v>Consumer</v>
      </c>
      <c r="K672" t="str">
        <f>VLOOKUP(orders__17[[#This Row],[Product_ID]],products[#All],3,0)</f>
        <v>Furniture</v>
      </c>
      <c r="L672" s="1" t="str">
        <f>VLOOKUP(orders__17[[#This Row],[Product_ID]],products[#All],4,0)</f>
        <v>Desk</v>
      </c>
      <c r="M672" s="1" t="str">
        <f>VLOOKUP(orders__17[[#This Row],[Order_ID]],returns[#All],2,0)</f>
        <v>Yes</v>
      </c>
    </row>
    <row r="673" spans="1:13" x14ac:dyDescent="0.3">
      <c r="A673" s="1" t="s">
        <v>970</v>
      </c>
      <c r="B673" s="2">
        <v>45409</v>
      </c>
      <c r="C673" s="1" t="s">
        <v>482</v>
      </c>
      <c r="D673" s="1" t="s">
        <v>45</v>
      </c>
      <c r="E673">
        <v>1</v>
      </c>
      <c r="F673" s="4">
        <v>318.37</v>
      </c>
      <c r="G673" s="3">
        <v>0.3</v>
      </c>
      <c r="H673" s="4">
        <v>53.73</v>
      </c>
      <c r="I673" t="str">
        <f>VLOOKUP(orders__17[[#This Row],[Customer_ID]],customers__2[#All],3,0)</f>
        <v>North</v>
      </c>
      <c r="J673" t="str">
        <f>VLOOKUP(orders__17[[#This Row],[Customer_ID]],customers__2[#All],4,0)</f>
        <v>Consumer</v>
      </c>
      <c r="K673" t="str">
        <f>VLOOKUP(orders__17[[#This Row],[Product_ID]],products[#All],3,0)</f>
        <v>Office Supplies</v>
      </c>
      <c r="L673" s="1" t="str">
        <f>VLOOKUP(orders__17[[#This Row],[Product_ID]],products[#All],4,0)</f>
        <v>Pen</v>
      </c>
      <c r="M673" s="1" t="str">
        <f>VLOOKUP(orders__17[[#This Row],[Order_ID]],returns[#All],2,0)</f>
        <v>No</v>
      </c>
    </row>
    <row r="674" spans="1:13" x14ac:dyDescent="0.3">
      <c r="A674" s="1" t="s">
        <v>971</v>
      </c>
      <c r="B674" s="2">
        <v>45434</v>
      </c>
      <c r="C674" s="1" t="s">
        <v>220</v>
      </c>
      <c r="D674" s="1" t="s">
        <v>288</v>
      </c>
      <c r="E674">
        <v>5</v>
      </c>
      <c r="F674" s="4">
        <v>278.33</v>
      </c>
      <c r="G674" s="3">
        <v>0.3</v>
      </c>
      <c r="H674" s="4">
        <v>40.78</v>
      </c>
      <c r="I674" t="str">
        <f>VLOOKUP(orders__17[[#This Row],[Customer_ID]],customers__2[#All],3,0)</f>
        <v>West</v>
      </c>
      <c r="J674" t="str">
        <f>VLOOKUP(orders__17[[#This Row],[Customer_ID]],customers__2[#All],4,0)</f>
        <v>Corporate</v>
      </c>
      <c r="K674" t="str">
        <f>VLOOKUP(orders__17[[#This Row],[Product_ID]],products[#All],3,0)</f>
        <v>Furniture</v>
      </c>
      <c r="L674" s="1" t="str">
        <f>VLOOKUP(orders__17[[#This Row],[Product_ID]],products[#All],4,0)</f>
        <v>Chair</v>
      </c>
      <c r="M674" s="1" t="str">
        <f>VLOOKUP(orders__17[[#This Row],[Order_ID]],returns[#All],2,0)</f>
        <v>No</v>
      </c>
    </row>
    <row r="675" spans="1:13" x14ac:dyDescent="0.3">
      <c r="A675" s="1" t="s">
        <v>972</v>
      </c>
      <c r="B675" s="2">
        <v>45198</v>
      </c>
      <c r="C675" s="1" t="s">
        <v>39</v>
      </c>
      <c r="D675" s="1" t="s">
        <v>660</v>
      </c>
      <c r="E675">
        <v>4</v>
      </c>
      <c r="F675" s="4">
        <v>1828.29</v>
      </c>
      <c r="G675" s="3">
        <v>0.2</v>
      </c>
      <c r="H675" s="4">
        <v>533.27</v>
      </c>
      <c r="I675" t="str">
        <f>VLOOKUP(orders__17[[#This Row],[Customer_ID]],customers__2[#All],3,0)</f>
        <v>West</v>
      </c>
      <c r="J675" t="str">
        <f>VLOOKUP(orders__17[[#This Row],[Customer_ID]],customers__2[#All],4,0)</f>
        <v>Consumer</v>
      </c>
      <c r="K675" t="str">
        <f>VLOOKUP(orders__17[[#This Row],[Product_ID]],products[#All],3,0)</f>
        <v>Office Supplies</v>
      </c>
      <c r="L675" s="1" t="str">
        <f>VLOOKUP(orders__17[[#This Row],[Product_ID]],products[#All],4,0)</f>
        <v>Storage</v>
      </c>
      <c r="M675" s="1" t="str">
        <f>VLOOKUP(orders__17[[#This Row],[Order_ID]],returns[#All],2,0)</f>
        <v>No</v>
      </c>
    </row>
    <row r="676" spans="1:13" x14ac:dyDescent="0.3">
      <c r="A676" s="1" t="s">
        <v>973</v>
      </c>
      <c r="B676" s="2">
        <v>44946</v>
      </c>
      <c r="C676" s="1" t="s">
        <v>21</v>
      </c>
      <c r="D676" s="1" t="s">
        <v>258</v>
      </c>
      <c r="E676">
        <v>1</v>
      </c>
      <c r="F676" s="4">
        <v>1371.48</v>
      </c>
      <c r="G676" s="3">
        <v>0.3</v>
      </c>
      <c r="H676" s="4">
        <v>307.61</v>
      </c>
      <c r="I676" t="str">
        <f>VLOOKUP(orders__17[[#This Row],[Customer_ID]],customers__2[#All],3,0)</f>
        <v>West</v>
      </c>
      <c r="J676" t="str">
        <f>VLOOKUP(orders__17[[#This Row],[Customer_ID]],customers__2[#All],4,0)</f>
        <v>Corporate</v>
      </c>
      <c r="K676" t="str">
        <f>VLOOKUP(orders__17[[#This Row],[Product_ID]],products[#All],3,0)</f>
        <v>Technology</v>
      </c>
      <c r="L676" s="1" t="str">
        <f>VLOOKUP(orders__17[[#This Row],[Product_ID]],products[#All],4,0)</f>
        <v>Phone</v>
      </c>
      <c r="M676" s="1" t="str">
        <f>VLOOKUP(orders__17[[#This Row],[Order_ID]],returns[#All],2,0)</f>
        <v>No</v>
      </c>
    </row>
    <row r="677" spans="1:13" x14ac:dyDescent="0.3">
      <c r="A677" s="1" t="s">
        <v>974</v>
      </c>
      <c r="B677" s="2">
        <v>45104</v>
      </c>
      <c r="C677" s="1" t="s">
        <v>277</v>
      </c>
      <c r="D677" s="1" t="s">
        <v>296</v>
      </c>
      <c r="E677">
        <v>5</v>
      </c>
      <c r="F677" s="4">
        <v>1675.64</v>
      </c>
      <c r="G677" s="3">
        <v>0</v>
      </c>
      <c r="H677" s="4">
        <v>118.64</v>
      </c>
      <c r="I677" t="str">
        <f>VLOOKUP(orders__17[[#This Row],[Customer_ID]],customers__2[#All],3,0)</f>
        <v>North</v>
      </c>
      <c r="J677" t="str">
        <f>VLOOKUP(orders__17[[#This Row],[Customer_ID]],customers__2[#All],4,0)</f>
        <v>Corporate</v>
      </c>
      <c r="K677" t="str">
        <f>VLOOKUP(orders__17[[#This Row],[Product_ID]],products[#All],3,0)</f>
        <v>Technology</v>
      </c>
      <c r="L677" s="1" t="str">
        <f>VLOOKUP(orders__17[[#This Row],[Product_ID]],products[#All],4,0)</f>
        <v>Accessories</v>
      </c>
      <c r="M677" s="1" t="str">
        <f>VLOOKUP(orders__17[[#This Row],[Order_ID]],returns[#All],2,0)</f>
        <v>No</v>
      </c>
    </row>
    <row r="678" spans="1:13" x14ac:dyDescent="0.3">
      <c r="A678" s="1" t="s">
        <v>975</v>
      </c>
      <c r="B678" s="2">
        <v>44616</v>
      </c>
      <c r="C678" s="1" t="s">
        <v>344</v>
      </c>
      <c r="D678" s="1" t="s">
        <v>372</v>
      </c>
      <c r="E678">
        <v>5</v>
      </c>
      <c r="F678" s="4">
        <v>1770.06</v>
      </c>
      <c r="G678" s="3">
        <v>0</v>
      </c>
      <c r="H678" s="4">
        <v>470.38</v>
      </c>
      <c r="I678" t="str">
        <f>VLOOKUP(orders__17[[#This Row],[Customer_ID]],customers__2[#All],3,0)</f>
        <v>North</v>
      </c>
      <c r="J678" t="str">
        <f>VLOOKUP(orders__17[[#This Row],[Customer_ID]],customers__2[#All],4,0)</f>
        <v>Home Office</v>
      </c>
      <c r="K678" t="str">
        <f>VLOOKUP(orders__17[[#This Row],[Product_ID]],products[#All],3,0)</f>
        <v>Furniture</v>
      </c>
      <c r="L678" s="1" t="str">
        <f>VLOOKUP(orders__17[[#This Row],[Product_ID]],products[#All],4,0)</f>
        <v>Shelf</v>
      </c>
      <c r="M678" s="1" t="str">
        <f>VLOOKUP(orders__17[[#This Row],[Order_ID]],returns[#All],2,0)</f>
        <v>No</v>
      </c>
    </row>
    <row r="679" spans="1:13" x14ac:dyDescent="0.3">
      <c r="A679" s="1" t="s">
        <v>976</v>
      </c>
      <c r="B679" s="2">
        <v>44776</v>
      </c>
      <c r="C679" s="1" t="s">
        <v>18</v>
      </c>
      <c r="D679" s="1" t="s">
        <v>37</v>
      </c>
      <c r="E679">
        <v>3</v>
      </c>
      <c r="F679" s="4">
        <v>1186.3699999999999</v>
      </c>
      <c r="G679" s="3">
        <v>0.2</v>
      </c>
      <c r="H679" s="4">
        <v>201.85</v>
      </c>
      <c r="I679" t="str">
        <f>VLOOKUP(orders__17[[#This Row],[Customer_ID]],customers__2[#All],3,0)</f>
        <v>North</v>
      </c>
      <c r="J679" t="str">
        <f>VLOOKUP(orders__17[[#This Row],[Customer_ID]],customers__2[#All],4,0)</f>
        <v>Home Office</v>
      </c>
      <c r="K679" t="str">
        <f>VLOOKUP(orders__17[[#This Row],[Product_ID]],products[#All],3,0)</f>
        <v>Furniture</v>
      </c>
      <c r="L679" s="1" t="str">
        <f>VLOOKUP(orders__17[[#This Row],[Product_ID]],products[#All],4,0)</f>
        <v>Desk</v>
      </c>
      <c r="M679" s="1" t="str">
        <f>VLOOKUP(orders__17[[#This Row],[Order_ID]],returns[#All],2,0)</f>
        <v>No</v>
      </c>
    </row>
    <row r="680" spans="1:13" x14ac:dyDescent="0.3">
      <c r="A680" s="1" t="s">
        <v>977</v>
      </c>
      <c r="B680" s="2">
        <v>45140</v>
      </c>
      <c r="C680" s="1" t="s">
        <v>978</v>
      </c>
      <c r="D680" s="1" t="s">
        <v>669</v>
      </c>
      <c r="E680">
        <v>5</v>
      </c>
      <c r="F680" s="4">
        <v>1083.1500000000001</v>
      </c>
      <c r="G680" s="3">
        <v>0</v>
      </c>
      <c r="H680" s="4">
        <v>72.78</v>
      </c>
      <c r="I680" t="str">
        <f>VLOOKUP(orders__17[[#This Row],[Customer_ID]],customers__2[#All],3,0)</f>
        <v>North</v>
      </c>
      <c r="J680" t="str">
        <f>VLOOKUP(orders__17[[#This Row],[Customer_ID]],customers__2[#All],4,0)</f>
        <v>Home Office</v>
      </c>
      <c r="K680" t="str">
        <f>VLOOKUP(orders__17[[#This Row],[Product_ID]],products[#All],3,0)</f>
        <v>Office Supplies</v>
      </c>
      <c r="L680" s="1" t="str">
        <f>VLOOKUP(orders__17[[#This Row],[Product_ID]],products[#All],4,0)</f>
        <v>Pen</v>
      </c>
      <c r="M680" s="1" t="str">
        <f>VLOOKUP(orders__17[[#This Row],[Order_ID]],returns[#All],2,0)</f>
        <v>Yes</v>
      </c>
    </row>
    <row r="681" spans="1:13" x14ac:dyDescent="0.3">
      <c r="A681" s="1" t="s">
        <v>979</v>
      </c>
      <c r="B681" s="2">
        <v>44976</v>
      </c>
      <c r="C681" s="1" t="s">
        <v>980</v>
      </c>
      <c r="D681" s="1" t="s">
        <v>249</v>
      </c>
      <c r="E681">
        <v>5</v>
      </c>
      <c r="F681" s="4">
        <v>917.81</v>
      </c>
      <c r="G681" s="3">
        <v>0.3</v>
      </c>
      <c r="H681" s="4">
        <v>172.02</v>
      </c>
      <c r="I681" t="str">
        <f>VLOOKUP(orders__17[[#This Row],[Customer_ID]],customers__2[#All],3,0)</f>
        <v>South</v>
      </c>
      <c r="J681" t="str">
        <f>VLOOKUP(orders__17[[#This Row],[Customer_ID]],customers__2[#All],4,0)</f>
        <v>Home Office</v>
      </c>
      <c r="K681" t="str">
        <f>VLOOKUP(orders__17[[#This Row],[Product_ID]],products[#All],3,0)</f>
        <v>Office Supplies</v>
      </c>
      <c r="L681" s="1" t="str">
        <f>VLOOKUP(orders__17[[#This Row],[Product_ID]],products[#All],4,0)</f>
        <v>Paper</v>
      </c>
      <c r="M681" s="1" t="str">
        <f>VLOOKUP(orders__17[[#This Row],[Order_ID]],returns[#All],2,0)</f>
        <v>Yes</v>
      </c>
    </row>
    <row r="682" spans="1:13" x14ac:dyDescent="0.3">
      <c r="A682" s="1" t="s">
        <v>981</v>
      </c>
      <c r="B682" s="2">
        <v>44686</v>
      </c>
      <c r="C682" s="1" t="s">
        <v>306</v>
      </c>
      <c r="D682" s="1" t="s">
        <v>770</v>
      </c>
      <c r="E682">
        <v>5</v>
      </c>
      <c r="F682" s="4">
        <v>702.2</v>
      </c>
      <c r="G682" s="3">
        <v>0.1</v>
      </c>
      <c r="H682" s="4">
        <v>108.34</v>
      </c>
      <c r="I682" t="str">
        <f>VLOOKUP(orders__17[[#This Row],[Customer_ID]],customers__2[#All],3,0)</f>
        <v>North</v>
      </c>
      <c r="J682" t="str">
        <f>VLOOKUP(orders__17[[#This Row],[Customer_ID]],customers__2[#All],4,0)</f>
        <v>Consumer</v>
      </c>
      <c r="K682" t="str">
        <f>VLOOKUP(orders__17[[#This Row],[Product_ID]],products[#All],3,0)</f>
        <v>Technology</v>
      </c>
      <c r="L682" s="1" t="str">
        <f>VLOOKUP(orders__17[[#This Row],[Product_ID]],products[#All],4,0)</f>
        <v>Accessories</v>
      </c>
      <c r="M682" s="1" t="str">
        <f>VLOOKUP(orders__17[[#This Row],[Order_ID]],returns[#All],2,0)</f>
        <v>No</v>
      </c>
    </row>
    <row r="683" spans="1:13" x14ac:dyDescent="0.3">
      <c r="A683" s="1" t="s">
        <v>982</v>
      </c>
      <c r="B683" s="2">
        <v>45125</v>
      </c>
      <c r="C683" s="1" t="s">
        <v>657</v>
      </c>
      <c r="D683" s="1" t="s">
        <v>186</v>
      </c>
      <c r="E683">
        <v>5</v>
      </c>
      <c r="F683" s="4">
        <v>925.73</v>
      </c>
      <c r="G683" s="3">
        <v>0.3</v>
      </c>
      <c r="H683" s="4">
        <v>249.43</v>
      </c>
      <c r="I683" t="str">
        <f>VLOOKUP(orders__17[[#This Row],[Customer_ID]],customers__2[#All],3,0)</f>
        <v>East</v>
      </c>
      <c r="J683" t="str">
        <f>VLOOKUP(orders__17[[#This Row],[Customer_ID]],customers__2[#All],4,0)</f>
        <v>Corporate</v>
      </c>
      <c r="K683" t="str">
        <f>VLOOKUP(orders__17[[#This Row],[Product_ID]],products[#All],3,0)</f>
        <v>Technology</v>
      </c>
      <c r="L683" s="1" t="str">
        <f>VLOOKUP(orders__17[[#This Row],[Product_ID]],products[#All],4,0)</f>
        <v>Laptop</v>
      </c>
      <c r="M683" s="1" t="str">
        <f>VLOOKUP(orders__17[[#This Row],[Order_ID]],returns[#All],2,0)</f>
        <v>No</v>
      </c>
    </row>
    <row r="684" spans="1:13" x14ac:dyDescent="0.3">
      <c r="A684" s="1" t="s">
        <v>983</v>
      </c>
      <c r="B684" s="2">
        <v>44720</v>
      </c>
      <c r="C684" s="1" t="s">
        <v>33</v>
      </c>
      <c r="D684" s="1" t="s">
        <v>161</v>
      </c>
      <c r="E684">
        <v>2</v>
      </c>
      <c r="F684" s="4">
        <v>1570.37</v>
      </c>
      <c r="G684" s="3">
        <v>0.1</v>
      </c>
      <c r="H684" s="4">
        <v>158.61000000000001</v>
      </c>
      <c r="I684" t="str">
        <f>VLOOKUP(orders__17[[#This Row],[Customer_ID]],customers__2[#All],3,0)</f>
        <v>East</v>
      </c>
      <c r="J684" t="str">
        <f>VLOOKUP(orders__17[[#This Row],[Customer_ID]],customers__2[#All],4,0)</f>
        <v>Home Office</v>
      </c>
      <c r="K684" t="str">
        <f>VLOOKUP(orders__17[[#This Row],[Product_ID]],products[#All],3,0)</f>
        <v>Office Supplies</v>
      </c>
      <c r="L684" s="1" t="str">
        <f>VLOOKUP(orders__17[[#This Row],[Product_ID]],products[#All],4,0)</f>
        <v>Binder</v>
      </c>
      <c r="M684" s="1" t="str">
        <f>VLOOKUP(orders__17[[#This Row],[Order_ID]],returns[#All],2,0)</f>
        <v>No</v>
      </c>
    </row>
    <row r="685" spans="1:13" x14ac:dyDescent="0.3">
      <c r="A685" s="1" t="s">
        <v>984</v>
      </c>
      <c r="B685" s="2">
        <v>44702</v>
      </c>
      <c r="C685" s="1" t="s">
        <v>21</v>
      </c>
      <c r="D685" s="1" t="s">
        <v>369</v>
      </c>
      <c r="E685">
        <v>2</v>
      </c>
      <c r="F685" s="4">
        <v>1243.6500000000001</v>
      </c>
      <c r="G685" s="3">
        <v>0.2</v>
      </c>
      <c r="H685" s="4">
        <v>319.14</v>
      </c>
      <c r="I685" t="str">
        <f>VLOOKUP(orders__17[[#This Row],[Customer_ID]],customers__2[#All],3,0)</f>
        <v>West</v>
      </c>
      <c r="J685" t="str">
        <f>VLOOKUP(orders__17[[#This Row],[Customer_ID]],customers__2[#All],4,0)</f>
        <v>Corporate</v>
      </c>
      <c r="K685" t="str">
        <f>VLOOKUP(orders__17[[#This Row],[Product_ID]],products[#All],3,0)</f>
        <v>Technology</v>
      </c>
      <c r="L685" s="1" t="str">
        <f>VLOOKUP(orders__17[[#This Row],[Product_ID]],products[#All],4,0)</f>
        <v>Phone</v>
      </c>
      <c r="M685" s="1" t="str">
        <f>VLOOKUP(orders__17[[#This Row],[Order_ID]],returns[#All],2,0)</f>
        <v>Yes</v>
      </c>
    </row>
    <row r="686" spans="1:13" x14ac:dyDescent="0.3">
      <c r="A686" s="1" t="s">
        <v>985</v>
      </c>
      <c r="B686" s="2">
        <v>44565</v>
      </c>
      <c r="C686" s="1" t="s">
        <v>946</v>
      </c>
      <c r="D686" s="1" t="s">
        <v>239</v>
      </c>
      <c r="E686">
        <v>3</v>
      </c>
      <c r="F686" s="4">
        <v>1795.79</v>
      </c>
      <c r="G686" s="3">
        <v>0.1</v>
      </c>
      <c r="H686" s="4">
        <v>340.16</v>
      </c>
      <c r="I686" t="str">
        <f>VLOOKUP(orders__17[[#This Row],[Customer_ID]],customers__2[#All],3,0)</f>
        <v>South</v>
      </c>
      <c r="J686" t="str">
        <f>VLOOKUP(orders__17[[#This Row],[Customer_ID]],customers__2[#All],4,0)</f>
        <v>Corporate</v>
      </c>
      <c r="K686" t="str">
        <f>VLOOKUP(orders__17[[#This Row],[Product_ID]],products[#All],3,0)</f>
        <v>Furniture</v>
      </c>
      <c r="L686" s="1" t="str">
        <f>VLOOKUP(orders__17[[#This Row],[Product_ID]],products[#All],4,0)</f>
        <v>Shelf</v>
      </c>
      <c r="M686" s="1" t="str">
        <f>VLOOKUP(orders__17[[#This Row],[Order_ID]],returns[#All],2,0)</f>
        <v>No</v>
      </c>
    </row>
    <row r="687" spans="1:13" x14ac:dyDescent="0.3">
      <c r="A687" s="1" t="s">
        <v>986</v>
      </c>
      <c r="B687" s="2">
        <v>44586</v>
      </c>
      <c r="C687" s="1" t="s">
        <v>510</v>
      </c>
      <c r="D687" s="1" t="s">
        <v>186</v>
      </c>
      <c r="E687">
        <v>1</v>
      </c>
      <c r="F687" s="4">
        <v>942.42</v>
      </c>
      <c r="G687" s="3">
        <v>0</v>
      </c>
      <c r="H687" s="4">
        <v>59.99</v>
      </c>
      <c r="I687" t="str">
        <f>VLOOKUP(orders__17[[#This Row],[Customer_ID]],customers__2[#All],3,0)</f>
        <v>South</v>
      </c>
      <c r="J687" t="str">
        <f>VLOOKUP(orders__17[[#This Row],[Customer_ID]],customers__2[#All],4,0)</f>
        <v>Consumer</v>
      </c>
      <c r="K687" t="str">
        <f>VLOOKUP(orders__17[[#This Row],[Product_ID]],products[#All],3,0)</f>
        <v>Technology</v>
      </c>
      <c r="L687" s="1" t="str">
        <f>VLOOKUP(orders__17[[#This Row],[Product_ID]],products[#All],4,0)</f>
        <v>Laptop</v>
      </c>
      <c r="M687" s="1" t="str">
        <f>VLOOKUP(orders__17[[#This Row],[Order_ID]],returns[#All],2,0)</f>
        <v>Yes</v>
      </c>
    </row>
    <row r="688" spans="1:13" x14ac:dyDescent="0.3">
      <c r="A688" s="1" t="s">
        <v>987</v>
      </c>
      <c r="B688" s="2">
        <v>44747</v>
      </c>
      <c r="C688" s="1" t="s">
        <v>96</v>
      </c>
      <c r="D688" s="1" t="s">
        <v>727</v>
      </c>
      <c r="E688">
        <v>5</v>
      </c>
      <c r="F688" s="4">
        <v>1253.47</v>
      </c>
      <c r="G688" s="3">
        <v>0.3</v>
      </c>
      <c r="H688" s="4">
        <v>367.22</v>
      </c>
      <c r="I688" t="str">
        <f>VLOOKUP(orders__17[[#This Row],[Customer_ID]],customers__2[#All],3,0)</f>
        <v>West</v>
      </c>
      <c r="J688" t="str">
        <f>VLOOKUP(orders__17[[#This Row],[Customer_ID]],customers__2[#All],4,0)</f>
        <v>Corporate</v>
      </c>
      <c r="K688" t="str">
        <f>VLOOKUP(orders__17[[#This Row],[Product_ID]],products[#All],3,0)</f>
        <v>Furniture</v>
      </c>
      <c r="L688" s="1" t="str">
        <f>VLOOKUP(orders__17[[#This Row],[Product_ID]],products[#All],4,0)</f>
        <v>Chair</v>
      </c>
      <c r="M688" s="1" t="str">
        <f>VLOOKUP(orders__17[[#This Row],[Order_ID]],returns[#All],2,0)</f>
        <v>No</v>
      </c>
    </row>
    <row r="689" spans="1:13" x14ac:dyDescent="0.3">
      <c r="A689" s="1" t="s">
        <v>988</v>
      </c>
      <c r="B689" s="2">
        <v>44615</v>
      </c>
      <c r="C689" s="1" t="s">
        <v>697</v>
      </c>
      <c r="D689" s="1" t="s">
        <v>258</v>
      </c>
      <c r="E689">
        <v>1</v>
      </c>
      <c r="F689" s="4">
        <v>1299.48</v>
      </c>
      <c r="G689" s="3">
        <v>0.1</v>
      </c>
      <c r="H689" s="4">
        <v>231.51</v>
      </c>
      <c r="I689" t="str">
        <f>VLOOKUP(orders__17[[#This Row],[Customer_ID]],customers__2[#All],3,0)</f>
        <v>South</v>
      </c>
      <c r="J689" t="str">
        <f>VLOOKUP(orders__17[[#This Row],[Customer_ID]],customers__2[#All],4,0)</f>
        <v>Corporate</v>
      </c>
      <c r="K689" t="str">
        <f>VLOOKUP(orders__17[[#This Row],[Product_ID]],products[#All],3,0)</f>
        <v>Technology</v>
      </c>
      <c r="L689" s="1" t="str">
        <f>VLOOKUP(orders__17[[#This Row],[Product_ID]],products[#All],4,0)</f>
        <v>Phone</v>
      </c>
      <c r="M689" s="1" t="str">
        <f>VLOOKUP(orders__17[[#This Row],[Order_ID]],returns[#All],2,0)</f>
        <v>Yes</v>
      </c>
    </row>
    <row r="690" spans="1:13" x14ac:dyDescent="0.3">
      <c r="A690" s="1" t="s">
        <v>989</v>
      </c>
      <c r="B690" s="2">
        <v>45187</v>
      </c>
      <c r="C690" s="1" t="s">
        <v>129</v>
      </c>
      <c r="D690" s="1" t="s">
        <v>226</v>
      </c>
      <c r="E690">
        <v>1</v>
      </c>
      <c r="F690" s="4">
        <v>1224.22</v>
      </c>
      <c r="G690" s="3">
        <v>0.3</v>
      </c>
      <c r="H690" s="4">
        <v>150.24</v>
      </c>
      <c r="I690" t="str">
        <f>VLOOKUP(orders__17[[#This Row],[Customer_ID]],customers__2[#All],3,0)</f>
        <v>South</v>
      </c>
      <c r="J690" t="str">
        <f>VLOOKUP(orders__17[[#This Row],[Customer_ID]],customers__2[#All],4,0)</f>
        <v>Corporate</v>
      </c>
      <c r="K690" t="str">
        <f>VLOOKUP(orders__17[[#This Row],[Product_ID]],products[#All],3,0)</f>
        <v>Technology</v>
      </c>
      <c r="L690" s="1" t="str">
        <f>VLOOKUP(orders__17[[#This Row],[Product_ID]],products[#All],4,0)</f>
        <v>Laptop</v>
      </c>
      <c r="M690" s="1" t="str">
        <f>VLOOKUP(orders__17[[#This Row],[Order_ID]],returns[#All],2,0)</f>
        <v>Yes</v>
      </c>
    </row>
    <row r="691" spans="1:13" x14ac:dyDescent="0.3">
      <c r="A691" s="1" t="s">
        <v>990</v>
      </c>
      <c r="B691" s="2">
        <v>45055</v>
      </c>
      <c r="C691" s="1" t="s">
        <v>285</v>
      </c>
      <c r="D691" s="1" t="s">
        <v>89</v>
      </c>
      <c r="E691">
        <v>3</v>
      </c>
      <c r="F691" s="4">
        <v>1435</v>
      </c>
      <c r="G691" s="3">
        <v>0.2</v>
      </c>
      <c r="H691" s="4">
        <v>240.15</v>
      </c>
      <c r="I691" t="str">
        <f>VLOOKUP(orders__17[[#This Row],[Customer_ID]],customers__2[#All],3,0)</f>
        <v>South</v>
      </c>
      <c r="J691" t="str">
        <f>VLOOKUP(orders__17[[#This Row],[Customer_ID]],customers__2[#All],4,0)</f>
        <v>Corporate</v>
      </c>
      <c r="K691" t="str">
        <f>VLOOKUP(orders__17[[#This Row],[Product_ID]],products[#All],3,0)</f>
        <v>Technology</v>
      </c>
      <c r="L691" s="1" t="str">
        <f>VLOOKUP(orders__17[[#This Row],[Product_ID]],products[#All],4,0)</f>
        <v>Phone</v>
      </c>
      <c r="M691" s="1" t="str">
        <f>VLOOKUP(orders__17[[#This Row],[Order_ID]],returns[#All],2,0)</f>
        <v>No</v>
      </c>
    </row>
    <row r="692" spans="1:13" x14ac:dyDescent="0.3">
      <c r="A692" s="1" t="s">
        <v>991</v>
      </c>
      <c r="B692" s="2">
        <v>45285</v>
      </c>
      <c r="C692" s="1" t="s">
        <v>238</v>
      </c>
      <c r="D692" s="1" t="s">
        <v>397</v>
      </c>
      <c r="E692">
        <v>5</v>
      </c>
      <c r="F692" s="4">
        <v>551.12</v>
      </c>
      <c r="G692" s="3">
        <v>0.2</v>
      </c>
      <c r="H692" s="4">
        <v>145.75</v>
      </c>
      <c r="I692" t="str">
        <f>VLOOKUP(orders__17[[#This Row],[Customer_ID]],customers__2[#All],3,0)</f>
        <v>West</v>
      </c>
      <c r="J692" t="str">
        <f>VLOOKUP(orders__17[[#This Row],[Customer_ID]],customers__2[#All],4,0)</f>
        <v>Corporate</v>
      </c>
      <c r="K692" t="str">
        <f>VLOOKUP(orders__17[[#This Row],[Product_ID]],products[#All],3,0)</f>
        <v>Office Supplies</v>
      </c>
      <c r="L692" s="1" t="str">
        <f>VLOOKUP(orders__17[[#This Row],[Product_ID]],products[#All],4,0)</f>
        <v>Pen</v>
      </c>
      <c r="M692" s="1" t="str">
        <f>VLOOKUP(orders__17[[#This Row],[Order_ID]],returns[#All],2,0)</f>
        <v>No</v>
      </c>
    </row>
    <row r="693" spans="1:13" x14ac:dyDescent="0.3">
      <c r="A693" s="1" t="s">
        <v>992</v>
      </c>
      <c r="B693" s="2">
        <v>44600</v>
      </c>
      <c r="C693" s="1" t="s">
        <v>300</v>
      </c>
      <c r="D693" s="1" t="s">
        <v>309</v>
      </c>
      <c r="E693">
        <v>5</v>
      </c>
      <c r="F693" s="4">
        <v>1073.49</v>
      </c>
      <c r="G693" s="3">
        <v>0</v>
      </c>
      <c r="H693" s="4">
        <v>135.5</v>
      </c>
      <c r="I693" t="str">
        <f>VLOOKUP(orders__17[[#This Row],[Customer_ID]],customers__2[#All],3,0)</f>
        <v>East</v>
      </c>
      <c r="J693" t="str">
        <f>VLOOKUP(orders__17[[#This Row],[Customer_ID]],customers__2[#All],4,0)</f>
        <v>Home Office</v>
      </c>
      <c r="K693" t="str">
        <f>VLOOKUP(orders__17[[#This Row],[Product_ID]],products[#All],3,0)</f>
        <v>Office Supplies</v>
      </c>
      <c r="L693" s="1" t="str">
        <f>VLOOKUP(orders__17[[#This Row],[Product_ID]],products[#All],4,0)</f>
        <v>Pen</v>
      </c>
      <c r="M693" s="1" t="str">
        <f>VLOOKUP(orders__17[[#This Row],[Order_ID]],returns[#All],2,0)</f>
        <v>No</v>
      </c>
    </row>
    <row r="694" spans="1:13" x14ac:dyDescent="0.3">
      <c r="A694" s="1" t="s">
        <v>993</v>
      </c>
      <c r="B694" s="2">
        <v>44752</v>
      </c>
      <c r="C694" s="1" t="s">
        <v>338</v>
      </c>
      <c r="D694" s="1" t="s">
        <v>275</v>
      </c>
      <c r="E694">
        <v>4</v>
      </c>
      <c r="F694" s="4">
        <v>298.02999999999997</v>
      </c>
      <c r="G694" s="3">
        <v>0.2</v>
      </c>
      <c r="H694" s="4">
        <v>29.26</v>
      </c>
      <c r="I694" t="str">
        <f>VLOOKUP(orders__17[[#This Row],[Customer_ID]],customers__2[#All],3,0)</f>
        <v>East</v>
      </c>
      <c r="J694" t="str">
        <f>VLOOKUP(orders__17[[#This Row],[Customer_ID]],customers__2[#All],4,0)</f>
        <v>Corporate</v>
      </c>
      <c r="K694" t="str">
        <f>VLOOKUP(orders__17[[#This Row],[Product_ID]],products[#All],3,0)</f>
        <v>Furniture</v>
      </c>
      <c r="L694" s="1" t="str">
        <f>VLOOKUP(orders__17[[#This Row],[Product_ID]],products[#All],4,0)</f>
        <v>Table</v>
      </c>
      <c r="M694" s="1" t="str">
        <f>VLOOKUP(orders__17[[#This Row],[Order_ID]],returns[#All],2,0)</f>
        <v>No</v>
      </c>
    </row>
    <row r="695" spans="1:13" x14ac:dyDescent="0.3">
      <c r="A695" s="1" t="s">
        <v>994</v>
      </c>
      <c r="B695" s="2">
        <v>45416</v>
      </c>
      <c r="C695" s="1" t="s">
        <v>174</v>
      </c>
      <c r="D695" s="1" t="s">
        <v>92</v>
      </c>
      <c r="E695">
        <v>1</v>
      </c>
      <c r="F695" s="4">
        <v>830.57</v>
      </c>
      <c r="G695" s="3">
        <v>0.1</v>
      </c>
      <c r="H695" s="4">
        <v>68.33</v>
      </c>
      <c r="I695" t="str">
        <f>VLOOKUP(orders__17[[#This Row],[Customer_ID]],customers__2[#All],3,0)</f>
        <v>East</v>
      </c>
      <c r="J695" t="str">
        <f>VLOOKUP(orders__17[[#This Row],[Customer_ID]],customers__2[#All],4,0)</f>
        <v>Consumer</v>
      </c>
      <c r="K695" t="str">
        <f>VLOOKUP(orders__17[[#This Row],[Product_ID]],products[#All],3,0)</f>
        <v>Furniture</v>
      </c>
      <c r="L695" s="1" t="str">
        <f>VLOOKUP(orders__17[[#This Row],[Product_ID]],products[#All],4,0)</f>
        <v>Shelf</v>
      </c>
      <c r="M695" s="1" t="str">
        <f>VLOOKUP(orders__17[[#This Row],[Order_ID]],returns[#All],2,0)</f>
        <v>No</v>
      </c>
    </row>
    <row r="696" spans="1:13" x14ac:dyDescent="0.3">
      <c r="A696" s="1" t="s">
        <v>995</v>
      </c>
      <c r="B696" s="2">
        <v>45089</v>
      </c>
      <c r="C696" s="1" t="s">
        <v>308</v>
      </c>
      <c r="D696" s="1" t="s">
        <v>195</v>
      </c>
      <c r="E696">
        <v>1</v>
      </c>
      <c r="F696" s="4">
        <v>1026.57</v>
      </c>
      <c r="G696" s="3">
        <v>0.2</v>
      </c>
      <c r="H696" s="4">
        <v>127.77</v>
      </c>
      <c r="I696" t="str">
        <f>VLOOKUP(orders__17[[#This Row],[Customer_ID]],customers__2[#All],3,0)</f>
        <v>North</v>
      </c>
      <c r="J696" t="str">
        <f>VLOOKUP(orders__17[[#This Row],[Customer_ID]],customers__2[#All],4,0)</f>
        <v>Home Office</v>
      </c>
      <c r="K696" t="str">
        <f>VLOOKUP(orders__17[[#This Row],[Product_ID]],products[#All],3,0)</f>
        <v>Furniture</v>
      </c>
      <c r="L696" s="1" t="str">
        <f>VLOOKUP(orders__17[[#This Row],[Product_ID]],products[#All],4,0)</f>
        <v>Chair</v>
      </c>
      <c r="M696" s="1" t="str">
        <f>VLOOKUP(orders__17[[#This Row],[Order_ID]],returns[#All],2,0)</f>
        <v>No</v>
      </c>
    </row>
    <row r="697" spans="1:13" x14ac:dyDescent="0.3">
      <c r="A697" s="1" t="s">
        <v>996</v>
      </c>
      <c r="B697" s="2">
        <v>44663</v>
      </c>
      <c r="C697" s="1" t="s">
        <v>622</v>
      </c>
      <c r="D697" s="1" t="s">
        <v>283</v>
      </c>
      <c r="E697">
        <v>2</v>
      </c>
      <c r="F697" s="4">
        <v>1339.23</v>
      </c>
      <c r="G697" s="3">
        <v>0</v>
      </c>
      <c r="H697" s="4">
        <v>328.13</v>
      </c>
      <c r="I697" t="str">
        <f>VLOOKUP(orders__17[[#This Row],[Customer_ID]],customers__2[#All],3,0)</f>
        <v>South</v>
      </c>
      <c r="J697" t="str">
        <f>VLOOKUP(orders__17[[#This Row],[Customer_ID]],customers__2[#All],4,0)</f>
        <v>Home Office</v>
      </c>
      <c r="K697" t="str">
        <f>VLOOKUP(orders__17[[#This Row],[Product_ID]],products[#All],3,0)</f>
        <v>Furniture</v>
      </c>
      <c r="L697" s="1" t="str">
        <f>VLOOKUP(orders__17[[#This Row],[Product_ID]],products[#All],4,0)</f>
        <v>Chair</v>
      </c>
      <c r="M697" s="1" t="str">
        <f>VLOOKUP(orders__17[[#This Row],[Order_ID]],returns[#All],2,0)</f>
        <v>Yes</v>
      </c>
    </row>
    <row r="698" spans="1:13" x14ac:dyDescent="0.3">
      <c r="A698" s="1" t="s">
        <v>997</v>
      </c>
      <c r="B698" s="2">
        <v>44887</v>
      </c>
      <c r="C698" s="1" t="s">
        <v>33</v>
      </c>
      <c r="D698" s="1" t="s">
        <v>455</v>
      </c>
      <c r="E698">
        <v>4</v>
      </c>
      <c r="F698" s="4">
        <v>1906.01</v>
      </c>
      <c r="G698" s="3">
        <v>0.3</v>
      </c>
      <c r="H698" s="4">
        <v>320.02999999999997</v>
      </c>
      <c r="I698" t="str">
        <f>VLOOKUP(orders__17[[#This Row],[Customer_ID]],customers__2[#All],3,0)</f>
        <v>East</v>
      </c>
      <c r="J698" t="str">
        <f>VLOOKUP(orders__17[[#This Row],[Customer_ID]],customers__2[#All],4,0)</f>
        <v>Home Office</v>
      </c>
      <c r="K698" t="str">
        <f>VLOOKUP(orders__17[[#This Row],[Product_ID]],products[#All],3,0)</f>
        <v>Furniture</v>
      </c>
      <c r="L698" s="1" t="str">
        <f>VLOOKUP(orders__17[[#This Row],[Product_ID]],products[#All],4,0)</f>
        <v>Shelf</v>
      </c>
      <c r="M698" s="1" t="str">
        <f>VLOOKUP(orders__17[[#This Row],[Order_ID]],returns[#All],2,0)</f>
        <v>No</v>
      </c>
    </row>
    <row r="699" spans="1:13" x14ac:dyDescent="0.3">
      <c r="A699" s="1" t="s">
        <v>998</v>
      </c>
      <c r="B699" s="2">
        <v>45189</v>
      </c>
      <c r="C699" s="1" t="s">
        <v>121</v>
      </c>
      <c r="D699" s="1" t="s">
        <v>727</v>
      </c>
      <c r="E699">
        <v>2</v>
      </c>
      <c r="F699" s="4">
        <v>1241.24</v>
      </c>
      <c r="G699" s="3">
        <v>0.3</v>
      </c>
      <c r="H699" s="4">
        <v>132.65</v>
      </c>
      <c r="I699" t="str">
        <f>VLOOKUP(orders__17[[#This Row],[Customer_ID]],customers__2[#All],3,0)</f>
        <v>East</v>
      </c>
      <c r="J699" t="str">
        <f>VLOOKUP(orders__17[[#This Row],[Customer_ID]],customers__2[#All],4,0)</f>
        <v>Corporate</v>
      </c>
      <c r="K699" t="str">
        <f>VLOOKUP(orders__17[[#This Row],[Product_ID]],products[#All],3,0)</f>
        <v>Furniture</v>
      </c>
      <c r="L699" s="1" t="str">
        <f>VLOOKUP(orders__17[[#This Row],[Product_ID]],products[#All],4,0)</f>
        <v>Chair</v>
      </c>
      <c r="M699" s="1" t="str">
        <f>VLOOKUP(orders__17[[#This Row],[Order_ID]],returns[#All],2,0)</f>
        <v>No</v>
      </c>
    </row>
    <row r="700" spans="1:13" x14ac:dyDescent="0.3">
      <c r="A700" s="1" t="s">
        <v>999</v>
      </c>
      <c r="B700" s="2">
        <v>44594</v>
      </c>
      <c r="C700" s="1" t="s">
        <v>308</v>
      </c>
      <c r="D700" s="1" t="s">
        <v>67</v>
      </c>
      <c r="E700">
        <v>2</v>
      </c>
      <c r="F700" s="4">
        <v>1512.83</v>
      </c>
      <c r="G700" s="3">
        <v>0.2</v>
      </c>
      <c r="H700" s="4">
        <v>138.49</v>
      </c>
      <c r="I700" t="str">
        <f>VLOOKUP(orders__17[[#This Row],[Customer_ID]],customers__2[#All],3,0)</f>
        <v>North</v>
      </c>
      <c r="J700" t="str">
        <f>VLOOKUP(orders__17[[#This Row],[Customer_ID]],customers__2[#All],4,0)</f>
        <v>Home Office</v>
      </c>
      <c r="K700" t="str">
        <f>VLOOKUP(orders__17[[#This Row],[Product_ID]],products[#All],3,0)</f>
        <v>Furniture</v>
      </c>
      <c r="L700" s="1" t="str">
        <f>VLOOKUP(orders__17[[#This Row],[Product_ID]],products[#All],4,0)</f>
        <v>Chair</v>
      </c>
      <c r="M700" s="1" t="str">
        <f>VLOOKUP(orders__17[[#This Row],[Order_ID]],returns[#All],2,0)</f>
        <v>No</v>
      </c>
    </row>
    <row r="701" spans="1:13" x14ac:dyDescent="0.3">
      <c r="A701" s="1" t="s">
        <v>1000</v>
      </c>
      <c r="B701" s="2">
        <v>44973</v>
      </c>
      <c r="C701" s="1" t="s">
        <v>121</v>
      </c>
      <c r="D701" s="1" t="s">
        <v>397</v>
      </c>
      <c r="E701">
        <v>2</v>
      </c>
      <c r="F701" s="4">
        <v>1061.9100000000001</v>
      </c>
      <c r="G701" s="3">
        <v>0.1</v>
      </c>
      <c r="H701" s="4">
        <v>141.43</v>
      </c>
      <c r="I701" t="str">
        <f>VLOOKUP(orders__17[[#This Row],[Customer_ID]],customers__2[#All],3,0)</f>
        <v>East</v>
      </c>
      <c r="J701" t="str">
        <f>VLOOKUP(orders__17[[#This Row],[Customer_ID]],customers__2[#All],4,0)</f>
        <v>Corporate</v>
      </c>
      <c r="K701" t="str">
        <f>VLOOKUP(orders__17[[#This Row],[Product_ID]],products[#All],3,0)</f>
        <v>Office Supplies</v>
      </c>
      <c r="L701" s="1" t="str">
        <f>VLOOKUP(orders__17[[#This Row],[Product_ID]],products[#All],4,0)</f>
        <v>Pen</v>
      </c>
      <c r="M701" s="1" t="str">
        <f>VLOOKUP(orders__17[[#This Row],[Order_ID]],returns[#All],2,0)</f>
        <v>Yes</v>
      </c>
    </row>
    <row r="702" spans="1:13" x14ac:dyDescent="0.3">
      <c r="A702" s="1" t="s">
        <v>1001</v>
      </c>
      <c r="B702" s="2">
        <v>44932</v>
      </c>
      <c r="C702" s="1" t="s">
        <v>102</v>
      </c>
      <c r="D702" s="1" t="s">
        <v>147</v>
      </c>
      <c r="E702">
        <v>3</v>
      </c>
      <c r="F702" s="4">
        <v>1304.8</v>
      </c>
      <c r="G702" s="3">
        <v>0</v>
      </c>
      <c r="H702" s="4">
        <v>371.84</v>
      </c>
      <c r="I702" t="str">
        <f>VLOOKUP(orders__17[[#This Row],[Customer_ID]],customers__2[#All],3,0)</f>
        <v>West</v>
      </c>
      <c r="J702" t="str">
        <f>VLOOKUP(orders__17[[#This Row],[Customer_ID]],customers__2[#All],4,0)</f>
        <v>Corporate</v>
      </c>
      <c r="K702" t="str">
        <f>VLOOKUP(orders__17[[#This Row],[Product_ID]],products[#All],3,0)</f>
        <v>Technology</v>
      </c>
      <c r="L702" s="1" t="str">
        <f>VLOOKUP(orders__17[[#This Row],[Product_ID]],products[#All],4,0)</f>
        <v>Laptop</v>
      </c>
      <c r="M702" s="1" t="str">
        <f>VLOOKUP(orders__17[[#This Row],[Order_ID]],returns[#All],2,0)</f>
        <v>No</v>
      </c>
    </row>
    <row r="703" spans="1:13" x14ac:dyDescent="0.3">
      <c r="A703" s="1" t="s">
        <v>1002</v>
      </c>
      <c r="B703" s="2">
        <v>44614</v>
      </c>
      <c r="C703" s="1" t="s">
        <v>396</v>
      </c>
      <c r="D703" s="1" t="s">
        <v>13</v>
      </c>
      <c r="E703">
        <v>3</v>
      </c>
      <c r="F703" s="4">
        <v>234.77</v>
      </c>
      <c r="G703" s="3">
        <v>0.1</v>
      </c>
      <c r="H703" s="4">
        <v>31.87</v>
      </c>
      <c r="I703" t="str">
        <f>VLOOKUP(orders__17[[#This Row],[Customer_ID]],customers__2[#All],3,0)</f>
        <v>West</v>
      </c>
      <c r="J703" t="str">
        <f>VLOOKUP(orders__17[[#This Row],[Customer_ID]],customers__2[#All],4,0)</f>
        <v>Home Office</v>
      </c>
      <c r="K703" t="str">
        <f>VLOOKUP(orders__17[[#This Row],[Product_ID]],products[#All],3,0)</f>
        <v>Furniture</v>
      </c>
      <c r="L703" s="1" t="str">
        <f>VLOOKUP(orders__17[[#This Row],[Product_ID]],products[#All],4,0)</f>
        <v>Desk</v>
      </c>
      <c r="M703" s="1" t="str">
        <f>VLOOKUP(orders__17[[#This Row],[Order_ID]],returns[#All],2,0)</f>
        <v>No</v>
      </c>
    </row>
    <row r="704" spans="1:13" x14ac:dyDescent="0.3">
      <c r="A704" s="1" t="s">
        <v>1003</v>
      </c>
      <c r="B704" s="2">
        <v>44907</v>
      </c>
      <c r="C704" s="1" t="s">
        <v>36</v>
      </c>
      <c r="D704" s="1" t="s">
        <v>283</v>
      </c>
      <c r="E704">
        <v>2</v>
      </c>
      <c r="F704" s="4">
        <v>583.34</v>
      </c>
      <c r="G704" s="3">
        <v>0</v>
      </c>
      <c r="H704" s="4">
        <v>173.27</v>
      </c>
      <c r="I704" t="str">
        <f>VLOOKUP(orders__17[[#This Row],[Customer_ID]],customers__2[#All],3,0)</f>
        <v>North</v>
      </c>
      <c r="J704" t="str">
        <f>VLOOKUP(orders__17[[#This Row],[Customer_ID]],customers__2[#All],4,0)</f>
        <v>Consumer</v>
      </c>
      <c r="K704" t="str">
        <f>VLOOKUP(orders__17[[#This Row],[Product_ID]],products[#All],3,0)</f>
        <v>Furniture</v>
      </c>
      <c r="L704" s="1" t="str">
        <f>VLOOKUP(orders__17[[#This Row],[Product_ID]],products[#All],4,0)</f>
        <v>Chair</v>
      </c>
      <c r="M704" s="1" t="str">
        <f>VLOOKUP(orders__17[[#This Row],[Order_ID]],returns[#All],2,0)</f>
        <v>No</v>
      </c>
    </row>
    <row r="705" spans="1:13" x14ac:dyDescent="0.3">
      <c r="A705" s="1" t="s">
        <v>1004</v>
      </c>
      <c r="B705" s="2">
        <v>45396</v>
      </c>
      <c r="C705" s="1" t="s">
        <v>729</v>
      </c>
      <c r="D705" s="1" t="s">
        <v>296</v>
      </c>
      <c r="E705">
        <v>4</v>
      </c>
      <c r="F705" s="4">
        <v>787.52</v>
      </c>
      <c r="G705" s="3">
        <v>0.2</v>
      </c>
      <c r="H705" s="4">
        <v>134.91</v>
      </c>
      <c r="I705" t="str">
        <f>VLOOKUP(orders__17[[#This Row],[Customer_ID]],customers__2[#All],3,0)</f>
        <v>North</v>
      </c>
      <c r="J705" t="str">
        <f>VLOOKUP(orders__17[[#This Row],[Customer_ID]],customers__2[#All],4,0)</f>
        <v>Home Office</v>
      </c>
      <c r="K705" t="str">
        <f>VLOOKUP(orders__17[[#This Row],[Product_ID]],products[#All],3,0)</f>
        <v>Technology</v>
      </c>
      <c r="L705" s="1" t="str">
        <f>VLOOKUP(orders__17[[#This Row],[Product_ID]],products[#All],4,0)</f>
        <v>Accessories</v>
      </c>
      <c r="M705" s="1" t="str">
        <f>VLOOKUP(orders__17[[#This Row],[Order_ID]],returns[#All],2,0)</f>
        <v>Yes</v>
      </c>
    </row>
    <row r="706" spans="1:13" x14ac:dyDescent="0.3">
      <c r="A706" s="1" t="s">
        <v>1005</v>
      </c>
      <c r="B706" s="2">
        <v>45057</v>
      </c>
      <c r="C706" s="1" t="s">
        <v>190</v>
      </c>
      <c r="D706" s="1" t="s">
        <v>221</v>
      </c>
      <c r="E706">
        <v>1</v>
      </c>
      <c r="F706" s="4">
        <v>997.74</v>
      </c>
      <c r="G706" s="3">
        <v>0</v>
      </c>
      <c r="H706" s="4">
        <v>94.58</v>
      </c>
      <c r="I706" t="str">
        <f>VLOOKUP(orders__17[[#This Row],[Customer_ID]],customers__2[#All],3,0)</f>
        <v>East</v>
      </c>
      <c r="J706" t="str">
        <f>VLOOKUP(orders__17[[#This Row],[Customer_ID]],customers__2[#All],4,0)</f>
        <v>Home Office</v>
      </c>
      <c r="K706" t="str">
        <f>VLOOKUP(orders__17[[#This Row],[Product_ID]],products[#All],3,0)</f>
        <v>Technology</v>
      </c>
      <c r="L706" s="1" t="str">
        <f>VLOOKUP(orders__17[[#This Row],[Product_ID]],products[#All],4,0)</f>
        <v>Laptop</v>
      </c>
      <c r="M706" s="1" t="str">
        <f>VLOOKUP(orders__17[[#This Row],[Order_ID]],returns[#All],2,0)</f>
        <v>Yes</v>
      </c>
    </row>
    <row r="707" spans="1:13" x14ac:dyDescent="0.3">
      <c r="A707" s="1" t="s">
        <v>1006</v>
      </c>
      <c r="B707" s="2">
        <v>45456</v>
      </c>
      <c r="C707" s="1" t="s">
        <v>777</v>
      </c>
      <c r="D707" s="1" t="s">
        <v>37</v>
      </c>
      <c r="E707">
        <v>4</v>
      </c>
      <c r="F707" s="4">
        <v>186.73</v>
      </c>
      <c r="G707" s="3">
        <v>0</v>
      </c>
      <c r="H707" s="4">
        <v>50.94</v>
      </c>
      <c r="I707" t="str">
        <f>VLOOKUP(orders__17[[#This Row],[Customer_ID]],customers__2[#All],3,0)</f>
        <v>South</v>
      </c>
      <c r="J707" t="str">
        <f>VLOOKUP(orders__17[[#This Row],[Customer_ID]],customers__2[#All],4,0)</f>
        <v>Home Office</v>
      </c>
      <c r="K707" t="str">
        <f>VLOOKUP(orders__17[[#This Row],[Product_ID]],products[#All],3,0)</f>
        <v>Furniture</v>
      </c>
      <c r="L707" s="1" t="str">
        <f>VLOOKUP(orders__17[[#This Row],[Product_ID]],products[#All],4,0)</f>
        <v>Desk</v>
      </c>
      <c r="M707" s="1" t="str">
        <f>VLOOKUP(orders__17[[#This Row],[Order_ID]],returns[#All],2,0)</f>
        <v>No</v>
      </c>
    </row>
    <row r="708" spans="1:13" x14ac:dyDescent="0.3">
      <c r="A708" s="1" t="s">
        <v>1007</v>
      </c>
      <c r="B708" s="2">
        <v>45239</v>
      </c>
      <c r="C708" s="1" t="s">
        <v>434</v>
      </c>
      <c r="D708" s="1" t="s">
        <v>147</v>
      </c>
      <c r="E708">
        <v>5</v>
      </c>
      <c r="F708" s="4">
        <v>366.05</v>
      </c>
      <c r="G708" s="3">
        <v>0.2</v>
      </c>
      <c r="H708" s="4">
        <v>60.43</v>
      </c>
      <c r="I708" t="str">
        <f>VLOOKUP(orders__17[[#This Row],[Customer_ID]],customers__2[#All],3,0)</f>
        <v>North</v>
      </c>
      <c r="J708" t="str">
        <f>VLOOKUP(orders__17[[#This Row],[Customer_ID]],customers__2[#All],4,0)</f>
        <v>Corporate</v>
      </c>
      <c r="K708" t="str">
        <f>VLOOKUP(orders__17[[#This Row],[Product_ID]],products[#All],3,0)</f>
        <v>Technology</v>
      </c>
      <c r="L708" s="1" t="str">
        <f>VLOOKUP(orders__17[[#This Row],[Product_ID]],products[#All],4,0)</f>
        <v>Laptop</v>
      </c>
      <c r="M708" s="1" t="str">
        <f>VLOOKUP(orders__17[[#This Row],[Order_ID]],returns[#All],2,0)</f>
        <v>No</v>
      </c>
    </row>
    <row r="709" spans="1:13" x14ac:dyDescent="0.3">
      <c r="A709" s="1" t="s">
        <v>1008</v>
      </c>
      <c r="B709" s="2">
        <v>44990</v>
      </c>
      <c r="C709" s="1" t="s">
        <v>280</v>
      </c>
      <c r="D709" s="1" t="s">
        <v>195</v>
      </c>
      <c r="E709">
        <v>3</v>
      </c>
      <c r="F709" s="4">
        <v>625.95000000000005</v>
      </c>
      <c r="G709" s="3">
        <v>0.1</v>
      </c>
      <c r="H709" s="4">
        <v>142.35</v>
      </c>
      <c r="I709" t="str">
        <f>VLOOKUP(orders__17[[#This Row],[Customer_ID]],customers__2[#All],3,0)</f>
        <v>East</v>
      </c>
      <c r="J709" t="str">
        <f>VLOOKUP(orders__17[[#This Row],[Customer_ID]],customers__2[#All],4,0)</f>
        <v>Corporate</v>
      </c>
      <c r="K709" t="str">
        <f>VLOOKUP(orders__17[[#This Row],[Product_ID]],products[#All],3,0)</f>
        <v>Furniture</v>
      </c>
      <c r="L709" s="1" t="str">
        <f>VLOOKUP(orders__17[[#This Row],[Product_ID]],products[#All],4,0)</f>
        <v>Chair</v>
      </c>
      <c r="M709" s="1" t="str">
        <f>VLOOKUP(orders__17[[#This Row],[Order_ID]],returns[#All],2,0)</f>
        <v>No</v>
      </c>
    </row>
    <row r="710" spans="1:13" x14ac:dyDescent="0.3">
      <c r="A710" s="1" t="s">
        <v>1009</v>
      </c>
      <c r="B710" s="2">
        <v>44700</v>
      </c>
      <c r="C710" s="1" t="s">
        <v>559</v>
      </c>
      <c r="D710" s="1" t="s">
        <v>253</v>
      </c>
      <c r="E710">
        <v>1</v>
      </c>
      <c r="F710" s="4">
        <v>1945.91</v>
      </c>
      <c r="G710" s="3">
        <v>0.2</v>
      </c>
      <c r="H710" s="4">
        <v>575.85</v>
      </c>
      <c r="I710" t="str">
        <f>VLOOKUP(orders__17[[#This Row],[Customer_ID]],customers__2[#All],3,0)</f>
        <v>South</v>
      </c>
      <c r="J710" t="str">
        <f>VLOOKUP(orders__17[[#This Row],[Customer_ID]],customers__2[#All],4,0)</f>
        <v>Consumer</v>
      </c>
      <c r="K710" t="str">
        <f>VLOOKUP(orders__17[[#This Row],[Product_ID]],products[#All],3,0)</f>
        <v>Technology</v>
      </c>
      <c r="L710" s="1" t="str">
        <f>VLOOKUP(orders__17[[#This Row],[Product_ID]],products[#All],4,0)</f>
        <v>Accessories</v>
      </c>
      <c r="M710" s="1" t="str">
        <f>VLOOKUP(orders__17[[#This Row],[Order_ID]],returns[#All],2,0)</f>
        <v>No</v>
      </c>
    </row>
    <row r="711" spans="1:13" x14ac:dyDescent="0.3">
      <c r="A711" s="1" t="s">
        <v>1010</v>
      </c>
      <c r="B711" s="2">
        <v>45202</v>
      </c>
      <c r="C711" s="1" t="s">
        <v>282</v>
      </c>
      <c r="D711" s="1" t="s">
        <v>34</v>
      </c>
      <c r="E711">
        <v>1</v>
      </c>
      <c r="F711" s="4">
        <v>729.56</v>
      </c>
      <c r="G711" s="3">
        <v>0</v>
      </c>
      <c r="H711" s="4">
        <v>45.63</v>
      </c>
      <c r="I711" t="str">
        <f>VLOOKUP(orders__17[[#This Row],[Customer_ID]],customers__2[#All],3,0)</f>
        <v>South</v>
      </c>
      <c r="J711" t="str">
        <f>VLOOKUP(orders__17[[#This Row],[Customer_ID]],customers__2[#All],4,0)</f>
        <v>Home Office</v>
      </c>
      <c r="K711" t="str">
        <f>VLOOKUP(orders__17[[#This Row],[Product_ID]],products[#All],3,0)</f>
        <v>Furniture</v>
      </c>
      <c r="L711" s="1" t="str">
        <f>VLOOKUP(orders__17[[#This Row],[Product_ID]],products[#All],4,0)</f>
        <v>Table</v>
      </c>
      <c r="M711" s="1" t="str">
        <f>VLOOKUP(orders__17[[#This Row],[Order_ID]],returns[#All],2,0)</f>
        <v>No</v>
      </c>
    </row>
    <row r="712" spans="1:13" x14ac:dyDescent="0.3">
      <c r="A712" s="1" t="s">
        <v>1011</v>
      </c>
      <c r="B712" s="2">
        <v>45328</v>
      </c>
      <c r="C712" s="1" t="s">
        <v>344</v>
      </c>
      <c r="D712" s="1" t="s">
        <v>177</v>
      </c>
      <c r="E712">
        <v>5</v>
      </c>
      <c r="F712" s="4">
        <v>1015.88</v>
      </c>
      <c r="G712" s="3">
        <v>0.2</v>
      </c>
      <c r="H712" s="4">
        <v>75.349999999999994</v>
      </c>
      <c r="I712" t="str">
        <f>VLOOKUP(orders__17[[#This Row],[Customer_ID]],customers__2[#All],3,0)</f>
        <v>North</v>
      </c>
      <c r="J712" t="str">
        <f>VLOOKUP(orders__17[[#This Row],[Customer_ID]],customers__2[#All],4,0)</f>
        <v>Home Office</v>
      </c>
      <c r="K712" t="str">
        <f>VLOOKUP(orders__17[[#This Row],[Product_ID]],products[#All],3,0)</f>
        <v>Furniture</v>
      </c>
      <c r="L712" s="1" t="str">
        <f>VLOOKUP(orders__17[[#This Row],[Product_ID]],products[#All],4,0)</f>
        <v>Table</v>
      </c>
      <c r="M712" s="1" t="str">
        <f>VLOOKUP(orders__17[[#This Row],[Order_ID]],returns[#All],2,0)</f>
        <v>No</v>
      </c>
    </row>
    <row r="713" spans="1:13" x14ac:dyDescent="0.3">
      <c r="A713" s="1" t="s">
        <v>1012</v>
      </c>
      <c r="B713" s="2">
        <v>45436</v>
      </c>
      <c r="C713" s="1" t="s">
        <v>208</v>
      </c>
      <c r="D713" s="1" t="s">
        <v>296</v>
      </c>
      <c r="E713">
        <v>5</v>
      </c>
      <c r="F713" s="4">
        <v>472.59</v>
      </c>
      <c r="G713" s="3">
        <v>0</v>
      </c>
      <c r="H713" s="4">
        <v>108.75</v>
      </c>
      <c r="I713" t="str">
        <f>VLOOKUP(orders__17[[#This Row],[Customer_ID]],customers__2[#All],3,0)</f>
        <v>North</v>
      </c>
      <c r="J713" t="str">
        <f>VLOOKUP(orders__17[[#This Row],[Customer_ID]],customers__2[#All],4,0)</f>
        <v>Home Office</v>
      </c>
      <c r="K713" t="str">
        <f>VLOOKUP(orders__17[[#This Row],[Product_ID]],products[#All],3,0)</f>
        <v>Technology</v>
      </c>
      <c r="L713" s="1" t="str">
        <f>VLOOKUP(orders__17[[#This Row],[Product_ID]],products[#All],4,0)</f>
        <v>Accessories</v>
      </c>
      <c r="M713" s="1" t="str">
        <f>VLOOKUP(orders__17[[#This Row],[Order_ID]],returns[#All],2,0)</f>
        <v>No</v>
      </c>
    </row>
    <row r="714" spans="1:13" x14ac:dyDescent="0.3">
      <c r="A714" s="1" t="s">
        <v>1013</v>
      </c>
      <c r="B714" s="2">
        <v>44777</v>
      </c>
      <c r="C714" s="1" t="s">
        <v>468</v>
      </c>
      <c r="D714" s="1" t="s">
        <v>215</v>
      </c>
      <c r="E714">
        <v>2</v>
      </c>
      <c r="F714" s="4">
        <v>1260.48</v>
      </c>
      <c r="G714" s="3">
        <v>0.2</v>
      </c>
      <c r="H714" s="4">
        <v>151.83000000000001</v>
      </c>
      <c r="I714" t="str">
        <f>VLOOKUP(orders__17[[#This Row],[Customer_ID]],customers__2[#All],3,0)</f>
        <v>South</v>
      </c>
      <c r="J714" t="str">
        <f>VLOOKUP(orders__17[[#This Row],[Customer_ID]],customers__2[#All],4,0)</f>
        <v>Consumer</v>
      </c>
      <c r="K714" t="str">
        <f>VLOOKUP(orders__17[[#This Row],[Product_ID]],products[#All],3,0)</f>
        <v>Furniture</v>
      </c>
      <c r="L714" s="1" t="str">
        <f>VLOOKUP(orders__17[[#This Row],[Product_ID]],products[#All],4,0)</f>
        <v>Table</v>
      </c>
      <c r="M714" s="1" t="str">
        <f>VLOOKUP(orders__17[[#This Row],[Order_ID]],returns[#All],2,0)</f>
        <v>No</v>
      </c>
    </row>
    <row r="715" spans="1:13" x14ac:dyDescent="0.3">
      <c r="A715" s="1" t="s">
        <v>1014</v>
      </c>
      <c r="B715" s="2">
        <v>45089</v>
      </c>
      <c r="C715" s="1" t="s">
        <v>220</v>
      </c>
      <c r="D715" s="1" t="s">
        <v>378</v>
      </c>
      <c r="E715">
        <v>3</v>
      </c>
      <c r="F715" s="4">
        <v>633.29999999999995</v>
      </c>
      <c r="G715" s="3">
        <v>0.3</v>
      </c>
      <c r="H715" s="4">
        <v>60.84</v>
      </c>
      <c r="I715" t="str">
        <f>VLOOKUP(orders__17[[#This Row],[Customer_ID]],customers__2[#All],3,0)</f>
        <v>West</v>
      </c>
      <c r="J715" t="str">
        <f>VLOOKUP(orders__17[[#This Row],[Customer_ID]],customers__2[#All],4,0)</f>
        <v>Corporate</v>
      </c>
      <c r="K715" t="str">
        <f>VLOOKUP(orders__17[[#This Row],[Product_ID]],products[#All],3,0)</f>
        <v>Office Supplies</v>
      </c>
      <c r="L715" s="1" t="str">
        <f>VLOOKUP(orders__17[[#This Row],[Product_ID]],products[#All],4,0)</f>
        <v>Paper</v>
      </c>
      <c r="M715" s="1" t="str">
        <f>VLOOKUP(orders__17[[#This Row],[Order_ID]],returns[#All],2,0)</f>
        <v>Yes</v>
      </c>
    </row>
    <row r="716" spans="1:13" x14ac:dyDescent="0.3">
      <c r="A716" s="1" t="s">
        <v>1015</v>
      </c>
      <c r="B716" s="2">
        <v>44585</v>
      </c>
      <c r="C716" s="1" t="s">
        <v>99</v>
      </c>
      <c r="D716" s="1" t="s">
        <v>139</v>
      </c>
      <c r="E716">
        <v>3</v>
      </c>
      <c r="F716" s="4">
        <v>493.29</v>
      </c>
      <c r="G716" s="3">
        <v>0.3</v>
      </c>
      <c r="H716" s="4">
        <v>29.52</v>
      </c>
      <c r="I716" t="str">
        <f>VLOOKUP(orders__17[[#This Row],[Customer_ID]],customers__2[#All],3,0)</f>
        <v>East</v>
      </c>
      <c r="J716" t="str">
        <f>VLOOKUP(orders__17[[#This Row],[Customer_ID]],customers__2[#All],4,0)</f>
        <v>Corporate</v>
      </c>
      <c r="K716" t="str">
        <f>VLOOKUP(orders__17[[#This Row],[Product_ID]],products[#All],3,0)</f>
        <v>Furniture</v>
      </c>
      <c r="L716" s="1" t="str">
        <f>VLOOKUP(orders__17[[#This Row],[Product_ID]],products[#All],4,0)</f>
        <v>Table</v>
      </c>
      <c r="M716" s="1" t="str">
        <f>VLOOKUP(orders__17[[#This Row],[Order_ID]],returns[#All],2,0)</f>
        <v>Yes</v>
      </c>
    </row>
    <row r="717" spans="1:13" x14ac:dyDescent="0.3">
      <c r="A717" s="1" t="s">
        <v>1016</v>
      </c>
      <c r="B717" s="2">
        <v>45416</v>
      </c>
      <c r="C717" s="1" t="s">
        <v>58</v>
      </c>
      <c r="D717" s="1" t="s">
        <v>275</v>
      </c>
      <c r="E717">
        <v>4</v>
      </c>
      <c r="F717" s="4">
        <v>1081.49</v>
      </c>
      <c r="G717" s="3">
        <v>0.2</v>
      </c>
      <c r="H717" s="4">
        <v>59.98</v>
      </c>
      <c r="I717" t="str">
        <f>VLOOKUP(orders__17[[#This Row],[Customer_ID]],customers__2[#All],3,0)</f>
        <v>West</v>
      </c>
      <c r="J717" t="str">
        <f>VLOOKUP(orders__17[[#This Row],[Customer_ID]],customers__2[#All],4,0)</f>
        <v>Corporate</v>
      </c>
      <c r="K717" t="str">
        <f>VLOOKUP(orders__17[[#This Row],[Product_ID]],products[#All],3,0)</f>
        <v>Furniture</v>
      </c>
      <c r="L717" s="1" t="str">
        <f>VLOOKUP(orders__17[[#This Row],[Product_ID]],products[#All],4,0)</f>
        <v>Table</v>
      </c>
      <c r="M717" s="1" t="str">
        <f>VLOOKUP(orders__17[[#This Row],[Order_ID]],returns[#All],2,0)</f>
        <v>No</v>
      </c>
    </row>
    <row r="718" spans="1:13" x14ac:dyDescent="0.3">
      <c r="A718" s="1" t="s">
        <v>1017</v>
      </c>
      <c r="B718" s="2">
        <v>44777</v>
      </c>
      <c r="C718" s="1" t="s">
        <v>182</v>
      </c>
      <c r="D718" s="1" t="s">
        <v>61</v>
      </c>
      <c r="E718">
        <v>2</v>
      </c>
      <c r="F718" s="4">
        <v>110.46</v>
      </c>
      <c r="G718" s="3">
        <v>0.1</v>
      </c>
      <c r="H718" s="4">
        <v>26.91</v>
      </c>
      <c r="I718" t="str">
        <f>VLOOKUP(orders__17[[#This Row],[Customer_ID]],customers__2[#All],3,0)</f>
        <v>South</v>
      </c>
      <c r="J718" t="str">
        <f>VLOOKUP(orders__17[[#This Row],[Customer_ID]],customers__2[#All],4,0)</f>
        <v>Consumer</v>
      </c>
      <c r="K718" t="str">
        <f>VLOOKUP(orders__17[[#This Row],[Product_ID]],products[#All],3,0)</f>
        <v>Office Supplies</v>
      </c>
      <c r="L718" s="1" t="str">
        <f>VLOOKUP(orders__17[[#This Row],[Product_ID]],products[#All],4,0)</f>
        <v>Binder</v>
      </c>
      <c r="M718" s="1" t="str">
        <f>VLOOKUP(orders__17[[#This Row],[Order_ID]],returns[#All],2,0)</f>
        <v>Yes</v>
      </c>
    </row>
    <row r="719" spans="1:13" x14ac:dyDescent="0.3">
      <c r="A719" s="1" t="s">
        <v>1018</v>
      </c>
      <c r="B719" s="2">
        <v>45230</v>
      </c>
      <c r="C719" s="1" t="s">
        <v>80</v>
      </c>
      <c r="D719" s="1" t="s">
        <v>143</v>
      </c>
      <c r="E719">
        <v>2</v>
      </c>
      <c r="F719" s="4">
        <v>114.56</v>
      </c>
      <c r="G719" s="3">
        <v>0</v>
      </c>
      <c r="H719" s="4">
        <v>9.58</v>
      </c>
      <c r="I719" t="str">
        <f>VLOOKUP(orders__17[[#This Row],[Customer_ID]],customers__2[#All],3,0)</f>
        <v>East</v>
      </c>
      <c r="J719" t="str">
        <f>VLOOKUP(orders__17[[#This Row],[Customer_ID]],customers__2[#All],4,0)</f>
        <v>Home Office</v>
      </c>
      <c r="K719" t="str">
        <f>VLOOKUP(orders__17[[#This Row],[Product_ID]],products[#All],3,0)</f>
        <v>Furniture</v>
      </c>
      <c r="L719" s="1" t="str">
        <f>VLOOKUP(orders__17[[#This Row],[Product_ID]],products[#All],4,0)</f>
        <v>Shelf</v>
      </c>
      <c r="M719" s="1" t="str">
        <f>VLOOKUP(orders__17[[#This Row],[Order_ID]],returns[#All],2,0)</f>
        <v>No</v>
      </c>
    </row>
    <row r="720" spans="1:13" x14ac:dyDescent="0.3">
      <c r="A720" s="1" t="s">
        <v>1019</v>
      </c>
      <c r="B720" s="2">
        <v>44932</v>
      </c>
      <c r="C720" s="1" t="s">
        <v>200</v>
      </c>
      <c r="D720" s="1" t="s">
        <v>603</v>
      </c>
      <c r="E720">
        <v>2</v>
      </c>
      <c r="F720" s="4">
        <v>516.23</v>
      </c>
      <c r="G720" s="3">
        <v>0.3</v>
      </c>
      <c r="H720" s="4">
        <v>86.17</v>
      </c>
      <c r="I720" t="str">
        <f>VLOOKUP(orders__17[[#This Row],[Customer_ID]],customers__2[#All],3,0)</f>
        <v>East</v>
      </c>
      <c r="J720" t="str">
        <f>VLOOKUP(orders__17[[#This Row],[Customer_ID]],customers__2[#All],4,0)</f>
        <v>Consumer</v>
      </c>
      <c r="K720" t="str">
        <f>VLOOKUP(orders__17[[#This Row],[Product_ID]],products[#All],3,0)</f>
        <v>Technology</v>
      </c>
      <c r="L720" s="1" t="str">
        <f>VLOOKUP(orders__17[[#This Row],[Product_ID]],products[#All],4,0)</f>
        <v>Accessories</v>
      </c>
      <c r="M720" s="1" t="str">
        <f>VLOOKUP(orders__17[[#This Row],[Order_ID]],returns[#All],2,0)</f>
        <v>Yes</v>
      </c>
    </row>
    <row r="721" spans="1:13" x14ac:dyDescent="0.3">
      <c r="A721" s="1" t="s">
        <v>1020</v>
      </c>
      <c r="B721" s="2">
        <v>45391</v>
      </c>
      <c r="C721" s="1" t="s">
        <v>225</v>
      </c>
      <c r="D721" s="1" t="s">
        <v>294</v>
      </c>
      <c r="E721">
        <v>2</v>
      </c>
      <c r="F721" s="4">
        <v>169.77</v>
      </c>
      <c r="G721" s="3">
        <v>0.1</v>
      </c>
      <c r="H721" s="4">
        <v>34.200000000000003</v>
      </c>
      <c r="I721" t="str">
        <f>VLOOKUP(orders__17[[#This Row],[Customer_ID]],customers__2[#All],3,0)</f>
        <v>North</v>
      </c>
      <c r="J721" t="str">
        <f>VLOOKUP(orders__17[[#This Row],[Customer_ID]],customers__2[#All],4,0)</f>
        <v>Consumer</v>
      </c>
      <c r="K721" t="str">
        <f>VLOOKUP(orders__17[[#This Row],[Product_ID]],products[#All],3,0)</f>
        <v>Technology</v>
      </c>
      <c r="L721" s="1" t="str">
        <f>VLOOKUP(orders__17[[#This Row],[Product_ID]],products[#All],4,0)</f>
        <v>Tablet</v>
      </c>
      <c r="M721" s="1" t="str">
        <f>VLOOKUP(orders__17[[#This Row],[Order_ID]],returns[#All],2,0)</f>
        <v>No</v>
      </c>
    </row>
    <row r="722" spans="1:13" x14ac:dyDescent="0.3">
      <c r="A722" s="1" t="s">
        <v>1021</v>
      </c>
      <c r="B722" s="2">
        <v>44718</v>
      </c>
      <c r="C722" s="1" t="s">
        <v>598</v>
      </c>
      <c r="D722" s="1" t="s">
        <v>400</v>
      </c>
      <c r="E722">
        <v>3</v>
      </c>
      <c r="F722" s="4">
        <v>305.25</v>
      </c>
      <c r="G722" s="3">
        <v>0</v>
      </c>
      <c r="H722" s="4">
        <v>47.95</v>
      </c>
      <c r="I722" t="str">
        <f>VLOOKUP(orders__17[[#This Row],[Customer_ID]],customers__2[#All],3,0)</f>
        <v>South</v>
      </c>
      <c r="J722" t="str">
        <f>VLOOKUP(orders__17[[#This Row],[Customer_ID]],customers__2[#All],4,0)</f>
        <v>Home Office</v>
      </c>
      <c r="K722" t="str">
        <f>VLOOKUP(orders__17[[#This Row],[Product_ID]],products[#All],3,0)</f>
        <v>Office Supplies</v>
      </c>
      <c r="L722" s="1" t="str">
        <f>VLOOKUP(orders__17[[#This Row],[Product_ID]],products[#All],4,0)</f>
        <v>Paper</v>
      </c>
      <c r="M722" s="1" t="str">
        <f>VLOOKUP(orders__17[[#This Row],[Order_ID]],returns[#All],2,0)</f>
        <v>No</v>
      </c>
    </row>
    <row r="723" spans="1:13" x14ac:dyDescent="0.3">
      <c r="A723" s="1" t="s">
        <v>1022</v>
      </c>
      <c r="B723" s="2">
        <v>44812</v>
      </c>
      <c r="C723" s="1" t="s">
        <v>77</v>
      </c>
      <c r="D723" s="1" t="s">
        <v>143</v>
      </c>
      <c r="E723">
        <v>3</v>
      </c>
      <c r="F723" s="4">
        <v>743.84</v>
      </c>
      <c r="G723" s="3">
        <v>0.3</v>
      </c>
      <c r="H723" s="4">
        <v>42.23</v>
      </c>
      <c r="I723" t="str">
        <f>VLOOKUP(orders__17[[#This Row],[Customer_ID]],customers__2[#All],3,0)</f>
        <v>West</v>
      </c>
      <c r="J723" t="str">
        <f>VLOOKUP(orders__17[[#This Row],[Customer_ID]],customers__2[#All],4,0)</f>
        <v>Consumer</v>
      </c>
      <c r="K723" t="str">
        <f>VLOOKUP(orders__17[[#This Row],[Product_ID]],products[#All],3,0)</f>
        <v>Furniture</v>
      </c>
      <c r="L723" s="1" t="str">
        <f>VLOOKUP(orders__17[[#This Row],[Product_ID]],products[#All],4,0)</f>
        <v>Shelf</v>
      </c>
      <c r="M723" s="1" t="str">
        <f>VLOOKUP(orders__17[[#This Row],[Order_ID]],returns[#All],2,0)</f>
        <v>No</v>
      </c>
    </row>
    <row r="724" spans="1:13" x14ac:dyDescent="0.3">
      <c r="A724" s="1" t="s">
        <v>1023</v>
      </c>
      <c r="B724" s="2">
        <v>45136</v>
      </c>
      <c r="C724" s="1" t="s">
        <v>102</v>
      </c>
      <c r="D724" s="1" t="s">
        <v>502</v>
      </c>
      <c r="E724">
        <v>2</v>
      </c>
      <c r="F724" s="4">
        <v>1624.91</v>
      </c>
      <c r="G724" s="3">
        <v>0.3</v>
      </c>
      <c r="H724" s="4">
        <v>399.53</v>
      </c>
      <c r="I724" t="str">
        <f>VLOOKUP(orders__17[[#This Row],[Customer_ID]],customers__2[#All],3,0)</f>
        <v>West</v>
      </c>
      <c r="J724" t="str">
        <f>VLOOKUP(orders__17[[#This Row],[Customer_ID]],customers__2[#All],4,0)</f>
        <v>Corporate</v>
      </c>
      <c r="K724" t="str">
        <f>VLOOKUP(orders__17[[#This Row],[Product_ID]],products[#All],3,0)</f>
        <v>Furniture</v>
      </c>
      <c r="L724" s="1" t="str">
        <f>VLOOKUP(orders__17[[#This Row],[Product_ID]],products[#All],4,0)</f>
        <v>Shelf</v>
      </c>
      <c r="M724" s="1" t="str">
        <f>VLOOKUP(orders__17[[#This Row],[Order_ID]],returns[#All],2,0)</f>
        <v>Yes</v>
      </c>
    </row>
    <row r="725" spans="1:13" x14ac:dyDescent="0.3">
      <c r="A725" s="1" t="s">
        <v>1024</v>
      </c>
      <c r="B725" s="2">
        <v>45365</v>
      </c>
      <c r="C725" s="1" t="s">
        <v>800</v>
      </c>
      <c r="D725" s="1" t="s">
        <v>323</v>
      </c>
      <c r="E725">
        <v>4</v>
      </c>
      <c r="F725" s="4">
        <v>1186.8900000000001</v>
      </c>
      <c r="G725" s="3">
        <v>0.2</v>
      </c>
      <c r="H725" s="4">
        <v>62.46</v>
      </c>
      <c r="I725" t="str">
        <f>VLOOKUP(orders__17[[#This Row],[Customer_ID]],customers__2[#All],3,0)</f>
        <v>North</v>
      </c>
      <c r="J725" t="str">
        <f>VLOOKUP(orders__17[[#This Row],[Customer_ID]],customers__2[#All],4,0)</f>
        <v>Corporate</v>
      </c>
      <c r="K725" t="str">
        <f>VLOOKUP(orders__17[[#This Row],[Product_ID]],products[#All],3,0)</f>
        <v>Technology</v>
      </c>
      <c r="L725" s="1" t="str">
        <f>VLOOKUP(orders__17[[#This Row],[Product_ID]],products[#All],4,0)</f>
        <v>Tablet</v>
      </c>
      <c r="M725" s="1" t="str">
        <f>VLOOKUP(orders__17[[#This Row],[Order_ID]],returns[#All],2,0)</f>
        <v>No</v>
      </c>
    </row>
    <row r="726" spans="1:13" x14ac:dyDescent="0.3">
      <c r="A726" s="1" t="s">
        <v>1025</v>
      </c>
      <c r="B726" s="2">
        <v>45010</v>
      </c>
      <c r="C726" s="1" t="s">
        <v>380</v>
      </c>
      <c r="D726" s="1" t="s">
        <v>116</v>
      </c>
      <c r="E726">
        <v>1</v>
      </c>
      <c r="F726" s="4">
        <v>1074.07</v>
      </c>
      <c r="G726" s="3">
        <v>0</v>
      </c>
      <c r="H726" s="4">
        <v>258.27999999999997</v>
      </c>
      <c r="I726" t="str">
        <f>VLOOKUP(orders__17[[#This Row],[Customer_ID]],customers__2[#All],3,0)</f>
        <v>South</v>
      </c>
      <c r="J726" t="str">
        <f>VLOOKUP(orders__17[[#This Row],[Customer_ID]],customers__2[#All],4,0)</f>
        <v>Home Office</v>
      </c>
      <c r="K726" t="str">
        <f>VLOOKUP(orders__17[[#This Row],[Product_ID]],products[#All],3,0)</f>
        <v>Furniture</v>
      </c>
      <c r="L726" s="1" t="str">
        <f>VLOOKUP(orders__17[[#This Row],[Product_ID]],products[#All],4,0)</f>
        <v>Shelf</v>
      </c>
      <c r="M726" s="1" t="str">
        <f>VLOOKUP(orders__17[[#This Row],[Order_ID]],returns[#All],2,0)</f>
        <v>No</v>
      </c>
    </row>
    <row r="727" spans="1:13" x14ac:dyDescent="0.3">
      <c r="A727" s="1" t="s">
        <v>1026</v>
      </c>
      <c r="B727" s="2">
        <v>44694</v>
      </c>
      <c r="C727" s="1" t="s">
        <v>468</v>
      </c>
      <c r="D727" s="1" t="s">
        <v>304</v>
      </c>
      <c r="E727">
        <v>1</v>
      </c>
      <c r="F727" s="4">
        <v>657.63</v>
      </c>
      <c r="G727" s="3">
        <v>0.1</v>
      </c>
      <c r="H727" s="4">
        <v>179.75</v>
      </c>
      <c r="I727" t="str">
        <f>VLOOKUP(orders__17[[#This Row],[Customer_ID]],customers__2[#All],3,0)</f>
        <v>South</v>
      </c>
      <c r="J727" t="str">
        <f>VLOOKUP(orders__17[[#This Row],[Customer_ID]],customers__2[#All],4,0)</f>
        <v>Consumer</v>
      </c>
      <c r="K727" t="str">
        <f>VLOOKUP(orders__17[[#This Row],[Product_ID]],products[#All],3,0)</f>
        <v>Technology</v>
      </c>
      <c r="L727" s="1" t="str">
        <f>VLOOKUP(orders__17[[#This Row],[Product_ID]],products[#All],4,0)</f>
        <v>Accessories</v>
      </c>
      <c r="M727" s="1" t="str">
        <f>VLOOKUP(orders__17[[#This Row],[Order_ID]],returns[#All],2,0)</f>
        <v>No</v>
      </c>
    </row>
    <row r="728" spans="1:13" x14ac:dyDescent="0.3">
      <c r="A728" s="1" t="s">
        <v>1027</v>
      </c>
      <c r="B728" s="2">
        <v>44919</v>
      </c>
      <c r="C728" s="1" t="s">
        <v>336</v>
      </c>
      <c r="D728" s="1" t="s">
        <v>372</v>
      </c>
      <c r="E728">
        <v>4</v>
      </c>
      <c r="F728" s="4">
        <v>1870.33</v>
      </c>
      <c r="G728" s="3">
        <v>0.1</v>
      </c>
      <c r="H728" s="4">
        <v>295.89999999999998</v>
      </c>
      <c r="I728" t="str">
        <f>VLOOKUP(orders__17[[#This Row],[Customer_ID]],customers__2[#All],3,0)</f>
        <v>South</v>
      </c>
      <c r="J728" t="str">
        <f>VLOOKUP(orders__17[[#This Row],[Customer_ID]],customers__2[#All],4,0)</f>
        <v>Consumer</v>
      </c>
      <c r="K728" t="str">
        <f>VLOOKUP(orders__17[[#This Row],[Product_ID]],products[#All],3,0)</f>
        <v>Furniture</v>
      </c>
      <c r="L728" s="1" t="str">
        <f>VLOOKUP(orders__17[[#This Row],[Product_ID]],products[#All],4,0)</f>
        <v>Shelf</v>
      </c>
      <c r="M728" s="1" t="str">
        <f>VLOOKUP(orders__17[[#This Row],[Order_ID]],returns[#All],2,0)</f>
        <v>Yes</v>
      </c>
    </row>
    <row r="729" spans="1:13" x14ac:dyDescent="0.3">
      <c r="A729" s="1" t="s">
        <v>1028</v>
      </c>
      <c r="B729" s="2">
        <v>45213</v>
      </c>
      <c r="C729" s="1" t="s">
        <v>588</v>
      </c>
      <c r="D729" s="1" t="s">
        <v>13</v>
      </c>
      <c r="E729">
        <v>2</v>
      </c>
      <c r="F729" s="4">
        <v>854.33</v>
      </c>
      <c r="G729" s="3">
        <v>0.1</v>
      </c>
      <c r="H729" s="4">
        <v>157.1</v>
      </c>
      <c r="I729" t="str">
        <f>VLOOKUP(orders__17[[#This Row],[Customer_ID]],customers__2[#All],3,0)</f>
        <v>South</v>
      </c>
      <c r="J729" t="str">
        <f>VLOOKUP(orders__17[[#This Row],[Customer_ID]],customers__2[#All],4,0)</f>
        <v>Home Office</v>
      </c>
      <c r="K729" t="str">
        <f>VLOOKUP(orders__17[[#This Row],[Product_ID]],products[#All],3,0)</f>
        <v>Furniture</v>
      </c>
      <c r="L729" s="1" t="str">
        <f>VLOOKUP(orders__17[[#This Row],[Product_ID]],products[#All],4,0)</f>
        <v>Desk</v>
      </c>
      <c r="M729" s="1" t="str">
        <f>VLOOKUP(orders__17[[#This Row],[Order_ID]],returns[#All],2,0)</f>
        <v>No</v>
      </c>
    </row>
    <row r="730" spans="1:13" x14ac:dyDescent="0.3">
      <c r="A730" s="1" t="s">
        <v>1029</v>
      </c>
      <c r="B730" s="2">
        <v>44572</v>
      </c>
      <c r="C730" s="1" t="s">
        <v>723</v>
      </c>
      <c r="D730" s="1" t="s">
        <v>269</v>
      </c>
      <c r="E730">
        <v>3</v>
      </c>
      <c r="F730" s="4">
        <v>265.48</v>
      </c>
      <c r="G730" s="3">
        <v>0</v>
      </c>
      <c r="H730" s="4">
        <v>44.93</v>
      </c>
      <c r="I730" t="str">
        <f>VLOOKUP(orders__17[[#This Row],[Customer_ID]],customers__2[#All],3,0)</f>
        <v>North</v>
      </c>
      <c r="J730" t="str">
        <f>VLOOKUP(orders__17[[#This Row],[Customer_ID]],customers__2[#All],4,0)</f>
        <v>Home Office</v>
      </c>
      <c r="K730" t="str">
        <f>VLOOKUP(orders__17[[#This Row],[Product_ID]],products[#All],3,0)</f>
        <v>Office Supplies</v>
      </c>
      <c r="L730" s="1" t="str">
        <f>VLOOKUP(orders__17[[#This Row],[Product_ID]],products[#All],4,0)</f>
        <v>Pen</v>
      </c>
      <c r="M730" s="1" t="str">
        <f>VLOOKUP(orders__17[[#This Row],[Order_ID]],returns[#All],2,0)</f>
        <v>No</v>
      </c>
    </row>
    <row r="731" spans="1:13" x14ac:dyDescent="0.3">
      <c r="A731" s="1" t="s">
        <v>1030</v>
      </c>
      <c r="B731" s="2">
        <v>44736</v>
      </c>
      <c r="C731" s="1" t="s">
        <v>444</v>
      </c>
      <c r="D731" s="1" t="s">
        <v>170</v>
      </c>
      <c r="E731">
        <v>1</v>
      </c>
      <c r="F731" s="4">
        <v>1272.43</v>
      </c>
      <c r="G731" s="3">
        <v>0.1</v>
      </c>
      <c r="H731" s="4">
        <v>187.43</v>
      </c>
      <c r="I731" t="str">
        <f>VLOOKUP(orders__17[[#This Row],[Customer_ID]],customers__2[#All],3,0)</f>
        <v>North</v>
      </c>
      <c r="J731" t="str">
        <f>VLOOKUP(orders__17[[#This Row],[Customer_ID]],customers__2[#All],4,0)</f>
        <v>Corporate</v>
      </c>
      <c r="K731" t="str">
        <f>VLOOKUP(orders__17[[#This Row],[Product_ID]],products[#All],3,0)</f>
        <v>Furniture</v>
      </c>
      <c r="L731" s="1" t="str">
        <f>VLOOKUP(orders__17[[#This Row],[Product_ID]],products[#All],4,0)</f>
        <v>Shelf</v>
      </c>
      <c r="M731" s="1" t="str">
        <f>VLOOKUP(orders__17[[#This Row],[Order_ID]],returns[#All],2,0)</f>
        <v>No</v>
      </c>
    </row>
    <row r="732" spans="1:13" x14ac:dyDescent="0.3">
      <c r="A732" s="1" t="s">
        <v>1031</v>
      </c>
      <c r="B732" s="2">
        <v>45028</v>
      </c>
      <c r="C732" s="1" t="s">
        <v>63</v>
      </c>
      <c r="D732" s="1" t="s">
        <v>215</v>
      </c>
      <c r="E732">
        <v>5</v>
      </c>
      <c r="F732" s="4">
        <v>316.29000000000002</v>
      </c>
      <c r="G732" s="3">
        <v>0.1</v>
      </c>
      <c r="H732" s="4">
        <v>85.99</v>
      </c>
      <c r="I732" t="str">
        <f>VLOOKUP(orders__17[[#This Row],[Customer_ID]],customers__2[#All],3,0)</f>
        <v>East</v>
      </c>
      <c r="J732" t="str">
        <f>VLOOKUP(orders__17[[#This Row],[Customer_ID]],customers__2[#All],4,0)</f>
        <v>Home Office</v>
      </c>
      <c r="K732" t="str">
        <f>VLOOKUP(orders__17[[#This Row],[Product_ID]],products[#All],3,0)</f>
        <v>Furniture</v>
      </c>
      <c r="L732" s="1" t="str">
        <f>VLOOKUP(orders__17[[#This Row],[Product_ID]],products[#All],4,0)</f>
        <v>Table</v>
      </c>
      <c r="M732" s="1" t="str">
        <f>VLOOKUP(orders__17[[#This Row],[Order_ID]],returns[#All],2,0)</f>
        <v>No</v>
      </c>
    </row>
    <row r="733" spans="1:13" x14ac:dyDescent="0.3">
      <c r="A733" s="1" t="s">
        <v>1032</v>
      </c>
      <c r="B733" s="2">
        <v>44847</v>
      </c>
      <c r="C733" s="1" t="s">
        <v>145</v>
      </c>
      <c r="D733" s="1" t="s">
        <v>130</v>
      </c>
      <c r="E733">
        <v>5</v>
      </c>
      <c r="F733" s="4">
        <v>755.92</v>
      </c>
      <c r="G733" s="3">
        <v>0.1</v>
      </c>
      <c r="H733" s="4">
        <v>206.73</v>
      </c>
      <c r="I733" t="str">
        <f>VLOOKUP(orders__17[[#This Row],[Customer_ID]],customers__2[#All],3,0)</f>
        <v>West</v>
      </c>
      <c r="J733" t="str">
        <f>VLOOKUP(orders__17[[#This Row],[Customer_ID]],customers__2[#All],4,0)</f>
        <v>Corporate</v>
      </c>
      <c r="K733" t="str">
        <f>VLOOKUP(orders__17[[#This Row],[Product_ID]],products[#All],3,0)</f>
        <v>Furniture</v>
      </c>
      <c r="L733" s="1" t="str">
        <f>VLOOKUP(orders__17[[#This Row],[Product_ID]],products[#All],4,0)</f>
        <v>Desk</v>
      </c>
      <c r="M733" s="1" t="str">
        <f>VLOOKUP(orders__17[[#This Row],[Order_ID]],returns[#All],2,0)</f>
        <v>Yes</v>
      </c>
    </row>
    <row r="734" spans="1:13" x14ac:dyDescent="0.3">
      <c r="A734" s="1" t="s">
        <v>1033</v>
      </c>
      <c r="B734" s="2">
        <v>44945</v>
      </c>
      <c r="C734" s="1" t="s">
        <v>482</v>
      </c>
      <c r="D734" s="1" t="s">
        <v>288</v>
      </c>
      <c r="E734">
        <v>4</v>
      </c>
      <c r="F734" s="4">
        <v>1064.08</v>
      </c>
      <c r="G734" s="3">
        <v>0.2</v>
      </c>
      <c r="H734" s="4">
        <v>142.54</v>
      </c>
      <c r="I734" t="str">
        <f>VLOOKUP(orders__17[[#This Row],[Customer_ID]],customers__2[#All],3,0)</f>
        <v>North</v>
      </c>
      <c r="J734" t="str">
        <f>VLOOKUP(orders__17[[#This Row],[Customer_ID]],customers__2[#All],4,0)</f>
        <v>Consumer</v>
      </c>
      <c r="K734" t="str">
        <f>VLOOKUP(orders__17[[#This Row],[Product_ID]],products[#All],3,0)</f>
        <v>Furniture</v>
      </c>
      <c r="L734" s="1" t="str">
        <f>VLOOKUP(orders__17[[#This Row],[Product_ID]],products[#All],4,0)</f>
        <v>Chair</v>
      </c>
      <c r="M734" s="1" t="str">
        <f>VLOOKUP(orders__17[[#This Row],[Order_ID]],returns[#All],2,0)</f>
        <v>No</v>
      </c>
    </row>
    <row r="735" spans="1:13" x14ac:dyDescent="0.3">
      <c r="A735" s="1" t="s">
        <v>1034</v>
      </c>
      <c r="B735" s="2">
        <v>45353</v>
      </c>
      <c r="C735" s="1" t="s">
        <v>292</v>
      </c>
      <c r="D735" s="1" t="s">
        <v>263</v>
      </c>
      <c r="E735">
        <v>2</v>
      </c>
      <c r="F735" s="4">
        <v>1761.02</v>
      </c>
      <c r="G735" s="3">
        <v>0.2</v>
      </c>
      <c r="H735" s="4">
        <v>358.84</v>
      </c>
      <c r="I735" t="str">
        <f>VLOOKUP(orders__17[[#This Row],[Customer_ID]],customers__2[#All],3,0)</f>
        <v>North</v>
      </c>
      <c r="J735" t="str">
        <f>VLOOKUP(orders__17[[#This Row],[Customer_ID]],customers__2[#All],4,0)</f>
        <v>Consumer</v>
      </c>
      <c r="K735" t="str">
        <f>VLOOKUP(orders__17[[#This Row],[Product_ID]],products[#All],3,0)</f>
        <v>Office Supplies</v>
      </c>
      <c r="L735" s="1" t="str">
        <f>VLOOKUP(orders__17[[#This Row],[Product_ID]],products[#All],4,0)</f>
        <v>Storage</v>
      </c>
      <c r="M735" s="1" t="str">
        <f>VLOOKUP(orders__17[[#This Row],[Order_ID]],returns[#All],2,0)</f>
        <v>No</v>
      </c>
    </row>
    <row r="736" spans="1:13" x14ac:dyDescent="0.3">
      <c r="A736" s="1" t="s">
        <v>1035</v>
      </c>
      <c r="B736" s="2">
        <v>44722</v>
      </c>
      <c r="C736" s="1" t="s">
        <v>468</v>
      </c>
      <c r="D736" s="1" t="s">
        <v>263</v>
      </c>
      <c r="E736">
        <v>1</v>
      </c>
      <c r="F736" s="4">
        <v>1037.74</v>
      </c>
      <c r="G736" s="3">
        <v>0</v>
      </c>
      <c r="H736" s="4">
        <v>292.36</v>
      </c>
      <c r="I736" t="str">
        <f>VLOOKUP(orders__17[[#This Row],[Customer_ID]],customers__2[#All],3,0)</f>
        <v>South</v>
      </c>
      <c r="J736" t="str">
        <f>VLOOKUP(orders__17[[#This Row],[Customer_ID]],customers__2[#All],4,0)</f>
        <v>Consumer</v>
      </c>
      <c r="K736" t="str">
        <f>VLOOKUP(orders__17[[#This Row],[Product_ID]],products[#All],3,0)</f>
        <v>Office Supplies</v>
      </c>
      <c r="L736" s="1" t="str">
        <f>VLOOKUP(orders__17[[#This Row],[Product_ID]],products[#All],4,0)</f>
        <v>Storage</v>
      </c>
      <c r="M736" s="1" t="str">
        <f>VLOOKUP(orders__17[[#This Row],[Order_ID]],returns[#All],2,0)</f>
        <v>No</v>
      </c>
    </row>
    <row r="737" spans="1:13" x14ac:dyDescent="0.3">
      <c r="A737" s="1" t="s">
        <v>1036</v>
      </c>
      <c r="B737" s="2">
        <v>45174</v>
      </c>
      <c r="C737" s="1" t="s">
        <v>328</v>
      </c>
      <c r="D737" s="1" t="s">
        <v>132</v>
      </c>
      <c r="E737">
        <v>2</v>
      </c>
      <c r="F737" s="4">
        <v>1434.29</v>
      </c>
      <c r="G737" s="3">
        <v>0</v>
      </c>
      <c r="H737" s="4">
        <v>416.68</v>
      </c>
      <c r="I737" t="str">
        <f>VLOOKUP(orders__17[[#This Row],[Customer_ID]],customers__2[#All],3,0)</f>
        <v>South</v>
      </c>
      <c r="J737" t="str">
        <f>VLOOKUP(orders__17[[#This Row],[Customer_ID]],customers__2[#All],4,0)</f>
        <v>Corporate</v>
      </c>
      <c r="K737" t="str">
        <f>VLOOKUP(orders__17[[#This Row],[Product_ID]],products[#All],3,0)</f>
        <v>Furniture</v>
      </c>
      <c r="L737" s="1" t="str">
        <f>VLOOKUP(orders__17[[#This Row],[Product_ID]],products[#All],4,0)</f>
        <v>Shelf</v>
      </c>
      <c r="M737" s="1" t="str">
        <f>VLOOKUP(orders__17[[#This Row],[Order_ID]],returns[#All],2,0)</f>
        <v>No</v>
      </c>
    </row>
    <row r="738" spans="1:13" x14ac:dyDescent="0.3">
      <c r="A738" s="1" t="s">
        <v>1037</v>
      </c>
      <c r="B738" s="2">
        <v>44825</v>
      </c>
      <c r="C738" s="1" t="s">
        <v>134</v>
      </c>
      <c r="D738" s="1" t="s">
        <v>54</v>
      </c>
      <c r="E738">
        <v>1</v>
      </c>
      <c r="F738" s="4">
        <v>1986.35</v>
      </c>
      <c r="G738" s="3">
        <v>0.1</v>
      </c>
      <c r="H738" s="4">
        <v>352.06</v>
      </c>
      <c r="I738" t="str">
        <f>VLOOKUP(orders__17[[#This Row],[Customer_ID]],customers__2[#All],3,0)</f>
        <v>West</v>
      </c>
      <c r="J738" t="str">
        <f>VLOOKUP(orders__17[[#This Row],[Customer_ID]],customers__2[#All],4,0)</f>
        <v>Home Office</v>
      </c>
      <c r="K738" t="str">
        <f>VLOOKUP(orders__17[[#This Row],[Product_ID]],products[#All],3,0)</f>
        <v>Office Supplies</v>
      </c>
      <c r="L738" s="1" t="str">
        <f>VLOOKUP(orders__17[[#This Row],[Product_ID]],products[#All],4,0)</f>
        <v>Binder</v>
      </c>
      <c r="M738" s="1" t="str">
        <f>VLOOKUP(orders__17[[#This Row],[Order_ID]],returns[#All],2,0)</f>
        <v>Yes</v>
      </c>
    </row>
    <row r="739" spans="1:13" x14ac:dyDescent="0.3">
      <c r="A739" s="1" t="s">
        <v>1038</v>
      </c>
      <c r="B739" s="2">
        <v>44972</v>
      </c>
      <c r="C739" s="1" t="s">
        <v>569</v>
      </c>
      <c r="D739" s="1" t="s">
        <v>309</v>
      </c>
      <c r="E739">
        <v>4</v>
      </c>
      <c r="F739" s="4">
        <v>349.83</v>
      </c>
      <c r="G739" s="3">
        <v>0.2</v>
      </c>
      <c r="H739" s="4">
        <v>57.09</v>
      </c>
      <c r="I739" t="str">
        <f>VLOOKUP(orders__17[[#This Row],[Customer_ID]],customers__2[#All],3,0)</f>
        <v>West</v>
      </c>
      <c r="J739" t="str">
        <f>VLOOKUP(orders__17[[#This Row],[Customer_ID]],customers__2[#All],4,0)</f>
        <v>Consumer</v>
      </c>
      <c r="K739" t="str">
        <f>VLOOKUP(orders__17[[#This Row],[Product_ID]],products[#All],3,0)</f>
        <v>Office Supplies</v>
      </c>
      <c r="L739" s="1" t="str">
        <f>VLOOKUP(orders__17[[#This Row],[Product_ID]],products[#All],4,0)</f>
        <v>Pen</v>
      </c>
      <c r="M739" s="1" t="str">
        <f>VLOOKUP(orders__17[[#This Row],[Order_ID]],returns[#All],2,0)</f>
        <v>No</v>
      </c>
    </row>
    <row r="740" spans="1:13" x14ac:dyDescent="0.3">
      <c r="A740" s="1" t="s">
        <v>1039</v>
      </c>
      <c r="B740" s="2">
        <v>45014</v>
      </c>
      <c r="C740" s="1" t="s">
        <v>391</v>
      </c>
      <c r="D740" s="1" t="s">
        <v>61</v>
      </c>
      <c r="E740">
        <v>4</v>
      </c>
      <c r="F740" s="4">
        <v>621.99</v>
      </c>
      <c r="G740" s="3">
        <v>0.3</v>
      </c>
      <c r="H740" s="4">
        <v>74.44</v>
      </c>
      <c r="I740" t="str">
        <f>VLOOKUP(orders__17[[#This Row],[Customer_ID]],customers__2[#All],3,0)</f>
        <v>West</v>
      </c>
      <c r="J740" t="str">
        <f>VLOOKUP(orders__17[[#This Row],[Customer_ID]],customers__2[#All],4,0)</f>
        <v>Corporate</v>
      </c>
      <c r="K740" t="str">
        <f>VLOOKUP(orders__17[[#This Row],[Product_ID]],products[#All],3,0)</f>
        <v>Office Supplies</v>
      </c>
      <c r="L740" s="1" t="str">
        <f>VLOOKUP(orders__17[[#This Row],[Product_ID]],products[#All],4,0)</f>
        <v>Binder</v>
      </c>
      <c r="M740" s="1" t="str">
        <f>VLOOKUP(orders__17[[#This Row],[Order_ID]],returns[#All],2,0)</f>
        <v>Yes</v>
      </c>
    </row>
    <row r="741" spans="1:13" x14ac:dyDescent="0.3">
      <c r="A741" s="1" t="s">
        <v>1040</v>
      </c>
      <c r="B741" s="2">
        <v>44685</v>
      </c>
      <c r="C741" s="1" t="s">
        <v>136</v>
      </c>
      <c r="D741" s="1" t="s">
        <v>372</v>
      </c>
      <c r="E741">
        <v>5</v>
      </c>
      <c r="F741" s="4">
        <v>849.69</v>
      </c>
      <c r="G741" s="3">
        <v>0.3</v>
      </c>
      <c r="H741" s="4">
        <v>246.17</v>
      </c>
      <c r="I741" t="str">
        <f>VLOOKUP(orders__17[[#This Row],[Customer_ID]],customers__2[#All],3,0)</f>
        <v>West</v>
      </c>
      <c r="J741" t="str">
        <f>VLOOKUP(orders__17[[#This Row],[Customer_ID]],customers__2[#All],4,0)</f>
        <v>Consumer</v>
      </c>
      <c r="K741" t="str">
        <f>VLOOKUP(orders__17[[#This Row],[Product_ID]],products[#All],3,0)</f>
        <v>Furniture</v>
      </c>
      <c r="L741" s="1" t="str">
        <f>VLOOKUP(orders__17[[#This Row],[Product_ID]],products[#All],4,0)</f>
        <v>Shelf</v>
      </c>
      <c r="M741" s="1" t="str">
        <f>VLOOKUP(orders__17[[#This Row],[Order_ID]],returns[#All],2,0)</f>
        <v>No</v>
      </c>
    </row>
    <row r="742" spans="1:13" x14ac:dyDescent="0.3">
      <c r="A742" s="1" t="s">
        <v>1041</v>
      </c>
      <c r="B742" s="2">
        <v>44852</v>
      </c>
      <c r="C742" s="1" t="s">
        <v>228</v>
      </c>
      <c r="D742" s="1" t="s">
        <v>83</v>
      </c>
      <c r="E742">
        <v>2</v>
      </c>
      <c r="F742" s="4">
        <v>901.47</v>
      </c>
      <c r="G742" s="3">
        <v>0.1</v>
      </c>
      <c r="H742" s="4">
        <v>77.260000000000005</v>
      </c>
      <c r="I742" t="str">
        <f>VLOOKUP(orders__17[[#This Row],[Customer_ID]],customers__2[#All],3,0)</f>
        <v>North</v>
      </c>
      <c r="J742" t="str">
        <f>VLOOKUP(orders__17[[#This Row],[Customer_ID]],customers__2[#All],4,0)</f>
        <v>Consumer</v>
      </c>
      <c r="K742" t="str">
        <f>VLOOKUP(orders__17[[#This Row],[Product_ID]],products[#All],3,0)</f>
        <v>Furniture</v>
      </c>
      <c r="L742" s="1" t="str">
        <f>VLOOKUP(orders__17[[#This Row],[Product_ID]],products[#All],4,0)</f>
        <v>Table</v>
      </c>
      <c r="M742" s="1" t="str">
        <f>VLOOKUP(orders__17[[#This Row],[Order_ID]],returns[#All],2,0)</f>
        <v>No</v>
      </c>
    </row>
    <row r="743" spans="1:13" x14ac:dyDescent="0.3">
      <c r="A743" s="1" t="s">
        <v>1042</v>
      </c>
      <c r="B743" s="2">
        <v>44909</v>
      </c>
      <c r="C743" s="1" t="s">
        <v>1043</v>
      </c>
      <c r="D743" s="1" t="s">
        <v>34</v>
      </c>
      <c r="E743">
        <v>5</v>
      </c>
      <c r="F743" s="4">
        <v>880.94</v>
      </c>
      <c r="G743" s="3">
        <v>0.1</v>
      </c>
      <c r="H743" s="4">
        <v>171.75</v>
      </c>
      <c r="I743" t="str">
        <f>VLOOKUP(orders__17[[#This Row],[Customer_ID]],customers__2[#All],3,0)</f>
        <v>South</v>
      </c>
      <c r="J743" t="str">
        <f>VLOOKUP(orders__17[[#This Row],[Customer_ID]],customers__2[#All],4,0)</f>
        <v>Corporate</v>
      </c>
      <c r="K743" t="str">
        <f>VLOOKUP(orders__17[[#This Row],[Product_ID]],products[#All],3,0)</f>
        <v>Furniture</v>
      </c>
      <c r="L743" s="1" t="str">
        <f>VLOOKUP(orders__17[[#This Row],[Product_ID]],products[#All],4,0)</f>
        <v>Table</v>
      </c>
      <c r="M743" s="1" t="str">
        <f>VLOOKUP(orders__17[[#This Row],[Order_ID]],returns[#All],2,0)</f>
        <v>No</v>
      </c>
    </row>
    <row r="744" spans="1:13" x14ac:dyDescent="0.3">
      <c r="A744" s="1" t="s">
        <v>1044</v>
      </c>
      <c r="B744" s="2">
        <v>45277</v>
      </c>
      <c r="C744" s="1" t="s">
        <v>88</v>
      </c>
      <c r="D744" s="1" t="s">
        <v>143</v>
      </c>
      <c r="E744">
        <v>2</v>
      </c>
      <c r="F744" s="4">
        <v>1824.46</v>
      </c>
      <c r="G744" s="3">
        <v>0.2</v>
      </c>
      <c r="H744" s="4">
        <v>220.1</v>
      </c>
      <c r="I744" t="str">
        <f>VLOOKUP(orders__17[[#This Row],[Customer_ID]],customers__2[#All],3,0)</f>
        <v>West</v>
      </c>
      <c r="J744" t="str">
        <f>VLOOKUP(orders__17[[#This Row],[Customer_ID]],customers__2[#All],4,0)</f>
        <v>Corporate</v>
      </c>
      <c r="K744" t="str">
        <f>VLOOKUP(orders__17[[#This Row],[Product_ID]],products[#All],3,0)</f>
        <v>Furniture</v>
      </c>
      <c r="L744" s="1" t="str">
        <f>VLOOKUP(orders__17[[#This Row],[Product_ID]],products[#All],4,0)</f>
        <v>Shelf</v>
      </c>
      <c r="M744" s="1" t="str">
        <f>VLOOKUP(orders__17[[#This Row],[Order_ID]],returns[#All],2,0)</f>
        <v>No</v>
      </c>
    </row>
    <row r="745" spans="1:13" x14ac:dyDescent="0.3">
      <c r="A745" s="1" t="s">
        <v>1045</v>
      </c>
      <c r="B745" s="2">
        <v>45028</v>
      </c>
      <c r="C745" s="1" t="s">
        <v>167</v>
      </c>
      <c r="D745" s="1" t="s">
        <v>156</v>
      </c>
      <c r="E745">
        <v>5</v>
      </c>
      <c r="F745" s="4">
        <v>1456.66</v>
      </c>
      <c r="G745" s="3">
        <v>0.2</v>
      </c>
      <c r="H745" s="4">
        <v>174.44</v>
      </c>
      <c r="I745" t="str">
        <f>VLOOKUP(orders__17[[#This Row],[Customer_ID]],customers__2[#All],3,0)</f>
        <v>East</v>
      </c>
      <c r="J745" t="str">
        <f>VLOOKUP(orders__17[[#This Row],[Customer_ID]],customers__2[#All],4,0)</f>
        <v>Corporate</v>
      </c>
      <c r="K745" t="str">
        <f>VLOOKUP(orders__17[[#This Row],[Product_ID]],products[#All],3,0)</f>
        <v>Furniture</v>
      </c>
      <c r="L745" s="1" t="str">
        <f>VLOOKUP(orders__17[[#This Row],[Product_ID]],products[#All],4,0)</f>
        <v>Desk</v>
      </c>
      <c r="M745" s="1" t="str">
        <f>VLOOKUP(orders__17[[#This Row],[Order_ID]],returns[#All],2,0)</f>
        <v>No</v>
      </c>
    </row>
    <row r="746" spans="1:13" x14ac:dyDescent="0.3">
      <c r="A746" s="1" t="s">
        <v>1046</v>
      </c>
      <c r="B746" s="2">
        <v>44705</v>
      </c>
      <c r="C746" s="1" t="s">
        <v>158</v>
      </c>
      <c r="D746" s="1" t="s">
        <v>309</v>
      </c>
      <c r="E746">
        <v>3</v>
      </c>
      <c r="F746" s="4">
        <v>1255.02</v>
      </c>
      <c r="G746" s="3">
        <v>0.2</v>
      </c>
      <c r="H746" s="4">
        <v>189.81</v>
      </c>
      <c r="I746" t="str">
        <f>VLOOKUP(orders__17[[#This Row],[Customer_ID]],customers__2[#All],3,0)</f>
        <v>West</v>
      </c>
      <c r="J746" t="str">
        <f>VLOOKUP(orders__17[[#This Row],[Customer_ID]],customers__2[#All],4,0)</f>
        <v>Corporate</v>
      </c>
      <c r="K746" t="str">
        <f>VLOOKUP(orders__17[[#This Row],[Product_ID]],products[#All],3,0)</f>
        <v>Office Supplies</v>
      </c>
      <c r="L746" s="1" t="str">
        <f>VLOOKUP(orders__17[[#This Row],[Product_ID]],products[#All],4,0)</f>
        <v>Pen</v>
      </c>
      <c r="M746" s="1" t="str">
        <f>VLOOKUP(orders__17[[#This Row],[Order_ID]],returns[#All],2,0)</f>
        <v>No</v>
      </c>
    </row>
    <row r="747" spans="1:13" x14ac:dyDescent="0.3">
      <c r="A747" s="1" t="s">
        <v>1047</v>
      </c>
      <c r="B747" s="2">
        <v>44768</v>
      </c>
      <c r="C747" s="1" t="s">
        <v>30</v>
      </c>
      <c r="D747" s="1" t="s">
        <v>585</v>
      </c>
      <c r="E747">
        <v>3</v>
      </c>
      <c r="F747" s="4">
        <v>687.81</v>
      </c>
      <c r="G747" s="3">
        <v>0</v>
      </c>
      <c r="H747" s="4">
        <v>206.14</v>
      </c>
      <c r="I747" t="str">
        <f>VLOOKUP(orders__17[[#This Row],[Customer_ID]],customers__2[#All],3,0)</f>
        <v>South</v>
      </c>
      <c r="J747" t="str">
        <f>VLOOKUP(orders__17[[#This Row],[Customer_ID]],customers__2[#All],4,0)</f>
        <v>Home Office</v>
      </c>
      <c r="K747" t="str">
        <f>VLOOKUP(orders__17[[#This Row],[Product_ID]],products[#All],3,0)</f>
        <v>Office Supplies</v>
      </c>
      <c r="L747" s="1" t="str">
        <f>VLOOKUP(orders__17[[#This Row],[Product_ID]],products[#All],4,0)</f>
        <v>Storage</v>
      </c>
      <c r="M747" s="1" t="str">
        <f>VLOOKUP(orders__17[[#This Row],[Order_ID]],returns[#All],2,0)</f>
        <v>No</v>
      </c>
    </row>
    <row r="748" spans="1:13" x14ac:dyDescent="0.3">
      <c r="A748" s="1" t="s">
        <v>1048</v>
      </c>
      <c r="B748" s="2">
        <v>44906</v>
      </c>
      <c r="C748" s="1" t="s">
        <v>697</v>
      </c>
      <c r="D748" s="1" t="s">
        <v>34</v>
      </c>
      <c r="E748">
        <v>3</v>
      </c>
      <c r="F748" s="4">
        <v>1665.2</v>
      </c>
      <c r="G748" s="3">
        <v>0</v>
      </c>
      <c r="H748" s="4">
        <v>106.14</v>
      </c>
      <c r="I748" t="str">
        <f>VLOOKUP(orders__17[[#This Row],[Customer_ID]],customers__2[#All],3,0)</f>
        <v>South</v>
      </c>
      <c r="J748" t="str">
        <f>VLOOKUP(orders__17[[#This Row],[Customer_ID]],customers__2[#All],4,0)</f>
        <v>Corporate</v>
      </c>
      <c r="K748" t="str">
        <f>VLOOKUP(orders__17[[#This Row],[Product_ID]],products[#All],3,0)</f>
        <v>Furniture</v>
      </c>
      <c r="L748" s="1" t="str">
        <f>VLOOKUP(orders__17[[#This Row],[Product_ID]],products[#All],4,0)</f>
        <v>Table</v>
      </c>
      <c r="M748" s="1" t="str">
        <f>VLOOKUP(orders__17[[#This Row],[Order_ID]],returns[#All],2,0)</f>
        <v>Yes</v>
      </c>
    </row>
    <row r="749" spans="1:13" x14ac:dyDescent="0.3">
      <c r="A749" s="1" t="s">
        <v>1049</v>
      </c>
      <c r="B749" s="2">
        <v>44925</v>
      </c>
      <c r="C749" s="1" t="s">
        <v>271</v>
      </c>
      <c r="D749" s="1" t="s">
        <v>86</v>
      </c>
      <c r="E749">
        <v>3</v>
      </c>
      <c r="F749" s="4">
        <v>1914.61</v>
      </c>
      <c r="G749" s="3">
        <v>0.1</v>
      </c>
      <c r="H749" s="4">
        <v>372.65</v>
      </c>
      <c r="I749" t="str">
        <f>VLOOKUP(orders__17[[#This Row],[Customer_ID]],customers__2[#All],3,0)</f>
        <v>East</v>
      </c>
      <c r="J749" t="str">
        <f>VLOOKUP(orders__17[[#This Row],[Customer_ID]],customers__2[#All],4,0)</f>
        <v>Corporate</v>
      </c>
      <c r="K749" t="str">
        <f>VLOOKUP(orders__17[[#This Row],[Product_ID]],products[#All],3,0)</f>
        <v>Furniture</v>
      </c>
      <c r="L749" s="1" t="str">
        <f>VLOOKUP(orders__17[[#This Row],[Product_ID]],products[#All],4,0)</f>
        <v>Table</v>
      </c>
      <c r="M749" s="1" t="str">
        <f>VLOOKUP(orders__17[[#This Row],[Order_ID]],returns[#All],2,0)</f>
        <v>Yes</v>
      </c>
    </row>
    <row r="750" spans="1:13" x14ac:dyDescent="0.3">
      <c r="A750" s="1" t="s">
        <v>1050</v>
      </c>
      <c r="B750" s="2">
        <v>45031</v>
      </c>
      <c r="C750" s="1" t="s">
        <v>338</v>
      </c>
      <c r="D750" s="1" t="s">
        <v>455</v>
      </c>
      <c r="E750">
        <v>1</v>
      </c>
      <c r="F750" s="4">
        <v>1660.28</v>
      </c>
      <c r="G750" s="3">
        <v>0</v>
      </c>
      <c r="H750" s="4">
        <v>117.29</v>
      </c>
      <c r="I750" t="str">
        <f>VLOOKUP(orders__17[[#This Row],[Customer_ID]],customers__2[#All],3,0)</f>
        <v>East</v>
      </c>
      <c r="J750" t="str">
        <f>VLOOKUP(orders__17[[#This Row],[Customer_ID]],customers__2[#All],4,0)</f>
        <v>Corporate</v>
      </c>
      <c r="K750" t="str">
        <f>VLOOKUP(orders__17[[#This Row],[Product_ID]],products[#All],3,0)</f>
        <v>Furniture</v>
      </c>
      <c r="L750" s="1" t="str">
        <f>VLOOKUP(orders__17[[#This Row],[Product_ID]],products[#All],4,0)</f>
        <v>Shelf</v>
      </c>
      <c r="M750" s="1" t="str">
        <f>VLOOKUP(orders__17[[#This Row],[Order_ID]],returns[#All],2,0)</f>
        <v>No</v>
      </c>
    </row>
    <row r="751" spans="1:13" x14ac:dyDescent="0.3">
      <c r="A751" s="1" t="s">
        <v>1051</v>
      </c>
      <c r="B751" s="2">
        <v>45407</v>
      </c>
      <c r="C751" s="1" t="s">
        <v>154</v>
      </c>
      <c r="D751" s="1" t="s">
        <v>43</v>
      </c>
      <c r="E751">
        <v>3</v>
      </c>
      <c r="F751" s="4">
        <v>102.97</v>
      </c>
      <c r="G751" s="3">
        <v>0.2</v>
      </c>
      <c r="H751" s="4">
        <v>9.1300000000000008</v>
      </c>
      <c r="I751" t="str">
        <f>VLOOKUP(orders__17[[#This Row],[Customer_ID]],customers__2[#All],3,0)</f>
        <v>West</v>
      </c>
      <c r="J751" t="str">
        <f>VLOOKUP(orders__17[[#This Row],[Customer_ID]],customers__2[#All],4,0)</f>
        <v>Corporate</v>
      </c>
      <c r="K751" t="str">
        <f>VLOOKUP(orders__17[[#This Row],[Product_ID]],products[#All],3,0)</f>
        <v>Technology</v>
      </c>
      <c r="L751" s="1" t="str">
        <f>VLOOKUP(orders__17[[#This Row],[Product_ID]],products[#All],4,0)</f>
        <v>Tablet</v>
      </c>
      <c r="M751" s="1" t="str">
        <f>VLOOKUP(orders__17[[#This Row],[Order_ID]],returns[#All],2,0)</f>
        <v>No</v>
      </c>
    </row>
    <row r="752" spans="1:13" x14ac:dyDescent="0.3">
      <c r="A752" s="1" t="s">
        <v>1052</v>
      </c>
      <c r="B752" s="2">
        <v>44619</v>
      </c>
      <c r="C752" s="1" t="s">
        <v>671</v>
      </c>
      <c r="D752" s="1" t="s">
        <v>10</v>
      </c>
      <c r="E752">
        <v>4</v>
      </c>
      <c r="F752" s="4">
        <v>1309.1600000000001</v>
      </c>
      <c r="G752" s="3">
        <v>0.2</v>
      </c>
      <c r="H752" s="4">
        <v>209.32</v>
      </c>
      <c r="I752" t="str">
        <f>VLOOKUP(orders__17[[#This Row],[Customer_ID]],customers__2[#All],3,0)</f>
        <v>North</v>
      </c>
      <c r="J752" t="str">
        <f>VLOOKUP(orders__17[[#This Row],[Customer_ID]],customers__2[#All],4,0)</f>
        <v>Corporate</v>
      </c>
      <c r="K752" t="str">
        <f>VLOOKUP(orders__17[[#This Row],[Product_ID]],products[#All],3,0)</f>
        <v>Technology</v>
      </c>
      <c r="L752" s="1" t="str">
        <f>VLOOKUP(orders__17[[#This Row],[Product_ID]],products[#All],4,0)</f>
        <v>Tablet</v>
      </c>
      <c r="M752" s="1" t="str">
        <f>VLOOKUP(orders__17[[#This Row],[Order_ID]],returns[#All],2,0)</f>
        <v>Yes</v>
      </c>
    </row>
    <row r="753" spans="1:13" x14ac:dyDescent="0.3">
      <c r="A753" s="1" t="s">
        <v>1053</v>
      </c>
      <c r="B753" s="2">
        <v>45248</v>
      </c>
      <c r="C753" s="1" t="s">
        <v>678</v>
      </c>
      <c r="D753" s="1" t="s">
        <v>22</v>
      </c>
      <c r="E753">
        <v>4</v>
      </c>
      <c r="F753" s="4">
        <v>197.16</v>
      </c>
      <c r="G753" s="3">
        <v>0</v>
      </c>
      <c r="H753" s="4">
        <v>35.020000000000003</v>
      </c>
      <c r="I753" t="str">
        <f>VLOOKUP(orders__17[[#This Row],[Customer_ID]],customers__2[#All],3,0)</f>
        <v>West</v>
      </c>
      <c r="J753" t="str">
        <f>VLOOKUP(orders__17[[#This Row],[Customer_ID]],customers__2[#All],4,0)</f>
        <v>Consumer</v>
      </c>
      <c r="K753" t="str">
        <f>VLOOKUP(orders__17[[#This Row],[Product_ID]],products[#All],3,0)</f>
        <v>Furniture</v>
      </c>
      <c r="L753" s="1" t="str">
        <f>VLOOKUP(orders__17[[#This Row],[Product_ID]],products[#All],4,0)</f>
        <v>Chair</v>
      </c>
      <c r="M753" s="1" t="str">
        <f>VLOOKUP(orders__17[[#This Row],[Order_ID]],returns[#All],2,0)</f>
        <v>No</v>
      </c>
    </row>
    <row r="754" spans="1:13" x14ac:dyDescent="0.3">
      <c r="A754" s="1" t="s">
        <v>1054</v>
      </c>
      <c r="B754" s="2">
        <v>45344</v>
      </c>
      <c r="C754" s="1" t="s">
        <v>27</v>
      </c>
      <c r="D754" s="1" t="s">
        <v>37</v>
      </c>
      <c r="E754">
        <v>1</v>
      </c>
      <c r="F754" s="4">
        <v>589.45000000000005</v>
      </c>
      <c r="G754" s="3">
        <v>0.3</v>
      </c>
      <c r="H754" s="4">
        <v>67.61</v>
      </c>
      <c r="I754" t="str">
        <f>VLOOKUP(orders__17[[#This Row],[Customer_ID]],customers__2[#All],3,0)</f>
        <v>North</v>
      </c>
      <c r="J754" t="str">
        <f>VLOOKUP(orders__17[[#This Row],[Customer_ID]],customers__2[#All],4,0)</f>
        <v>Consumer</v>
      </c>
      <c r="K754" t="str">
        <f>VLOOKUP(orders__17[[#This Row],[Product_ID]],products[#All],3,0)</f>
        <v>Furniture</v>
      </c>
      <c r="L754" s="1" t="str">
        <f>VLOOKUP(orders__17[[#This Row],[Product_ID]],products[#All],4,0)</f>
        <v>Desk</v>
      </c>
      <c r="M754" s="1" t="str">
        <f>VLOOKUP(orders__17[[#This Row],[Order_ID]],returns[#All],2,0)</f>
        <v>No</v>
      </c>
    </row>
    <row r="755" spans="1:13" x14ac:dyDescent="0.3">
      <c r="A755" s="1" t="s">
        <v>1055</v>
      </c>
      <c r="B755" s="2">
        <v>44654</v>
      </c>
      <c r="C755" s="1" t="s">
        <v>1056</v>
      </c>
      <c r="D755" s="1" t="s">
        <v>130</v>
      </c>
      <c r="E755">
        <v>3</v>
      </c>
      <c r="F755" s="4">
        <v>213.1</v>
      </c>
      <c r="G755" s="3">
        <v>0.1</v>
      </c>
      <c r="H755" s="4">
        <v>27.51</v>
      </c>
      <c r="I755" t="str">
        <f>VLOOKUP(orders__17[[#This Row],[Customer_ID]],customers__2[#All],3,0)</f>
        <v>North</v>
      </c>
      <c r="J755" t="str">
        <f>VLOOKUP(orders__17[[#This Row],[Customer_ID]],customers__2[#All],4,0)</f>
        <v>Corporate</v>
      </c>
      <c r="K755" t="str">
        <f>VLOOKUP(orders__17[[#This Row],[Product_ID]],products[#All],3,0)</f>
        <v>Furniture</v>
      </c>
      <c r="L755" s="1" t="str">
        <f>VLOOKUP(orders__17[[#This Row],[Product_ID]],products[#All],4,0)</f>
        <v>Desk</v>
      </c>
      <c r="M755" s="1" t="str">
        <f>VLOOKUP(orders__17[[#This Row],[Order_ID]],returns[#All],2,0)</f>
        <v>No</v>
      </c>
    </row>
    <row r="756" spans="1:13" x14ac:dyDescent="0.3">
      <c r="A756" s="1" t="s">
        <v>1057</v>
      </c>
      <c r="B756" s="2">
        <v>45310</v>
      </c>
      <c r="C756" s="1" t="s">
        <v>1056</v>
      </c>
      <c r="D756" s="1" t="s">
        <v>67</v>
      </c>
      <c r="E756">
        <v>3</v>
      </c>
      <c r="F756" s="4">
        <v>1247.21</v>
      </c>
      <c r="G756" s="3">
        <v>0.3</v>
      </c>
      <c r="H756" s="4">
        <v>89.48</v>
      </c>
      <c r="I756" t="str">
        <f>VLOOKUP(orders__17[[#This Row],[Customer_ID]],customers__2[#All],3,0)</f>
        <v>North</v>
      </c>
      <c r="J756" t="str">
        <f>VLOOKUP(orders__17[[#This Row],[Customer_ID]],customers__2[#All],4,0)</f>
        <v>Corporate</v>
      </c>
      <c r="K756" t="str">
        <f>VLOOKUP(orders__17[[#This Row],[Product_ID]],products[#All],3,0)</f>
        <v>Furniture</v>
      </c>
      <c r="L756" s="1" t="str">
        <f>VLOOKUP(orders__17[[#This Row],[Product_ID]],products[#All],4,0)</f>
        <v>Chair</v>
      </c>
      <c r="M756" s="1" t="str">
        <f>VLOOKUP(orders__17[[#This Row],[Order_ID]],returns[#All],2,0)</f>
        <v>No</v>
      </c>
    </row>
    <row r="757" spans="1:13" x14ac:dyDescent="0.3">
      <c r="A757" s="1" t="s">
        <v>1058</v>
      </c>
      <c r="B757" s="2">
        <v>44628</v>
      </c>
      <c r="C757" s="1" t="s">
        <v>777</v>
      </c>
      <c r="D757" s="1" t="s">
        <v>64</v>
      </c>
      <c r="E757">
        <v>3</v>
      </c>
      <c r="F757" s="4">
        <v>1404.52</v>
      </c>
      <c r="G757" s="3">
        <v>0.1</v>
      </c>
      <c r="H757" s="4">
        <v>176.7</v>
      </c>
      <c r="I757" t="str">
        <f>VLOOKUP(orders__17[[#This Row],[Customer_ID]],customers__2[#All],3,0)</f>
        <v>South</v>
      </c>
      <c r="J757" t="str">
        <f>VLOOKUP(orders__17[[#This Row],[Customer_ID]],customers__2[#All],4,0)</f>
        <v>Home Office</v>
      </c>
      <c r="K757" t="str">
        <f>VLOOKUP(orders__17[[#This Row],[Product_ID]],products[#All],3,0)</f>
        <v>Office Supplies</v>
      </c>
      <c r="L757" s="1" t="str">
        <f>VLOOKUP(orders__17[[#This Row],[Product_ID]],products[#All],4,0)</f>
        <v>Storage</v>
      </c>
      <c r="M757" s="1" t="str">
        <f>VLOOKUP(orders__17[[#This Row],[Order_ID]],returns[#All],2,0)</f>
        <v>No</v>
      </c>
    </row>
    <row r="758" spans="1:13" x14ac:dyDescent="0.3">
      <c r="A758" s="1" t="s">
        <v>1059</v>
      </c>
      <c r="B758" s="2">
        <v>44749</v>
      </c>
      <c r="C758" s="1" t="s">
        <v>172</v>
      </c>
      <c r="D758" s="1" t="s">
        <v>186</v>
      </c>
      <c r="E758">
        <v>5</v>
      </c>
      <c r="F758" s="4">
        <v>317.52999999999997</v>
      </c>
      <c r="G758" s="3">
        <v>0.3</v>
      </c>
      <c r="H758" s="4">
        <v>92.6</v>
      </c>
      <c r="I758" t="str">
        <f>VLOOKUP(orders__17[[#This Row],[Customer_ID]],customers__2[#All],3,0)</f>
        <v>East</v>
      </c>
      <c r="J758" t="str">
        <f>VLOOKUP(orders__17[[#This Row],[Customer_ID]],customers__2[#All],4,0)</f>
        <v>Home Office</v>
      </c>
      <c r="K758" t="str">
        <f>VLOOKUP(orders__17[[#This Row],[Product_ID]],products[#All],3,0)</f>
        <v>Technology</v>
      </c>
      <c r="L758" s="1" t="str">
        <f>VLOOKUP(orders__17[[#This Row],[Product_ID]],products[#All],4,0)</f>
        <v>Laptop</v>
      </c>
      <c r="M758" s="1" t="str">
        <f>VLOOKUP(orders__17[[#This Row],[Order_ID]],returns[#All],2,0)</f>
        <v>No</v>
      </c>
    </row>
    <row r="759" spans="1:13" x14ac:dyDescent="0.3">
      <c r="A759" s="1" t="s">
        <v>1060</v>
      </c>
      <c r="B759" s="2">
        <v>44938</v>
      </c>
      <c r="C759" s="1" t="s">
        <v>1061</v>
      </c>
      <c r="D759" s="1" t="s">
        <v>269</v>
      </c>
      <c r="E759">
        <v>2</v>
      </c>
      <c r="F759" s="4">
        <v>829.29</v>
      </c>
      <c r="G759" s="3">
        <v>0</v>
      </c>
      <c r="H759" s="4">
        <v>237.32</v>
      </c>
      <c r="I759" t="str">
        <f>VLOOKUP(orders__17[[#This Row],[Customer_ID]],customers__2[#All],3,0)</f>
        <v>East</v>
      </c>
      <c r="J759" t="str">
        <f>VLOOKUP(orders__17[[#This Row],[Customer_ID]],customers__2[#All],4,0)</f>
        <v>Consumer</v>
      </c>
      <c r="K759" t="str">
        <f>VLOOKUP(orders__17[[#This Row],[Product_ID]],products[#All],3,0)</f>
        <v>Office Supplies</v>
      </c>
      <c r="L759" s="1" t="str">
        <f>VLOOKUP(orders__17[[#This Row],[Product_ID]],products[#All],4,0)</f>
        <v>Pen</v>
      </c>
      <c r="M759" s="1" t="str">
        <f>VLOOKUP(orders__17[[#This Row],[Order_ID]],returns[#All],2,0)</f>
        <v>No</v>
      </c>
    </row>
    <row r="760" spans="1:13" x14ac:dyDescent="0.3">
      <c r="A760" s="1" t="s">
        <v>1062</v>
      </c>
      <c r="B760" s="2">
        <v>45460</v>
      </c>
      <c r="C760" s="1" t="s">
        <v>268</v>
      </c>
      <c r="D760" s="1" t="s">
        <v>37</v>
      </c>
      <c r="E760">
        <v>5</v>
      </c>
      <c r="F760" s="4">
        <v>966.85</v>
      </c>
      <c r="G760" s="3">
        <v>0.1</v>
      </c>
      <c r="H760" s="4">
        <v>129.29</v>
      </c>
      <c r="I760" t="str">
        <f>VLOOKUP(orders__17[[#This Row],[Customer_ID]],customers__2[#All],3,0)</f>
        <v>East</v>
      </c>
      <c r="J760" t="str">
        <f>VLOOKUP(orders__17[[#This Row],[Customer_ID]],customers__2[#All],4,0)</f>
        <v>Consumer</v>
      </c>
      <c r="K760" t="str">
        <f>VLOOKUP(orders__17[[#This Row],[Product_ID]],products[#All],3,0)</f>
        <v>Furniture</v>
      </c>
      <c r="L760" s="1" t="str">
        <f>VLOOKUP(orders__17[[#This Row],[Product_ID]],products[#All],4,0)</f>
        <v>Desk</v>
      </c>
      <c r="M760" s="1" t="str">
        <f>VLOOKUP(orders__17[[#This Row],[Order_ID]],returns[#All],2,0)</f>
        <v>Yes</v>
      </c>
    </row>
    <row r="761" spans="1:13" x14ac:dyDescent="0.3">
      <c r="A761" s="1" t="s">
        <v>1063</v>
      </c>
      <c r="B761" s="2">
        <v>45422</v>
      </c>
      <c r="C761" s="1" t="s">
        <v>338</v>
      </c>
      <c r="D761" s="1" t="s">
        <v>369</v>
      </c>
      <c r="E761">
        <v>2</v>
      </c>
      <c r="F761" s="4">
        <v>801.2</v>
      </c>
      <c r="G761" s="3">
        <v>0.1</v>
      </c>
      <c r="H761" s="4">
        <v>154.4</v>
      </c>
      <c r="I761" t="str">
        <f>VLOOKUP(orders__17[[#This Row],[Customer_ID]],customers__2[#All],3,0)</f>
        <v>East</v>
      </c>
      <c r="J761" t="str">
        <f>VLOOKUP(orders__17[[#This Row],[Customer_ID]],customers__2[#All],4,0)</f>
        <v>Corporate</v>
      </c>
      <c r="K761" t="str">
        <f>VLOOKUP(orders__17[[#This Row],[Product_ID]],products[#All],3,0)</f>
        <v>Technology</v>
      </c>
      <c r="L761" s="1" t="str">
        <f>VLOOKUP(orders__17[[#This Row],[Product_ID]],products[#All],4,0)</f>
        <v>Phone</v>
      </c>
      <c r="M761" s="1" t="str">
        <f>VLOOKUP(orders__17[[#This Row],[Order_ID]],returns[#All],2,0)</f>
        <v>No</v>
      </c>
    </row>
    <row r="762" spans="1:13" x14ac:dyDescent="0.3">
      <c r="A762" s="1" t="s">
        <v>1064</v>
      </c>
      <c r="B762" s="2">
        <v>44736</v>
      </c>
      <c r="C762" s="1" t="s">
        <v>99</v>
      </c>
      <c r="D762" s="1" t="s">
        <v>10</v>
      </c>
      <c r="E762">
        <v>3</v>
      </c>
      <c r="F762" s="4">
        <v>329.95</v>
      </c>
      <c r="G762" s="3">
        <v>0.1</v>
      </c>
      <c r="H762" s="4">
        <v>91.53</v>
      </c>
      <c r="I762" t="str">
        <f>VLOOKUP(orders__17[[#This Row],[Customer_ID]],customers__2[#All],3,0)</f>
        <v>East</v>
      </c>
      <c r="J762" t="str">
        <f>VLOOKUP(orders__17[[#This Row],[Customer_ID]],customers__2[#All],4,0)</f>
        <v>Corporate</v>
      </c>
      <c r="K762" t="str">
        <f>VLOOKUP(orders__17[[#This Row],[Product_ID]],products[#All],3,0)</f>
        <v>Technology</v>
      </c>
      <c r="L762" s="1" t="str">
        <f>VLOOKUP(orders__17[[#This Row],[Product_ID]],products[#All],4,0)</f>
        <v>Tablet</v>
      </c>
      <c r="M762" s="1" t="str">
        <f>VLOOKUP(orders__17[[#This Row],[Order_ID]],returns[#All],2,0)</f>
        <v>No</v>
      </c>
    </row>
    <row r="763" spans="1:13" x14ac:dyDescent="0.3">
      <c r="A763" s="1" t="s">
        <v>1065</v>
      </c>
      <c r="B763" s="2">
        <v>45451</v>
      </c>
      <c r="C763" s="1" t="s">
        <v>246</v>
      </c>
      <c r="D763" s="1" t="s">
        <v>147</v>
      </c>
      <c r="E763">
        <v>3</v>
      </c>
      <c r="F763" s="4">
        <v>896</v>
      </c>
      <c r="G763" s="3">
        <v>0.2</v>
      </c>
      <c r="H763" s="4">
        <v>46.19</v>
      </c>
      <c r="I763" t="str">
        <f>VLOOKUP(orders__17[[#This Row],[Customer_ID]],customers__2[#All],3,0)</f>
        <v>West</v>
      </c>
      <c r="J763" t="str">
        <f>VLOOKUP(orders__17[[#This Row],[Customer_ID]],customers__2[#All],4,0)</f>
        <v>Home Office</v>
      </c>
      <c r="K763" t="str">
        <f>VLOOKUP(orders__17[[#This Row],[Product_ID]],products[#All],3,0)</f>
        <v>Technology</v>
      </c>
      <c r="L763" s="1" t="str">
        <f>VLOOKUP(orders__17[[#This Row],[Product_ID]],products[#All],4,0)</f>
        <v>Laptop</v>
      </c>
      <c r="M763" s="1" t="str">
        <f>VLOOKUP(orders__17[[#This Row],[Order_ID]],returns[#All],2,0)</f>
        <v>No</v>
      </c>
    </row>
    <row r="764" spans="1:13" x14ac:dyDescent="0.3">
      <c r="A764" s="1" t="s">
        <v>1066</v>
      </c>
      <c r="B764" s="2">
        <v>44798</v>
      </c>
      <c r="C764" s="1" t="s">
        <v>425</v>
      </c>
      <c r="D764" s="1" t="s">
        <v>111</v>
      </c>
      <c r="E764">
        <v>5</v>
      </c>
      <c r="F764" s="4">
        <v>1527.24</v>
      </c>
      <c r="G764" s="3">
        <v>0.2</v>
      </c>
      <c r="H764" s="4">
        <v>385.89</v>
      </c>
      <c r="I764" t="str">
        <f>VLOOKUP(orders__17[[#This Row],[Customer_ID]],customers__2[#All],3,0)</f>
        <v>East</v>
      </c>
      <c r="J764" t="str">
        <f>VLOOKUP(orders__17[[#This Row],[Customer_ID]],customers__2[#All],4,0)</f>
        <v>Home Office</v>
      </c>
      <c r="K764" t="str">
        <f>VLOOKUP(orders__17[[#This Row],[Product_ID]],products[#All],3,0)</f>
        <v>Technology</v>
      </c>
      <c r="L764" s="1" t="str">
        <f>VLOOKUP(orders__17[[#This Row],[Product_ID]],products[#All],4,0)</f>
        <v>Accessories</v>
      </c>
      <c r="M764" s="1" t="str">
        <f>VLOOKUP(orders__17[[#This Row],[Order_ID]],returns[#All],2,0)</f>
        <v>No</v>
      </c>
    </row>
    <row r="765" spans="1:13" x14ac:dyDescent="0.3">
      <c r="A765" s="1" t="s">
        <v>1067</v>
      </c>
      <c r="B765" s="2">
        <v>45049</v>
      </c>
      <c r="C765" s="1" t="s">
        <v>27</v>
      </c>
      <c r="D765" s="1" t="s">
        <v>304</v>
      </c>
      <c r="E765">
        <v>5</v>
      </c>
      <c r="F765" s="4">
        <v>234.91</v>
      </c>
      <c r="G765" s="3">
        <v>0.3</v>
      </c>
      <c r="H765" s="4">
        <v>67.44</v>
      </c>
      <c r="I765" t="str">
        <f>VLOOKUP(orders__17[[#This Row],[Customer_ID]],customers__2[#All],3,0)</f>
        <v>North</v>
      </c>
      <c r="J765" t="str">
        <f>VLOOKUP(orders__17[[#This Row],[Customer_ID]],customers__2[#All],4,0)</f>
        <v>Consumer</v>
      </c>
      <c r="K765" t="str">
        <f>VLOOKUP(orders__17[[#This Row],[Product_ID]],products[#All],3,0)</f>
        <v>Technology</v>
      </c>
      <c r="L765" s="1" t="str">
        <f>VLOOKUP(orders__17[[#This Row],[Product_ID]],products[#All],4,0)</f>
        <v>Accessories</v>
      </c>
      <c r="M765" s="1" t="str">
        <f>VLOOKUP(orders__17[[#This Row],[Order_ID]],returns[#All],2,0)</f>
        <v>No</v>
      </c>
    </row>
    <row r="766" spans="1:13" x14ac:dyDescent="0.3">
      <c r="A766" s="1" t="s">
        <v>1068</v>
      </c>
      <c r="B766" s="2">
        <v>45116</v>
      </c>
      <c r="C766" s="1" t="s">
        <v>145</v>
      </c>
      <c r="D766" s="1" t="s">
        <v>314</v>
      </c>
      <c r="E766">
        <v>2</v>
      </c>
      <c r="F766" s="4">
        <v>252.34</v>
      </c>
      <c r="G766" s="3">
        <v>0</v>
      </c>
      <c r="H766" s="4">
        <v>18.38</v>
      </c>
      <c r="I766" t="str">
        <f>VLOOKUP(orders__17[[#This Row],[Customer_ID]],customers__2[#All],3,0)</f>
        <v>West</v>
      </c>
      <c r="J766" t="str">
        <f>VLOOKUP(orders__17[[#This Row],[Customer_ID]],customers__2[#All],4,0)</f>
        <v>Corporate</v>
      </c>
      <c r="K766" t="str">
        <f>VLOOKUP(orders__17[[#This Row],[Product_ID]],products[#All],3,0)</f>
        <v>Office Supplies</v>
      </c>
      <c r="L766" s="1" t="str">
        <f>VLOOKUP(orders__17[[#This Row],[Product_ID]],products[#All],4,0)</f>
        <v>Paper</v>
      </c>
      <c r="M766" s="1" t="str">
        <f>VLOOKUP(orders__17[[#This Row],[Order_ID]],returns[#All],2,0)</f>
        <v>No</v>
      </c>
    </row>
    <row r="767" spans="1:13" x14ac:dyDescent="0.3">
      <c r="A767" s="1" t="s">
        <v>1069</v>
      </c>
      <c r="B767" s="2">
        <v>45196</v>
      </c>
      <c r="C767" s="1" t="s">
        <v>396</v>
      </c>
      <c r="D767" s="1" t="s">
        <v>256</v>
      </c>
      <c r="E767">
        <v>4</v>
      </c>
      <c r="F767" s="4">
        <v>774.07</v>
      </c>
      <c r="G767" s="3">
        <v>0.2</v>
      </c>
      <c r="H767" s="4">
        <v>69.95</v>
      </c>
      <c r="I767" t="str">
        <f>VLOOKUP(orders__17[[#This Row],[Customer_ID]],customers__2[#All],3,0)</f>
        <v>West</v>
      </c>
      <c r="J767" t="str">
        <f>VLOOKUP(orders__17[[#This Row],[Customer_ID]],customers__2[#All],4,0)</f>
        <v>Home Office</v>
      </c>
      <c r="K767" t="str">
        <f>VLOOKUP(orders__17[[#This Row],[Product_ID]],products[#All],3,0)</f>
        <v>Office Supplies</v>
      </c>
      <c r="L767" s="1" t="str">
        <f>VLOOKUP(orders__17[[#This Row],[Product_ID]],products[#All],4,0)</f>
        <v>Pen</v>
      </c>
      <c r="M767" s="1" t="str">
        <f>VLOOKUP(orders__17[[#This Row],[Order_ID]],returns[#All],2,0)</f>
        <v>No</v>
      </c>
    </row>
    <row r="768" spans="1:13" x14ac:dyDescent="0.3">
      <c r="A768" s="1" t="s">
        <v>1070</v>
      </c>
      <c r="B768" s="2">
        <v>44925</v>
      </c>
      <c r="C768" s="1" t="s">
        <v>380</v>
      </c>
      <c r="D768" s="1" t="s">
        <v>127</v>
      </c>
      <c r="E768">
        <v>2</v>
      </c>
      <c r="F768" s="4">
        <v>1889.28</v>
      </c>
      <c r="G768" s="3">
        <v>0.1</v>
      </c>
      <c r="H768" s="4">
        <v>548.24</v>
      </c>
      <c r="I768" t="str">
        <f>VLOOKUP(orders__17[[#This Row],[Customer_ID]],customers__2[#All],3,0)</f>
        <v>South</v>
      </c>
      <c r="J768" t="str">
        <f>VLOOKUP(orders__17[[#This Row],[Customer_ID]],customers__2[#All],4,0)</f>
        <v>Home Office</v>
      </c>
      <c r="K768" t="str">
        <f>VLOOKUP(orders__17[[#This Row],[Product_ID]],products[#All],3,0)</f>
        <v>Furniture</v>
      </c>
      <c r="L768" s="1" t="str">
        <f>VLOOKUP(orders__17[[#This Row],[Product_ID]],products[#All],4,0)</f>
        <v>Chair</v>
      </c>
      <c r="M768" s="1" t="str">
        <f>VLOOKUP(orders__17[[#This Row],[Order_ID]],returns[#All],2,0)</f>
        <v>No</v>
      </c>
    </row>
    <row r="769" spans="1:13" x14ac:dyDescent="0.3">
      <c r="A769" s="1" t="s">
        <v>1071</v>
      </c>
      <c r="B769" s="2">
        <v>44782</v>
      </c>
      <c r="C769" s="1" t="s">
        <v>102</v>
      </c>
      <c r="D769" s="1" t="s">
        <v>314</v>
      </c>
      <c r="E769">
        <v>5</v>
      </c>
      <c r="F769" s="4">
        <v>1370.29</v>
      </c>
      <c r="G769" s="3">
        <v>0.2</v>
      </c>
      <c r="H769" s="4">
        <v>252.66</v>
      </c>
      <c r="I769" t="str">
        <f>VLOOKUP(orders__17[[#This Row],[Customer_ID]],customers__2[#All],3,0)</f>
        <v>West</v>
      </c>
      <c r="J769" t="str">
        <f>VLOOKUP(orders__17[[#This Row],[Customer_ID]],customers__2[#All],4,0)</f>
        <v>Corporate</v>
      </c>
      <c r="K769" t="str">
        <f>VLOOKUP(orders__17[[#This Row],[Product_ID]],products[#All],3,0)</f>
        <v>Office Supplies</v>
      </c>
      <c r="L769" s="1" t="str">
        <f>VLOOKUP(orders__17[[#This Row],[Product_ID]],products[#All],4,0)</f>
        <v>Paper</v>
      </c>
      <c r="M769" s="1" t="str">
        <f>VLOOKUP(orders__17[[#This Row],[Order_ID]],returns[#All],2,0)</f>
        <v>No</v>
      </c>
    </row>
    <row r="770" spans="1:13" x14ac:dyDescent="0.3">
      <c r="A770" s="1" t="s">
        <v>1072</v>
      </c>
      <c r="B770" s="2">
        <v>44599</v>
      </c>
      <c r="C770" s="1" t="s">
        <v>444</v>
      </c>
      <c r="D770" s="1" t="s">
        <v>455</v>
      </c>
      <c r="E770">
        <v>5</v>
      </c>
      <c r="F770" s="4">
        <v>1389.47</v>
      </c>
      <c r="G770" s="3">
        <v>0</v>
      </c>
      <c r="H770" s="4">
        <v>74.400000000000006</v>
      </c>
      <c r="I770" t="str">
        <f>VLOOKUP(orders__17[[#This Row],[Customer_ID]],customers__2[#All],3,0)</f>
        <v>North</v>
      </c>
      <c r="J770" t="str">
        <f>VLOOKUP(orders__17[[#This Row],[Customer_ID]],customers__2[#All],4,0)</f>
        <v>Corporate</v>
      </c>
      <c r="K770" t="str">
        <f>VLOOKUP(orders__17[[#This Row],[Product_ID]],products[#All],3,0)</f>
        <v>Furniture</v>
      </c>
      <c r="L770" s="1" t="str">
        <f>VLOOKUP(orders__17[[#This Row],[Product_ID]],products[#All],4,0)</f>
        <v>Shelf</v>
      </c>
      <c r="M770" s="1" t="str">
        <f>VLOOKUP(orders__17[[#This Row],[Order_ID]],returns[#All],2,0)</f>
        <v>No</v>
      </c>
    </row>
    <row r="771" spans="1:13" x14ac:dyDescent="0.3">
      <c r="A771" s="1" t="s">
        <v>1073</v>
      </c>
      <c r="B771" s="2">
        <v>44688</v>
      </c>
      <c r="C771" s="1" t="s">
        <v>321</v>
      </c>
      <c r="D771" s="1" t="s">
        <v>37</v>
      </c>
      <c r="E771">
        <v>1</v>
      </c>
      <c r="F771" s="4">
        <v>787.65</v>
      </c>
      <c r="G771" s="3">
        <v>0.2</v>
      </c>
      <c r="H771" s="4">
        <v>90.11</v>
      </c>
      <c r="I771" t="str">
        <f>VLOOKUP(orders__17[[#This Row],[Customer_ID]],customers__2[#All],3,0)</f>
        <v>South</v>
      </c>
      <c r="J771" t="str">
        <f>VLOOKUP(orders__17[[#This Row],[Customer_ID]],customers__2[#All],4,0)</f>
        <v>Corporate</v>
      </c>
      <c r="K771" t="str">
        <f>VLOOKUP(orders__17[[#This Row],[Product_ID]],products[#All],3,0)</f>
        <v>Furniture</v>
      </c>
      <c r="L771" s="1" t="str">
        <f>VLOOKUP(orders__17[[#This Row],[Product_ID]],products[#All],4,0)</f>
        <v>Desk</v>
      </c>
      <c r="M771" s="1" t="str">
        <f>VLOOKUP(orders__17[[#This Row],[Order_ID]],returns[#All],2,0)</f>
        <v>No</v>
      </c>
    </row>
    <row r="772" spans="1:13" x14ac:dyDescent="0.3">
      <c r="A772" s="1" t="s">
        <v>1074</v>
      </c>
      <c r="B772" s="2">
        <v>44625</v>
      </c>
      <c r="C772" s="1" t="s">
        <v>622</v>
      </c>
      <c r="D772" s="1" t="s">
        <v>603</v>
      </c>
      <c r="E772">
        <v>5</v>
      </c>
      <c r="F772" s="4">
        <v>1227.96</v>
      </c>
      <c r="G772" s="3">
        <v>0.1</v>
      </c>
      <c r="H772" s="4">
        <v>199.53</v>
      </c>
      <c r="I772" t="str">
        <f>VLOOKUP(orders__17[[#This Row],[Customer_ID]],customers__2[#All],3,0)</f>
        <v>South</v>
      </c>
      <c r="J772" t="str">
        <f>VLOOKUP(orders__17[[#This Row],[Customer_ID]],customers__2[#All],4,0)</f>
        <v>Home Office</v>
      </c>
      <c r="K772" t="str">
        <f>VLOOKUP(orders__17[[#This Row],[Product_ID]],products[#All],3,0)</f>
        <v>Technology</v>
      </c>
      <c r="L772" s="1" t="str">
        <f>VLOOKUP(orders__17[[#This Row],[Product_ID]],products[#All],4,0)</f>
        <v>Accessories</v>
      </c>
      <c r="M772" s="1" t="str">
        <f>VLOOKUP(orders__17[[#This Row],[Order_ID]],returns[#All],2,0)</f>
        <v>No</v>
      </c>
    </row>
    <row r="773" spans="1:13" x14ac:dyDescent="0.3">
      <c r="A773" s="1" t="s">
        <v>1075</v>
      </c>
      <c r="B773" s="2">
        <v>44683</v>
      </c>
      <c r="C773" s="1" t="s">
        <v>598</v>
      </c>
      <c r="D773" s="1" t="s">
        <v>170</v>
      </c>
      <c r="E773">
        <v>1</v>
      </c>
      <c r="F773" s="4">
        <v>119.25</v>
      </c>
      <c r="G773" s="3">
        <v>0.3</v>
      </c>
      <c r="H773" s="4">
        <v>26.62</v>
      </c>
      <c r="I773" t="str">
        <f>VLOOKUP(orders__17[[#This Row],[Customer_ID]],customers__2[#All],3,0)</f>
        <v>South</v>
      </c>
      <c r="J773" t="str">
        <f>VLOOKUP(orders__17[[#This Row],[Customer_ID]],customers__2[#All],4,0)</f>
        <v>Home Office</v>
      </c>
      <c r="K773" t="str">
        <f>VLOOKUP(orders__17[[#This Row],[Product_ID]],products[#All],3,0)</f>
        <v>Furniture</v>
      </c>
      <c r="L773" s="1" t="str">
        <f>VLOOKUP(orders__17[[#This Row],[Product_ID]],products[#All],4,0)</f>
        <v>Shelf</v>
      </c>
      <c r="M773" s="1" t="str">
        <f>VLOOKUP(orders__17[[#This Row],[Order_ID]],returns[#All],2,0)</f>
        <v>No</v>
      </c>
    </row>
    <row r="774" spans="1:13" x14ac:dyDescent="0.3">
      <c r="A774" s="1" t="s">
        <v>1076</v>
      </c>
      <c r="B774" s="2">
        <v>44647</v>
      </c>
      <c r="C774" s="1" t="s">
        <v>434</v>
      </c>
      <c r="D774" s="1" t="s">
        <v>341</v>
      </c>
      <c r="E774">
        <v>4</v>
      </c>
      <c r="F774" s="4">
        <v>1308.58</v>
      </c>
      <c r="G774" s="3">
        <v>0.1</v>
      </c>
      <c r="H774" s="4">
        <v>305.27999999999997</v>
      </c>
      <c r="I774" t="str">
        <f>VLOOKUP(orders__17[[#This Row],[Customer_ID]],customers__2[#All],3,0)</f>
        <v>North</v>
      </c>
      <c r="J774" t="str">
        <f>VLOOKUP(orders__17[[#This Row],[Customer_ID]],customers__2[#All],4,0)</f>
        <v>Corporate</v>
      </c>
      <c r="K774" t="str">
        <f>VLOOKUP(orders__17[[#This Row],[Product_ID]],products[#All],3,0)</f>
        <v>Technology</v>
      </c>
      <c r="L774" s="1" t="str">
        <f>VLOOKUP(orders__17[[#This Row],[Product_ID]],products[#All],4,0)</f>
        <v>Phone</v>
      </c>
      <c r="M774" s="1" t="str">
        <f>VLOOKUP(orders__17[[#This Row],[Order_ID]],returns[#All],2,0)</f>
        <v>No</v>
      </c>
    </row>
    <row r="775" spans="1:13" x14ac:dyDescent="0.3">
      <c r="A775" s="1" t="s">
        <v>1077</v>
      </c>
      <c r="B775" s="2">
        <v>45235</v>
      </c>
      <c r="C775" s="1" t="s">
        <v>330</v>
      </c>
      <c r="D775" s="1" t="s">
        <v>75</v>
      </c>
      <c r="E775">
        <v>2</v>
      </c>
      <c r="F775" s="4">
        <v>1835.25</v>
      </c>
      <c r="G775" s="3">
        <v>0</v>
      </c>
      <c r="H775" s="4">
        <v>548.47</v>
      </c>
      <c r="I775" t="str">
        <f>VLOOKUP(orders__17[[#This Row],[Customer_ID]],customers__2[#All],3,0)</f>
        <v>South</v>
      </c>
      <c r="J775" t="str">
        <f>VLOOKUP(orders__17[[#This Row],[Customer_ID]],customers__2[#All],4,0)</f>
        <v>Consumer</v>
      </c>
      <c r="K775" t="str">
        <f>VLOOKUP(orders__17[[#This Row],[Product_ID]],products[#All],3,0)</f>
        <v>Technology</v>
      </c>
      <c r="L775" s="1" t="str">
        <f>VLOOKUP(orders__17[[#This Row],[Product_ID]],products[#All],4,0)</f>
        <v>Tablet</v>
      </c>
      <c r="M775" s="1" t="str">
        <f>VLOOKUP(orders__17[[#This Row],[Order_ID]],returns[#All],2,0)</f>
        <v>Yes</v>
      </c>
    </row>
    <row r="776" spans="1:13" x14ac:dyDescent="0.3">
      <c r="A776" s="1" t="s">
        <v>1078</v>
      </c>
      <c r="B776" s="2">
        <v>44743</v>
      </c>
      <c r="C776" s="1" t="s">
        <v>39</v>
      </c>
      <c r="D776" s="1" t="s">
        <v>34</v>
      </c>
      <c r="E776">
        <v>2</v>
      </c>
      <c r="F776" s="4">
        <v>1263.8900000000001</v>
      </c>
      <c r="G776" s="3">
        <v>0.3</v>
      </c>
      <c r="H776" s="4">
        <v>154.04</v>
      </c>
      <c r="I776" t="str">
        <f>VLOOKUP(orders__17[[#This Row],[Customer_ID]],customers__2[#All],3,0)</f>
        <v>West</v>
      </c>
      <c r="J776" t="str">
        <f>VLOOKUP(orders__17[[#This Row],[Customer_ID]],customers__2[#All],4,0)</f>
        <v>Consumer</v>
      </c>
      <c r="K776" t="str">
        <f>VLOOKUP(orders__17[[#This Row],[Product_ID]],products[#All],3,0)</f>
        <v>Furniture</v>
      </c>
      <c r="L776" s="1" t="str">
        <f>VLOOKUP(orders__17[[#This Row],[Product_ID]],products[#All],4,0)</f>
        <v>Table</v>
      </c>
      <c r="M776" s="1" t="str">
        <f>VLOOKUP(orders__17[[#This Row],[Order_ID]],returns[#All],2,0)</f>
        <v>No</v>
      </c>
    </row>
    <row r="777" spans="1:13" x14ac:dyDescent="0.3">
      <c r="A777" s="1" t="s">
        <v>1079</v>
      </c>
      <c r="B777" s="2">
        <v>44995</v>
      </c>
      <c r="C777" s="1" t="s">
        <v>1043</v>
      </c>
      <c r="D777" s="1" t="s">
        <v>301</v>
      </c>
      <c r="E777">
        <v>1</v>
      </c>
      <c r="F777" s="4">
        <v>1760.03</v>
      </c>
      <c r="G777" s="3">
        <v>0.2</v>
      </c>
      <c r="H777" s="4">
        <v>324.82</v>
      </c>
      <c r="I777" t="str">
        <f>VLOOKUP(orders__17[[#This Row],[Customer_ID]],customers__2[#All],3,0)</f>
        <v>South</v>
      </c>
      <c r="J777" t="str">
        <f>VLOOKUP(orders__17[[#This Row],[Customer_ID]],customers__2[#All],4,0)</f>
        <v>Corporate</v>
      </c>
      <c r="K777" t="str">
        <f>VLOOKUP(orders__17[[#This Row],[Product_ID]],products[#All],3,0)</f>
        <v>Furniture</v>
      </c>
      <c r="L777" s="1" t="str">
        <f>VLOOKUP(orders__17[[#This Row],[Product_ID]],products[#All],4,0)</f>
        <v>Table</v>
      </c>
      <c r="M777" s="1" t="str">
        <f>VLOOKUP(orders__17[[#This Row],[Order_ID]],returns[#All],2,0)</f>
        <v>No</v>
      </c>
    </row>
    <row r="778" spans="1:13" x14ac:dyDescent="0.3">
      <c r="A778" s="1" t="s">
        <v>1080</v>
      </c>
      <c r="B778" s="2">
        <v>44672</v>
      </c>
      <c r="C778" s="1" t="s">
        <v>1081</v>
      </c>
      <c r="D778" s="1" t="s">
        <v>34</v>
      </c>
      <c r="E778">
        <v>2</v>
      </c>
      <c r="F778" s="4">
        <v>1475.55</v>
      </c>
      <c r="G778" s="3">
        <v>0.2</v>
      </c>
      <c r="H778" s="4">
        <v>270.51</v>
      </c>
      <c r="I778" t="str">
        <f>VLOOKUP(orders__17[[#This Row],[Customer_ID]],customers__2[#All],3,0)</f>
        <v>North</v>
      </c>
      <c r="J778" t="str">
        <f>VLOOKUP(orders__17[[#This Row],[Customer_ID]],customers__2[#All],4,0)</f>
        <v>Home Office</v>
      </c>
      <c r="K778" t="str">
        <f>VLOOKUP(orders__17[[#This Row],[Product_ID]],products[#All],3,0)</f>
        <v>Furniture</v>
      </c>
      <c r="L778" s="1" t="str">
        <f>VLOOKUP(orders__17[[#This Row],[Product_ID]],products[#All],4,0)</f>
        <v>Table</v>
      </c>
      <c r="M778" s="1" t="str">
        <f>VLOOKUP(orders__17[[#This Row],[Order_ID]],returns[#All],2,0)</f>
        <v>Yes</v>
      </c>
    </row>
    <row r="779" spans="1:13" x14ac:dyDescent="0.3">
      <c r="A779" s="1" t="s">
        <v>1082</v>
      </c>
      <c r="B779" s="2">
        <v>44574</v>
      </c>
      <c r="C779" s="1" t="s">
        <v>487</v>
      </c>
      <c r="D779" s="1" t="s">
        <v>16</v>
      </c>
      <c r="E779">
        <v>5</v>
      </c>
      <c r="F779" s="4">
        <v>329.06</v>
      </c>
      <c r="G779" s="3">
        <v>0.2</v>
      </c>
      <c r="H779" s="4">
        <v>49.82</v>
      </c>
      <c r="I779" t="str">
        <f>VLOOKUP(orders__17[[#This Row],[Customer_ID]],customers__2[#All],3,0)</f>
        <v>North</v>
      </c>
      <c r="J779" t="str">
        <f>VLOOKUP(orders__17[[#This Row],[Customer_ID]],customers__2[#All],4,0)</f>
        <v>Home Office</v>
      </c>
      <c r="K779" t="str">
        <f>VLOOKUP(orders__17[[#This Row],[Product_ID]],products[#All],3,0)</f>
        <v>Technology</v>
      </c>
      <c r="L779" s="1" t="str">
        <f>VLOOKUP(orders__17[[#This Row],[Product_ID]],products[#All],4,0)</f>
        <v>Laptop</v>
      </c>
      <c r="M779" s="1" t="str">
        <f>VLOOKUP(orders__17[[#This Row],[Order_ID]],returns[#All],2,0)</f>
        <v>No</v>
      </c>
    </row>
    <row r="780" spans="1:13" x14ac:dyDescent="0.3">
      <c r="A780" s="1" t="s">
        <v>1083</v>
      </c>
      <c r="B780" s="2">
        <v>44629</v>
      </c>
      <c r="C780" s="1" t="s">
        <v>30</v>
      </c>
      <c r="D780" s="1" t="s">
        <v>100</v>
      </c>
      <c r="E780">
        <v>3</v>
      </c>
      <c r="F780" s="4">
        <v>1814.66</v>
      </c>
      <c r="G780" s="3">
        <v>0.3</v>
      </c>
      <c r="H780" s="4">
        <v>167.48</v>
      </c>
      <c r="I780" t="str">
        <f>VLOOKUP(orders__17[[#This Row],[Customer_ID]],customers__2[#All],3,0)</f>
        <v>South</v>
      </c>
      <c r="J780" t="str">
        <f>VLOOKUP(orders__17[[#This Row],[Customer_ID]],customers__2[#All],4,0)</f>
        <v>Home Office</v>
      </c>
      <c r="K780" t="str">
        <f>VLOOKUP(orders__17[[#This Row],[Product_ID]],products[#All],3,0)</f>
        <v>Technology</v>
      </c>
      <c r="L780" s="1" t="str">
        <f>VLOOKUP(orders__17[[#This Row],[Product_ID]],products[#All],4,0)</f>
        <v>Laptop</v>
      </c>
      <c r="M780" s="1" t="str">
        <f>VLOOKUP(orders__17[[#This Row],[Order_ID]],returns[#All],2,0)</f>
        <v>No</v>
      </c>
    </row>
    <row r="781" spans="1:13" x14ac:dyDescent="0.3">
      <c r="A781" s="1" t="s">
        <v>1084</v>
      </c>
      <c r="B781" s="2">
        <v>45140</v>
      </c>
      <c r="C781" s="1" t="s">
        <v>273</v>
      </c>
      <c r="D781" s="1" t="s">
        <v>242</v>
      </c>
      <c r="E781">
        <v>1</v>
      </c>
      <c r="F781" s="4">
        <v>226.24</v>
      </c>
      <c r="G781" s="3">
        <v>0.1</v>
      </c>
      <c r="H781" s="4">
        <v>66.599999999999994</v>
      </c>
      <c r="I781" t="str">
        <f>VLOOKUP(orders__17[[#This Row],[Customer_ID]],customers__2[#All],3,0)</f>
        <v>North</v>
      </c>
      <c r="J781" t="str">
        <f>VLOOKUP(orders__17[[#This Row],[Customer_ID]],customers__2[#All],4,0)</f>
        <v>Corporate</v>
      </c>
      <c r="K781" t="str">
        <f>VLOOKUP(orders__17[[#This Row],[Product_ID]],products[#All],3,0)</f>
        <v>Technology</v>
      </c>
      <c r="L781" s="1" t="str">
        <f>VLOOKUP(orders__17[[#This Row],[Product_ID]],products[#All],4,0)</f>
        <v>Phone</v>
      </c>
      <c r="M781" s="1" t="str">
        <f>VLOOKUP(orders__17[[#This Row],[Order_ID]],returns[#All],2,0)</f>
        <v>No</v>
      </c>
    </row>
    <row r="782" spans="1:13" x14ac:dyDescent="0.3">
      <c r="A782" s="1" t="s">
        <v>1085</v>
      </c>
      <c r="B782" s="2">
        <v>45003</v>
      </c>
      <c r="C782" s="1" t="s">
        <v>529</v>
      </c>
      <c r="D782" s="1" t="s">
        <v>92</v>
      </c>
      <c r="E782">
        <v>2</v>
      </c>
      <c r="F782" s="4">
        <v>1114.54</v>
      </c>
      <c r="G782" s="3">
        <v>0.3</v>
      </c>
      <c r="H782" s="4">
        <v>293.49</v>
      </c>
      <c r="I782" t="str">
        <f>VLOOKUP(orders__17[[#This Row],[Customer_ID]],customers__2[#All],3,0)</f>
        <v>South</v>
      </c>
      <c r="J782" t="str">
        <f>VLOOKUP(orders__17[[#This Row],[Customer_ID]],customers__2[#All],4,0)</f>
        <v>Corporate</v>
      </c>
      <c r="K782" t="str">
        <f>VLOOKUP(orders__17[[#This Row],[Product_ID]],products[#All],3,0)</f>
        <v>Furniture</v>
      </c>
      <c r="L782" s="1" t="str">
        <f>VLOOKUP(orders__17[[#This Row],[Product_ID]],products[#All],4,0)</f>
        <v>Shelf</v>
      </c>
      <c r="M782" s="1" t="str">
        <f>VLOOKUP(orders__17[[#This Row],[Order_ID]],returns[#All],2,0)</f>
        <v>Yes</v>
      </c>
    </row>
    <row r="783" spans="1:13" x14ac:dyDescent="0.3">
      <c r="A783" s="1" t="s">
        <v>1086</v>
      </c>
      <c r="B783" s="2">
        <v>45195</v>
      </c>
      <c r="C783" s="1" t="s">
        <v>388</v>
      </c>
      <c r="D783" s="1" t="s">
        <v>242</v>
      </c>
      <c r="E783">
        <v>1</v>
      </c>
      <c r="F783" s="4">
        <v>370.06</v>
      </c>
      <c r="G783" s="3">
        <v>0.3</v>
      </c>
      <c r="H783" s="4">
        <v>64.61</v>
      </c>
      <c r="I783" t="str">
        <f>VLOOKUP(orders__17[[#This Row],[Customer_ID]],customers__2[#All],3,0)</f>
        <v>East</v>
      </c>
      <c r="J783" t="str">
        <f>VLOOKUP(orders__17[[#This Row],[Customer_ID]],customers__2[#All],4,0)</f>
        <v>Home Office</v>
      </c>
      <c r="K783" t="str">
        <f>VLOOKUP(orders__17[[#This Row],[Product_ID]],products[#All],3,0)</f>
        <v>Technology</v>
      </c>
      <c r="L783" s="1" t="str">
        <f>VLOOKUP(orders__17[[#This Row],[Product_ID]],products[#All],4,0)</f>
        <v>Phone</v>
      </c>
      <c r="M783" s="1" t="str">
        <f>VLOOKUP(orders__17[[#This Row],[Order_ID]],returns[#All],2,0)</f>
        <v>No</v>
      </c>
    </row>
    <row r="784" spans="1:13" x14ac:dyDescent="0.3">
      <c r="A784" s="1" t="s">
        <v>1087</v>
      </c>
      <c r="B784" s="2">
        <v>44957</v>
      </c>
      <c r="C784" s="1" t="s">
        <v>91</v>
      </c>
      <c r="D784" s="1" t="s">
        <v>119</v>
      </c>
      <c r="E784">
        <v>1</v>
      </c>
      <c r="F784" s="4">
        <v>122.24</v>
      </c>
      <c r="G784" s="3">
        <v>0</v>
      </c>
      <c r="H784" s="4">
        <v>24.55</v>
      </c>
      <c r="I784" t="str">
        <f>VLOOKUP(orders__17[[#This Row],[Customer_ID]],customers__2[#All],3,0)</f>
        <v>South</v>
      </c>
      <c r="J784" t="str">
        <f>VLOOKUP(orders__17[[#This Row],[Customer_ID]],customers__2[#All],4,0)</f>
        <v>Home Office</v>
      </c>
      <c r="K784" t="str">
        <f>VLOOKUP(orders__17[[#This Row],[Product_ID]],products[#All],3,0)</f>
        <v>Technology</v>
      </c>
      <c r="L784" s="1" t="str">
        <f>VLOOKUP(orders__17[[#This Row],[Product_ID]],products[#All],4,0)</f>
        <v>Tablet</v>
      </c>
      <c r="M784" s="1" t="str">
        <f>VLOOKUP(orders__17[[#This Row],[Order_ID]],returns[#All],2,0)</f>
        <v>No</v>
      </c>
    </row>
    <row r="785" spans="1:13" x14ac:dyDescent="0.3">
      <c r="A785" s="1" t="s">
        <v>1088</v>
      </c>
      <c r="B785" s="2">
        <v>45300</v>
      </c>
      <c r="C785" s="1" t="s">
        <v>526</v>
      </c>
      <c r="D785" s="1" t="s">
        <v>201</v>
      </c>
      <c r="E785">
        <v>3</v>
      </c>
      <c r="F785" s="4">
        <v>901.87</v>
      </c>
      <c r="G785" s="3">
        <v>0.3</v>
      </c>
      <c r="H785" s="4">
        <v>96.33</v>
      </c>
      <c r="I785" t="str">
        <f>VLOOKUP(orders__17[[#This Row],[Customer_ID]],customers__2[#All],3,0)</f>
        <v>West</v>
      </c>
      <c r="J785" t="str">
        <f>VLOOKUP(orders__17[[#This Row],[Customer_ID]],customers__2[#All],4,0)</f>
        <v>Corporate</v>
      </c>
      <c r="K785" t="str">
        <f>VLOOKUP(orders__17[[#This Row],[Product_ID]],products[#All],3,0)</f>
        <v>Office Supplies</v>
      </c>
      <c r="L785" s="1" t="str">
        <f>VLOOKUP(orders__17[[#This Row],[Product_ID]],products[#All],4,0)</f>
        <v>Paper</v>
      </c>
      <c r="M785" s="1" t="str">
        <f>VLOOKUP(orders__17[[#This Row],[Order_ID]],returns[#All],2,0)</f>
        <v>No</v>
      </c>
    </row>
    <row r="786" spans="1:13" x14ac:dyDescent="0.3">
      <c r="A786" s="1" t="s">
        <v>1089</v>
      </c>
      <c r="B786" s="2">
        <v>44662</v>
      </c>
      <c r="C786" s="1" t="s">
        <v>978</v>
      </c>
      <c r="D786" s="1" t="s">
        <v>86</v>
      </c>
      <c r="E786">
        <v>5</v>
      </c>
      <c r="F786" s="4">
        <v>660.58</v>
      </c>
      <c r="G786" s="3">
        <v>0.2</v>
      </c>
      <c r="H786" s="4">
        <v>122.83</v>
      </c>
      <c r="I786" t="str">
        <f>VLOOKUP(orders__17[[#This Row],[Customer_ID]],customers__2[#All],3,0)</f>
        <v>North</v>
      </c>
      <c r="J786" t="str">
        <f>VLOOKUP(orders__17[[#This Row],[Customer_ID]],customers__2[#All],4,0)</f>
        <v>Home Office</v>
      </c>
      <c r="K786" t="str">
        <f>VLOOKUP(orders__17[[#This Row],[Product_ID]],products[#All],3,0)</f>
        <v>Furniture</v>
      </c>
      <c r="L786" s="1" t="str">
        <f>VLOOKUP(orders__17[[#This Row],[Product_ID]],products[#All],4,0)</f>
        <v>Table</v>
      </c>
      <c r="M786" s="1" t="str">
        <f>VLOOKUP(orders__17[[#This Row],[Order_ID]],returns[#All],2,0)</f>
        <v>No</v>
      </c>
    </row>
    <row r="787" spans="1:13" x14ac:dyDescent="0.3">
      <c r="A787" s="1" t="s">
        <v>1090</v>
      </c>
      <c r="B787" s="2">
        <v>44616</v>
      </c>
      <c r="C787" s="1" t="s">
        <v>179</v>
      </c>
      <c r="D787" s="1" t="s">
        <v>61</v>
      </c>
      <c r="E787">
        <v>1</v>
      </c>
      <c r="F787" s="4">
        <v>1023.4</v>
      </c>
      <c r="G787" s="3">
        <v>0.1</v>
      </c>
      <c r="H787" s="4">
        <v>228.98</v>
      </c>
      <c r="I787" t="str">
        <f>VLOOKUP(orders__17[[#This Row],[Customer_ID]],customers__2[#All],3,0)</f>
        <v>North</v>
      </c>
      <c r="J787" t="str">
        <f>VLOOKUP(orders__17[[#This Row],[Customer_ID]],customers__2[#All],4,0)</f>
        <v>Consumer</v>
      </c>
      <c r="K787" t="str">
        <f>VLOOKUP(orders__17[[#This Row],[Product_ID]],products[#All],3,0)</f>
        <v>Office Supplies</v>
      </c>
      <c r="L787" s="1" t="str">
        <f>VLOOKUP(orders__17[[#This Row],[Product_ID]],products[#All],4,0)</f>
        <v>Binder</v>
      </c>
      <c r="M787" s="1" t="str">
        <f>VLOOKUP(orders__17[[#This Row],[Order_ID]],returns[#All],2,0)</f>
        <v>No</v>
      </c>
    </row>
    <row r="788" spans="1:13" x14ac:dyDescent="0.3">
      <c r="A788" s="1" t="s">
        <v>1091</v>
      </c>
      <c r="B788" s="2">
        <v>45419</v>
      </c>
      <c r="C788" s="1" t="s">
        <v>192</v>
      </c>
      <c r="D788" s="1" t="s">
        <v>40</v>
      </c>
      <c r="E788">
        <v>2</v>
      </c>
      <c r="F788" s="4">
        <v>1196.68</v>
      </c>
      <c r="G788" s="3">
        <v>0.1</v>
      </c>
      <c r="H788" s="4">
        <v>213.96</v>
      </c>
      <c r="I788" t="str">
        <f>VLOOKUP(orders__17[[#This Row],[Customer_ID]],customers__2[#All],3,0)</f>
        <v>South</v>
      </c>
      <c r="J788" t="str">
        <f>VLOOKUP(orders__17[[#This Row],[Customer_ID]],customers__2[#All],4,0)</f>
        <v>Corporate</v>
      </c>
      <c r="K788" t="str">
        <f>VLOOKUP(orders__17[[#This Row],[Product_ID]],products[#All],3,0)</f>
        <v>Office Supplies</v>
      </c>
      <c r="L788" s="1" t="str">
        <f>VLOOKUP(orders__17[[#This Row],[Product_ID]],products[#All],4,0)</f>
        <v>Storage</v>
      </c>
      <c r="M788" s="1" t="str">
        <f>VLOOKUP(orders__17[[#This Row],[Order_ID]],returns[#All],2,0)</f>
        <v>No</v>
      </c>
    </row>
    <row r="789" spans="1:13" x14ac:dyDescent="0.3">
      <c r="A789" s="1" t="s">
        <v>1092</v>
      </c>
      <c r="B789" s="2">
        <v>44961</v>
      </c>
      <c r="C789" s="1" t="s">
        <v>1093</v>
      </c>
      <c r="D789" s="1" t="s">
        <v>369</v>
      </c>
      <c r="E789">
        <v>4</v>
      </c>
      <c r="F789" s="4">
        <v>183.1</v>
      </c>
      <c r="G789" s="3">
        <v>0.1</v>
      </c>
      <c r="H789" s="4">
        <v>54.49</v>
      </c>
      <c r="I789" t="str">
        <f>VLOOKUP(orders__17[[#This Row],[Customer_ID]],customers__2[#All],3,0)</f>
        <v>West</v>
      </c>
      <c r="J789" t="str">
        <f>VLOOKUP(orders__17[[#This Row],[Customer_ID]],customers__2[#All],4,0)</f>
        <v>Home Office</v>
      </c>
      <c r="K789" t="str">
        <f>VLOOKUP(orders__17[[#This Row],[Product_ID]],products[#All],3,0)</f>
        <v>Technology</v>
      </c>
      <c r="L789" s="1" t="str">
        <f>VLOOKUP(orders__17[[#This Row],[Product_ID]],products[#All],4,0)</f>
        <v>Phone</v>
      </c>
      <c r="M789" s="1" t="str">
        <f>VLOOKUP(orders__17[[#This Row],[Order_ID]],returns[#All],2,0)</f>
        <v>No</v>
      </c>
    </row>
    <row r="790" spans="1:13" x14ac:dyDescent="0.3">
      <c r="A790" s="1" t="s">
        <v>1094</v>
      </c>
      <c r="B790" s="2">
        <v>44729</v>
      </c>
      <c r="C790" s="1" t="s">
        <v>179</v>
      </c>
      <c r="D790" s="1" t="s">
        <v>301</v>
      </c>
      <c r="E790">
        <v>1</v>
      </c>
      <c r="F790" s="4">
        <v>333.71</v>
      </c>
      <c r="G790" s="3">
        <v>0.2</v>
      </c>
      <c r="H790" s="4">
        <v>67.69</v>
      </c>
      <c r="I790" t="str">
        <f>VLOOKUP(orders__17[[#This Row],[Customer_ID]],customers__2[#All],3,0)</f>
        <v>North</v>
      </c>
      <c r="J790" t="str">
        <f>VLOOKUP(orders__17[[#This Row],[Customer_ID]],customers__2[#All],4,0)</f>
        <v>Consumer</v>
      </c>
      <c r="K790" t="str">
        <f>VLOOKUP(orders__17[[#This Row],[Product_ID]],products[#All],3,0)</f>
        <v>Furniture</v>
      </c>
      <c r="L790" s="1" t="str">
        <f>VLOOKUP(orders__17[[#This Row],[Product_ID]],products[#All],4,0)</f>
        <v>Table</v>
      </c>
      <c r="M790" s="1" t="str">
        <f>VLOOKUP(orders__17[[#This Row],[Order_ID]],returns[#All],2,0)</f>
        <v>No</v>
      </c>
    </row>
    <row r="791" spans="1:13" x14ac:dyDescent="0.3">
      <c r="A791" s="1" t="s">
        <v>1095</v>
      </c>
      <c r="B791" s="2">
        <v>44617</v>
      </c>
      <c r="C791" s="1" t="s">
        <v>729</v>
      </c>
      <c r="D791" s="1" t="s">
        <v>226</v>
      </c>
      <c r="E791">
        <v>1</v>
      </c>
      <c r="F791" s="4">
        <v>1161.42</v>
      </c>
      <c r="G791" s="3">
        <v>0.2</v>
      </c>
      <c r="H791" s="4">
        <v>165.79</v>
      </c>
      <c r="I791" t="str">
        <f>VLOOKUP(orders__17[[#This Row],[Customer_ID]],customers__2[#All],3,0)</f>
        <v>North</v>
      </c>
      <c r="J791" t="str">
        <f>VLOOKUP(orders__17[[#This Row],[Customer_ID]],customers__2[#All],4,0)</f>
        <v>Home Office</v>
      </c>
      <c r="K791" t="str">
        <f>VLOOKUP(orders__17[[#This Row],[Product_ID]],products[#All],3,0)</f>
        <v>Technology</v>
      </c>
      <c r="L791" s="1" t="str">
        <f>VLOOKUP(orders__17[[#This Row],[Product_ID]],products[#All],4,0)</f>
        <v>Laptop</v>
      </c>
      <c r="M791" s="1" t="str">
        <f>VLOOKUP(orders__17[[#This Row],[Order_ID]],returns[#All],2,0)</f>
        <v>No</v>
      </c>
    </row>
    <row r="792" spans="1:13" x14ac:dyDescent="0.3">
      <c r="A792" s="1" t="s">
        <v>1096</v>
      </c>
      <c r="B792" s="2">
        <v>44694</v>
      </c>
      <c r="C792" s="1" t="s">
        <v>15</v>
      </c>
      <c r="D792" s="1" t="s">
        <v>100</v>
      </c>
      <c r="E792">
        <v>3</v>
      </c>
      <c r="F792" s="4">
        <v>752.02</v>
      </c>
      <c r="G792" s="3">
        <v>0.2</v>
      </c>
      <c r="H792" s="4">
        <v>182.77</v>
      </c>
      <c r="I792" t="str">
        <f>VLOOKUP(orders__17[[#This Row],[Customer_ID]],customers__2[#All],3,0)</f>
        <v>West</v>
      </c>
      <c r="J792" t="str">
        <f>VLOOKUP(orders__17[[#This Row],[Customer_ID]],customers__2[#All],4,0)</f>
        <v>Corporate</v>
      </c>
      <c r="K792" t="str">
        <f>VLOOKUP(orders__17[[#This Row],[Product_ID]],products[#All],3,0)</f>
        <v>Technology</v>
      </c>
      <c r="L792" s="1" t="str">
        <f>VLOOKUP(orders__17[[#This Row],[Product_ID]],products[#All],4,0)</f>
        <v>Laptop</v>
      </c>
      <c r="M792" s="1" t="str">
        <f>VLOOKUP(orders__17[[#This Row],[Order_ID]],returns[#All],2,0)</f>
        <v>Yes</v>
      </c>
    </row>
    <row r="793" spans="1:13" x14ac:dyDescent="0.3">
      <c r="A793" s="1" t="s">
        <v>1097</v>
      </c>
      <c r="B793" s="2">
        <v>45205</v>
      </c>
      <c r="C793" s="1" t="s">
        <v>607</v>
      </c>
      <c r="D793" s="1" t="s">
        <v>147</v>
      </c>
      <c r="E793">
        <v>5</v>
      </c>
      <c r="F793" s="4">
        <v>1485.43</v>
      </c>
      <c r="G793" s="3">
        <v>0.2</v>
      </c>
      <c r="H793" s="4">
        <v>137.57</v>
      </c>
      <c r="I793" t="str">
        <f>VLOOKUP(orders__17[[#This Row],[Customer_ID]],customers__2[#All],3,0)</f>
        <v>East</v>
      </c>
      <c r="J793" t="str">
        <f>VLOOKUP(orders__17[[#This Row],[Customer_ID]],customers__2[#All],4,0)</f>
        <v>Consumer</v>
      </c>
      <c r="K793" t="str">
        <f>VLOOKUP(orders__17[[#This Row],[Product_ID]],products[#All],3,0)</f>
        <v>Technology</v>
      </c>
      <c r="L793" s="1" t="str">
        <f>VLOOKUP(orders__17[[#This Row],[Product_ID]],products[#All],4,0)</f>
        <v>Laptop</v>
      </c>
      <c r="M793" s="1" t="str">
        <f>VLOOKUP(orders__17[[#This Row],[Order_ID]],returns[#All],2,0)</f>
        <v>No</v>
      </c>
    </row>
    <row r="794" spans="1:13" x14ac:dyDescent="0.3">
      <c r="A794" s="1" t="s">
        <v>1098</v>
      </c>
      <c r="B794" s="2">
        <v>45206</v>
      </c>
      <c r="C794" s="1" t="s">
        <v>576</v>
      </c>
      <c r="D794" s="1" t="s">
        <v>34</v>
      </c>
      <c r="E794">
        <v>4</v>
      </c>
      <c r="F794" s="4">
        <v>1339.35</v>
      </c>
      <c r="G794" s="3">
        <v>0.2</v>
      </c>
      <c r="H794" s="4">
        <v>195.72</v>
      </c>
      <c r="I794" t="str">
        <f>VLOOKUP(orders__17[[#This Row],[Customer_ID]],customers__2[#All],3,0)</f>
        <v>West</v>
      </c>
      <c r="J794" t="str">
        <f>VLOOKUP(orders__17[[#This Row],[Customer_ID]],customers__2[#All],4,0)</f>
        <v>Corporate</v>
      </c>
      <c r="K794" t="str">
        <f>VLOOKUP(orders__17[[#This Row],[Product_ID]],products[#All],3,0)</f>
        <v>Furniture</v>
      </c>
      <c r="L794" s="1" t="str">
        <f>VLOOKUP(orders__17[[#This Row],[Product_ID]],products[#All],4,0)</f>
        <v>Table</v>
      </c>
      <c r="M794" s="1" t="str">
        <f>VLOOKUP(orders__17[[#This Row],[Order_ID]],returns[#All],2,0)</f>
        <v>No</v>
      </c>
    </row>
    <row r="795" spans="1:13" x14ac:dyDescent="0.3">
      <c r="A795" s="1" t="s">
        <v>1099</v>
      </c>
      <c r="B795" s="2">
        <v>44974</v>
      </c>
      <c r="C795" s="1" t="s">
        <v>406</v>
      </c>
      <c r="D795" s="1" t="s">
        <v>275</v>
      </c>
      <c r="E795">
        <v>2</v>
      </c>
      <c r="F795" s="4">
        <v>1706.65</v>
      </c>
      <c r="G795" s="3">
        <v>0.3</v>
      </c>
      <c r="H795" s="4">
        <v>233.37</v>
      </c>
      <c r="I795" t="str">
        <f>VLOOKUP(orders__17[[#This Row],[Customer_ID]],customers__2[#All],3,0)</f>
        <v>East</v>
      </c>
      <c r="J795" t="str">
        <f>VLOOKUP(orders__17[[#This Row],[Customer_ID]],customers__2[#All],4,0)</f>
        <v>Home Office</v>
      </c>
      <c r="K795" t="str">
        <f>VLOOKUP(orders__17[[#This Row],[Product_ID]],products[#All],3,0)</f>
        <v>Furniture</v>
      </c>
      <c r="L795" s="1" t="str">
        <f>VLOOKUP(orders__17[[#This Row],[Product_ID]],products[#All],4,0)</f>
        <v>Table</v>
      </c>
      <c r="M795" s="1" t="str">
        <f>VLOOKUP(orders__17[[#This Row],[Order_ID]],returns[#All],2,0)</f>
        <v>No</v>
      </c>
    </row>
    <row r="796" spans="1:13" x14ac:dyDescent="0.3">
      <c r="A796" s="1" t="s">
        <v>1100</v>
      </c>
      <c r="B796" s="2">
        <v>45303</v>
      </c>
      <c r="C796" s="1" t="s">
        <v>282</v>
      </c>
      <c r="D796" s="1" t="s">
        <v>132</v>
      </c>
      <c r="E796">
        <v>4</v>
      </c>
      <c r="F796" s="4">
        <v>1415.74</v>
      </c>
      <c r="G796" s="3">
        <v>0.2</v>
      </c>
      <c r="H796" s="4">
        <v>223.62</v>
      </c>
      <c r="I796" t="str">
        <f>VLOOKUP(orders__17[[#This Row],[Customer_ID]],customers__2[#All],3,0)</f>
        <v>South</v>
      </c>
      <c r="J796" t="str">
        <f>VLOOKUP(orders__17[[#This Row],[Customer_ID]],customers__2[#All],4,0)</f>
        <v>Home Office</v>
      </c>
      <c r="K796" t="str">
        <f>VLOOKUP(orders__17[[#This Row],[Product_ID]],products[#All],3,0)</f>
        <v>Furniture</v>
      </c>
      <c r="L796" s="1" t="str">
        <f>VLOOKUP(orders__17[[#This Row],[Product_ID]],products[#All],4,0)</f>
        <v>Shelf</v>
      </c>
      <c r="M796" s="1" t="str">
        <f>VLOOKUP(orders__17[[#This Row],[Order_ID]],returns[#All],2,0)</f>
        <v>Yes</v>
      </c>
    </row>
    <row r="797" spans="1:13" x14ac:dyDescent="0.3">
      <c r="A797" s="1" t="s">
        <v>1101</v>
      </c>
      <c r="B797" s="2">
        <v>45238</v>
      </c>
      <c r="C797" s="1" t="s">
        <v>683</v>
      </c>
      <c r="D797" s="1" t="s">
        <v>143</v>
      </c>
      <c r="E797">
        <v>2</v>
      </c>
      <c r="F797" s="4">
        <v>916.87</v>
      </c>
      <c r="G797" s="3">
        <v>0.2</v>
      </c>
      <c r="H797" s="4">
        <v>225.04</v>
      </c>
      <c r="I797" t="str">
        <f>VLOOKUP(orders__17[[#This Row],[Customer_ID]],customers__2[#All],3,0)</f>
        <v>East</v>
      </c>
      <c r="J797" t="str">
        <f>VLOOKUP(orders__17[[#This Row],[Customer_ID]],customers__2[#All],4,0)</f>
        <v>Corporate</v>
      </c>
      <c r="K797" t="str">
        <f>VLOOKUP(orders__17[[#This Row],[Product_ID]],products[#All],3,0)</f>
        <v>Furniture</v>
      </c>
      <c r="L797" s="1" t="str">
        <f>VLOOKUP(orders__17[[#This Row],[Product_ID]],products[#All],4,0)</f>
        <v>Shelf</v>
      </c>
      <c r="M797" s="1" t="str">
        <f>VLOOKUP(orders__17[[#This Row],[Order_ID]],returns[#All],2,0)</f>
        <v>No</v>
      </c>
    </row>
    <row r="798" spans="1:13" x14ac:dyDescent="0.3">
      <c r="A798" s="1" t="s">
        <v>1102</v>
      </c>
      <c r="B798" s="2">
        <v>44573</v>
      </c>
      <c r="C798" s="1" t="s">
        <v>927</v>
      </c>
      <c r="D798" s="1" t="s">
        <v>70</v>
      </c>
      <c r="E798">
        <v>5</v>
      </c>
      <c r="F798" s="4">
        <v>1378.64</v>
      </c>
      <c r="G798" s="3">
        <v>0.2</v>
      </c>
      <c r="H798" s="4">
        <v>235.81</v>
      </c>
      <c r="I798" t="str">
        <f>VLOOKUP(orders__17[[#This Row],[Customer_ID]],customers__2[#All],3,0)</f>
        <v>South</v>
      </c>
      <c r="J798" t="str">
        <f>VLOOKUP(orders__17[[#This Row],[Customer_ID]],customers__2[#All],4,0)</f>
        <v>Corporate</v>
      </c>
      <c r="K798" t="str">
        <f>VLOOKUP(orders__17[[#This Row],[Product_ID]],products[#All],3,0)</f>
        <v>Office Supplies</v>
      </c>
      <c r="L798" s="1" t="str">
        <f>VLOOKUP(orders__17[[#This Row],[Product_ID]],products[#All],4,0)</f>
        <v>Paper</v>
      </c>
      <c r="M798" s="1" t="str">
        <f>VLOOKUP(orders__17[[#This Row],[Order_ID]],returns[#All],2,0)</f>
        <v>Yes</v>
      </c>
    </row>
    <row r="799" spans="1:13" x14ac:dyDescent="0.3">
      <c r="A799" s="1" t="s">
        <v>1103</v>
      </c>
      <c r="B799" s="2">
        <v>44709</v>
      </c>
      <c r="C799" s="1" t="s">
        <v>691</v>
      </c>
      <c r="D799" s="1" t="s">
        <v>97</v>
      </c>
      <c r="E799">
        <v>2</v>
      </c>
      <c r="F799" s="4">
        <v>623.22</v>
      </c>
      <c r="G799" s="3">
        <v>0.2</v>
      </c>
      <c r="H799" s="4">
        <v>154.87</v>
      </c>
      <c r="I799" t="str">
        <f>VLOOKUP(orders__17[[#This Row],[Customer_ID]],customers__2[#All],3,0)</f>
        <v>West</v>
      </c>
      <c r="J799" t="str">
        <f>VLOOKUP(orders__17[[#This Row],[Customer_ID]],customers__2[#All],4,0)</f>
        <v>Corporate</v>
      </c>
      <c r="K799" t="str">
        <f>VLOOKUP(orders__17[[#This Row],[Product_ID]],products[#All],3,0)</f>
        <v>Technology</v>
      </c>
      <c r="L799" s="1" t="str">
        <f>VLOOKUP(orders__17[[#This Row],[Product_ID]],products[#All],4,0)</f>
        <v>Tablet</v>
      </c>
      <c r="M799" s="1" t="str">
        <f>VLOOKUP(orders__17[[#This Row],[Order_ID]],returns[#All],2,0)</f>
        <v>Yes</v>
      </c>
    </row>
    <row r="800" spans="1:13" x14ac:dyDescent="0.3">
      <c r="A800" s="1" t="s">
        <v>1104</v>
      </c>
      <c r="B800" s="2">
        <v>45243</v>
      </c>
      <c r="C800" s="1" t="s">
        <v>150</v>
      </c>
      <c r="D800" s="1" t="s">
        <v>40</v>
      </c>
      <c r="E800">
        <v>3</v>
      </c>
      <c r="F800" s="4">
        <v>682</v>
      </c>
      <c r="G800" s="3">
        <v>0.1</v>
      </c>
      <c r="H800" s="4">
        <v>132.38999999999999</v>
      </c>
      <c r="I800" t="str">
        <f>VLOOKUP(orders__17[[#This Row],[Customer_ID]],customers__2[#All],3,0)</f>
        <v>West</v>
      </c>
      <c r="J800" t="str">
        <f>VLOOKUP(orders__17[[#This Row],[Customer_ID]],customers__2[#All],4,0)</f>
        <v>Consumer</v>
      </c>
      <c r="K800" t="str">
        <f>VLOOKUP(orders__17[[#This Row],[Product_ID]],products[#All],3,0)</f>
        <v>Office Supplies</v>
      </c>
      <c r="L800" s="1" t="str">
        <f>VLOOKUP(orders__17[[#This Row],[Product_ID]],products[#All],4,0)</f>
        <v>Storage</v>
      </c>
      <c r="M800" s="1" t="str">
        <f>VLOOKUP(orders__17[[#This Row],[Order_ID]],returns[#All],2,0)</f>
        <v>No</v>
      </c>
    </row>
    <row r="801" spans="1:13" x14ac:dyDescent="0.3">
      <c r="A801" s="1" t="s">
        <v>1105</v>
      </c>
      <c r="B801" s="2">
        <v>45316</v>
      </c>
      <c r="C801" s="1" t="s">
        <v>436</v>
      </c>
      <c r="D801" s="1" t="s">
        <v>177</v>
      </c>
      <c r="E801">
        <v>3</v>
      </c>
      <c r="F801" s="4">
        <v>1599.07</v>
      </c>
      <c r="G801" s="3">
        <v>0.2</v>
      </c>
      <c r="H801" s="4">
        <v>216.7</v>
      </c>
      <c r="I801" t="str">
        <f>VLOOKUP(orders__17[[#This Row],[Customer_ID]],customers__2[#All],3,0)</f>
        <v>East</v>
      </c>
      <c r="J801" t="str">
        <f>VLOOKUP(orders__17[[#This Row],[Customer_ID]],customers__2[#All],4,0)</f>
        <v>Consumer</v>
      </c>
      <c r="K801" t="str">
        <f>VLOOKUP(orders__17[[#This Row],[Product_ID]],products[#All],3,0)</f>
        <v>Furniture</v>
      </c>
      <c r="L801" s="1" t="str">
        <f>VLOOKUP(orders__17[[#This Row],[Product_ID]],products[#All],4,0)</f>
        <v>Table</v>
      </c>
      <c r="M801" s="1" t="str">
        <f>VLOOKUP(orders__17[[#This Row],[Order_ID]],returns[#All],2,0)</f>
        <v>No</v>
      </c>
    </row>
    <row r="802" spans="1:13" x14ac:dyDescent="0.3">
      <c r="A802" s="1" t="s">
        <v>1106</v>
      </c>
      <c r="B802" s="2">
        <v>44567</v>
      </c>
      <c r="C802" s="1" t="s">
        <v>21</v>
      </c>
      <c r="D802" s="1" t="s">
        <v>239</v>
      </c>
      <c r="E802">
        <v>3</v>
      </c>
      <c r="F802" s="4">
        <v>948.2</v>
      </c>
      <c r="G802" s="3">
        <v>0.3</v>
      </c>
      <c r="H802" s="4">
        <v>239.42</v>
      </c>
      <c r="I802" t="str">
        <f>VLOOKUP(orders__17[[#This Row],[Customer_ID]],customers__2[#All],3,0)</f>
        <v>West</v>
      </c>
      <c r="J802" t="str">
        <f>VLOOKUP(orders__17[[#This Row],[Customer_ID]],customers__2[#All],4,0)</f>
        <v>Corporate</v>
      </c>
      <c r="K802" t="str">
        <f>VLOOKUP(orders__17[[#This Row],[Product_ID]],products[#All],3,0)</f>
        <v>Furniture</v>
      </c>
      <c r="L802" s="1" t="str">
        <f>VLOOKUP(orders__17[[#This Row],[Product_ID]],products[#All],4,0)</f>
        <v>Shelf</v>
      </c>
      <c r="M802" s="1" t="str">
        <f>VLOOKUP(orders__17[[#This Row],[Order_ID]],returns[#All],2,0)</f>
        <v>No</v>
      </c>
    </row>
    <row r="803" spans="1:13" x14ac:dyDescent="0.3">
      <c r="A803" s="1" t="s">
        <v>1107</v>
      </c>
      <c r="B803" s="2">
        <v>45268</v>
      </c>
      <c r="C803" s="1" t="s">
        <v>442</v>
      </c>
      <c r="D803" s="1" t="s">
        <v>757</v>
      </c>
      <c r="E803">
        <v>3</v>
      </c>
      <c r="F803" s="4">
        <v>1616.92</v>
      </c>
      <c r="G803" s="3">
        <v>0.3</v>
      </c>
      <c r="H803" s="4">
        <v>177.17</v>
      </c>
      <c r="I803" t="str">
        <f>VLOOKUP(orders__17[[#This Row],[Customer_ID]],customers__2[#All],3,0)</f>
        <v>North</v>
      </c>
      <c r="J803" t="str">
        <f>VLOOKUP(orders__17[[#This Row],[Customer_ID]],customers__2[#All],4,0)</f>
        <v>Consumer</v>
      </c>
      <c r="K803" t="str">
        <f>VLOOKUP(orders__17[[#This Row],[Product_ID]],products[#All],3,0)</f>
        <v>Office Supplies</v>
      </c>
      <c r="L803" s="1" t="str">
        <f>VLOOKUP(orders__17[[#This Row],[Product_ID]],products[#All],4,0)</f>
        <v>Pen</v>
      </c>
      <c r="M803" s="1" t="str">
        <f>VLOOKUP(orders__17[[#This Row],[Order_ID]],returns[#All],2,0)</f>
        <v>Yes</v>
      </c>
    </row>
    <row r="804" spans="1:13" x14ac:dyDescent="0.3">
      <c r="A804" s="1" t="s">
        <v>1108</v>
      </c>
      <c r="B804" s="2">
        <v>44856</v>
      </c>
      <c r="C804" s="1" t="s">
        <v>104</v>
      </c>
      <c r="D804" s="1" t="s">
        <v>283</v>
      </c>
      <c r="E804">
        <v>4</v>
      </c>
      <c r="F804" s="4">
        <v>1662.6</v>
      </c>
      <c r="G804" s="3">
        <v>0.3</v>
      </c>
      <c r="H804" s="4">
        <v>176.39</v>
      </c>
      <c r="I804" t="str">
        <f>VLOOKUP(orders__17[[#This Row],[Customer_ID]],customers__2[#All],3,0)</f>
        <v>West</v>
      </c>
      <c r="J804" t="str">
        <f>VLOOKUP(orders__17[[#This Row],[Customer_ID]],customers__2[#All],4,0)</f>
        <v>Corporate</v>
      </c>
      <c r="K804" t="str">
        <f>VLOOKUP(orders__17[[#This Row],[Product_ID]],products[#All],3,0)</f>
        <v>Furniture</v>
      </c>
      <c r="L804" s="1" t="str">
        <f>VLOOKUP(orders__17[[#This Row],[Product_ID]],products[#All],4,0)</f>
        <v>Chair</v>
      </c>
      <c r="M804" s="1" t="str">
        <f>VLOOKUP(orders__17[[#This Row],[Order_ID]],returns[#All],2,0)</f>
        <v>No</v>
      </c>
    </row>
    <row r="805" spans="1:13" x14ac:dyDescent="0.3">
      <c r="A805" s="1" t="s">
        <v>1109</v>
      </c>
      <c r="B805" s="2">
        <v>44997</v>
      </c>
      <c r="C805" s="1" t="s">
        <v>475</v>
      </c>
      <c r="D805" s="1" t="s">
        <v>10</v>
      </c>
      <c r="E805">
        <v>5</v>
      </c>
      <c r="F805" s="4">
        <v>1729.37</v>
      </c>
      <c r="G805" s="3">
        <v>0</v>
      </c>
      <c r="H805" s="4">
        <v>304.58999999999997</v>
      </c>
      <c r="I805" t="str">
        <f>VLOOKUP(orders__17[[#This Row],[Customer_ID]],customers__2[#All],3,0)</f>
        <v>South</v>
      </c>
      <c r="J805" t="str">
        <f>VLOOKUP(orders__17[[#This Row],[Customer_ID]],customers__2[#All],4,0)</f>
        <v>Corporate</v>
      </c>
      <c r="K805" t="str">
        <f>VLOOKUP(orders__17[[#This Row],[Product_ID]],products[#All],3,0)</f>
        <v>Technology</v>
      </c>
      <c r="L805" s="1" t="str">
        <f>VLOOKUP(orders__17[[#This Row],[Product_ID]],products[#All],4,0)</f>
        <v>Tablet</v>
      </c>
      <c r="M805" s="1" t="str">
        <f>VLOOKUP(orders__17[[#This Row],[Order_ID]],returns[#All],2,0)</f>
        <v>Yes</v>
      </c>
    </row>
    <row r="806" spans="1:13" x14ac:dyDescent="0.3">
      <c r="A806" s="1" t="s">
        <v>1110</v>
      </c>
      <c r="B806" s="2">
        <v>44881</v>
      </c>
      <c r="C806" s="1" t="s">
        <v>282</v>
      </c>
      <c r="D806" s="1" t="s">
        <v>92</v>
      </c>
      <c r="E806">
        <v>2</v>
      </c>
      <c r="F806" s="4">
        <v>1841.61</v>
      </c>
      <c r="G806" s="3">
        <v>0.1</v>
      </c>
      <c r="H806" s="4">
        <v>212.18</v>
      </c>
      <c r="I806" t="str">
        <f>VLOOKUP(orders__17[[#This Row],[Customer_ID]],customers__2[#All],3,0)</f>
        <v>South</v>
      </c>
      <c r="J806" t="str">
        <f>VLOOKUP(orders__17[[#This Row],[Customer_ID]],customers__2[#All],4,0)</f>
        <v>Home Office</v>
      </c>
      <c r="K806" t="str">
        <f>VLOOKUP(orders__17[[#This Row],[Product_ID]],products[#All],3,0)</f>
        <v>Furniture</v>
      </c>
      <c r="L806" s="1" t="str">
        <f>VLOOKUP(orders__17[[#This Row],[Product_ID]],products[#All],4,0)</f>
        <v>Shelf</v>
      </c>
      <c r="M806" s="1" t="str">
        <f>VLOOKUP(orders__17[[#This Row],[Order_ID]],returns[#All],2,0)</f>
        <v>No</v>
      </c>
    </row>
    <row r="807" spans="1:13" x14ac:dyDescent="0.3">
      <c r="A807" s="1" t="s">
        <v>1111</v>
      </c>
      <c r="B807" s="2">
        <v>45348</v>
      </c>
      <c r="C807" s="1" t="s">
        <v>1093</v>
      </c>
      <c r="D807" s="1" t="s">
        <v>13</v>
      </c>
      <c r="E807">
        <v>2</v>
      </c>
      <c r="F807" s="4">
        <v>918.87</v>
      </c>
      <c r="G807" s="3">
        <v>0.2</v>
      </c>
      <c r="H807" s="4">
        <v>48.03</v>
      </c>
      <c r="I807" t="str">
        <f>VLOOKUP(orders__17[[#This Row],[Customer_ID]],customers__2[#All],3,0)</f>
        <v>West</v>
      </c>
      <c r="J807" t="str">
        <f>VLOOKUP(orders__17[[#This Row],[Customer_ID]],customers__2[#All],4,0)</f>
        <v>Home Office</v>
      </c>
      <c r="K807" t="str">
        <f>VLOOKUP(orders__17[[#This Row],[Product_ID]],products[#All],3,0)</f>
        <v>Furniture</v>
      </c>
      <c r="L807" s="1" t="str">
        <f>VLOOKUP(orders__17[[#This Row],[Product_ID]],products[#All],4,0)</f>
        <v>Desk</v>
      </c>
      <c r="M807" s="1" t="str">
        <f>VLOOKUP(orders__17[[#This Row],[Order_ID]],returns[#All],2,0)</f>
        <v>No</v>
      </c>
    </row>
    <row r="808" spans="1:13" x14ac:dyDescent="0.3">
      <c r="A808" s="1" t="s">
        <v>1112</v>
      </c>
      <c r="B808" s="2">
        <v>44693</v>
      </c>
      <c r="C808" s="1" t="s">
        <v>321</v>
      </c>
      <c r="D808" s="1" t="s">
        <v>341</v>
      </c>
      <c r="E808">
        <v>3</v>
      </c>
      <c r="F808" s="4">
        <v>705.85</v>
      </c>
      <c r="G808" s="3">
        <v>0</v>
      </c>
      <c r="H808" s="4">
        <v>149.69</v>
      </c>
      <c r="I808" t="str">
        <f>VLOOKUP(orders__17[[#This Row],[Customer_ID]],customers__2[#All],3,0)</f>
        <v>South</v>
      </c>
      <c r="J808" t="str">
        <f>VLOOKUP(orders__17[[#This Row],[Customer_ID]],customers__2[#All],4,0)</f>
        <v>Corporate</v>
      </c>
      <c r="K808" t="str">
        <f>VLOOKUP(orders__17[[#This Row],[Product_ID]],products[#All],3,0)</f>
        <v>Technology</v>
      </c>
      <c r="L808" s="1" t="str">
        <f>VLOOKUP(orders__17[[#This Row],[Product_ID]],products[#All],4,0)</f>
        <v>Phone</v>
      </c>
      <c r="M808" s="1" t="str">
        <f>VLOOKUP(orders__17[[#This Row],[Order_ID]],returns[#All],2,0)</f>
        <v>No</v>
      </c>
    </row>
    <row r="809" spans="1:13" x14ac:dyDescent="0.3">
      <c r="A809" s="1" t="s">
        <v>1113</v>
      </c>
      <c r="B809" s="2">
        <v>45196</v>
      </c>
      <c r="C809" s="1" t="s">
        <v>579</v>
      </c>
      <c r="D809" s="1" t="s">
        <v>89</v>
      </c>
      <c r="E809">
        <v>3</v>
      </c>
      <c r="F809" s="4">
        <v>1206.18</v>
      </c>
      <c r="G809" s="3">
        <v>0.2</v>
      </c>
      <c r="H809" s="4">
        <v>214.43</v>
      </c>
      <c r="I809" t="str">
        <f>VLOOKUP(orders__17[[#This Row],[Customer_ID]],customers__2[#All],3,0)</f>
        <v>West</v>
      </c>
      <c r="J809" t="str">
        <f>VLOOKUP(orders__17[[#This Row],[Customer_ID]],customers__2[#All],4,0)</f>
        <v>Corporate</v>
      </c>
      <c r="K809" t="str">
        <f>VLOOKUP(orders__17[[#This Row],[Product_ID]],products[#All],3,0)</f>
        <v>Technology</v>
      </c>
      <c r="L809" s="1" t="str">
        <f>VLOOKUP(orders__17[[#This Row],[Product_ID]],products[#All],4,0)</f>
        <v>Phone</v>
      </c>
      <c r="M809" s="1" t="str">
        <f>VLOOKUP(orders__17[[#This Row],[Order_ID]],returns[#All],2,0)</f>
        <v>No</v>
      </c>
    </row>
    <row r="810" spans="1:13" x14ac:dyDescent="0.3">
      <c r="A810" s="1" t="s">
        <v>1114</v>
      </c>
      <c r="B810" s="2">
        <v>45037</v>
      </c>
      <c r="C810" s="1" t="s">
        <v>58</v>
      </c>
      <c r="D810" s="1" t="s">
        <v>22</v>
      </c>
      <c r="E810">
        <v>1</v>
      </c>
      <c r="F810" s="4">
        <v>805.23</v>
      </c>
      <c r="G810" s="3">
        <v>0</v>
      </c>
      <c r="H810" s="4">
        <v>129.94999999999999</v>
      </c>
      <c r="I810" t="str">
        <f>VLOOKUP(orders__17[[#This Row],[Customer_ID]],customers__2[#All],3,0)</f>
        <v>West</v>
      </c>
      <c r="J810" t="str">
        <f>VLOOKUP(orders__17[[#This Row],[Customer_ID]],customers__2[#All],4,0)</f>
        <v>Corporate</v>
      </c>
      <c r="K810" t="str">
        <f>VLOOKUP(orders__17[[#This Row],[Product_ID]],products[#All],3,0)</f>
        <v>Furniture</v>
      </c>
      <c r="L810" s="1" t="str">
        <f>VLOOKUP(orders__17[[#This Row],[Product_ID]],products[#All],4,0)</f>
        <v>Chair</v>
      </c>
      <c r="M810" s="1" t="str">
        <f>VLOOKUP(orders__17[[#This Row],[Order_ID]],returns[#All],2,0)</f>
        <v>Yes</v>
      </c>
    </row>
    <row r="811" spans="1:13" x14ac:dyDescent="0.3">
      <c r="A811" s="1" t="s">
        <v>1115</v>
      </c>
      <c r="B811" s="2">
        <v>44696</v>
      </c>
      <c r="C811" s="1" t="s">
        <v>697</v>
      </c>
      <c r="D811" s="1" t="s">
        <v>141</v>
      </c>
      <c r="E811">
        <v>5</v>
      </c>
      <c r="F811" s="4">
        <v>1242.04</v>
      </c>
      <c r="G811" s="3">
        <v>0</v>
      </c>
      <c r="H811" s="4">
        <v>362.36</v>
      </c>
      <c r="I811" t="str">
        <f>VLOOKUP(orders__17[[#This Row],[Customer_ID]],customers__2[#All],3,0)</f>
        <v>South</v>
      </c>
      <c r="J811" t="str">
        <f>VLOOKUP(orders__17[[#This Row],[Customer_ID]],customers__2[#All],4,0)</f>
        <v>Corporate</v>
      </c>
      <c r="K811" t="str">
        <f>VLOOKUP(orders__17[[#This Row],[Product_ID]],products[#All],3,0)</f>
        <v>Technology</v>
      </c>
      <c r="L811" s="1" t="str">
        <f>VLOOKUP(orders__17[[#This Row],[Product_ID]],products[#All],4,0)</f>
        <v>Phone</v>
      </c>
      <c r="M811" s="1" t="str">
        <f>VLOOKUP(orders__17[[#This Row],[Order_ID]],returns[#All],2,0)</f>
        <v>No</v>
      </c>
    </row>
    <row r="812" spans="1:13" x14ac:dyDescent="0.3">
      <c r="A812" s="1" t="s">
        <v>1116</v>
      </c>
      <c r="B812" s="2">
        <v>45308</v>
      </c>
      <c r="C812" s="1" t="s">
        <v>244</v>
      </c>
      <c r="D812" s="1" t="s">
        <v>188</v>
      </c>
      <c r="E812">
        <v>4</v>
      </c>
      <c r="F812" s="4">
        <v>1440.61</v>
      </c>
      <c r="G812" s="3">
        <v>0.3</v>
      </c>
      <c r="H812" s="4">
        <v>277.75</v>
      </c>
      <c r="I812" t="str">
        <f>VLOOKUP(orders__17[[#This Row],[Customer_ID]],customers__2[#All],3,0)</f>
        <v>South</v>
      </c>
      <c r="J812" t="str">
        <f>VLOOKUP(orders__17[[#This Row],[Customer_ID]],customers__2[#All],4,0)</f>
        <v>Corporate</v>
      </c>
      <c r="K812" t="str">
        <f>VLOOKUP(orders__17[[#This Row],[Product_ID]],products[#All],3,0)</f>
        <v>Technology</v>
      </c>
      <c r="L812" s="1" t="str">
        <f>VLOOKUP(orders__17[[#This Row],[Product_ID]],products[#All],4,0)</f>
        <v>Laptop</v>
      </c>
      <c r="M812" s="1" t="str">
        <f>VLOOKUP(orders__17[[#This Row],[Order_ID]],returns[#All],2,0)</f>
        <v>No</v>
      </c>
    </row>
    <row r="813" spans="1:13" x14ac:dyDescent="0.3">
      <c r="A813" s="1" t="s">
        <v>1117</v>
      </c>
      <c r="B813" s="2">
        <v>44639</v>
      </c>
      <c r="C813" s="1" t="s">
        <v>691</v>
      </c>
      <c r="D813" s="1" t="s">
        <v>61</v>
      </c>
      <c r="E813">
        <v>2</v>
      </c>
      <c r="F813" s="4">
        <v>1407.97</v>
      </c>
      <c r="G813" s="3">
        <v>0.3</v>
      </c>
      <c r="H813" s="4">
        <v>374.32</v>
      </c>
      <c r="I813" t="str">
        <f>VLOOKUP(orders__17[[#This Row],[Customer_ID]],customers__2[#All],3,0)</f>
        <v>West</v>
      </c>
      <c r="J813" t="str">
        <f>VLOOKUP(orders__17[[#This Row],[Customer_ID]],customers__2[#All],4,0)</f>
        <v>Corporate</v>
      </c>
      <c r="K813" t="str">
        <f>VLOOKUP(orders__17[[#This Row],[Product_ID]],products[#All],3,0)</f>
        <v>Office Supplies</v>
      </c>
      <c r="L813" s="1" t="str">
        <f>VLOOKUP(orders__17[[#This Row],[Product_ID]],products[#All],4,0)</f>
        <v>Binder</v>
      </c>
      <c r="M813" s="1" t="str">
        <f>VLOOKUP(orders__17[[#This Row],[Order_ID]],returns[#All],2,0)</f>
        <v>No</v>
      </c>
    </row>
    <row r="814" spans="1:13" x14ac:dyDescent="0.3">
      <c r="A814" s="1" t="s">
        <v>1118</v>
      </c>
      <c r="B814" s="2">
        <v>45343</v>
      </c>
      <c r="C814" s="1" t="s">
        <v>334</v>
      </c>
      <c r="D814" s="1" t="s">
        <v>234</v>
      </c>
      <c r="E814">
        <v>1</v>
      </c>
      <c r="F814" s="4">
        <v>811.65</v>
      </c>
      <c r="G814" s="3">
        <v>0</v>
      </c>
      <c r="H814" s="4">
        <v>68.88</v>
      </c>
      <c r="I814" t="str">
        <f>VLOOKUP(orders__17[[#This Row],[Customer_ID]],customers__2[#All],3,0)</f>
        <v>East</v>
      </c>
      <c r="J814" t="str">
        <f>VLOOKUP(orders__17[[#This Row],[Customer_ID]],customers__2[#All],4,0)</f>
        <v>Consumer</v>
      </c>
      <c r="K814" t="str">
        <f>VLOOKUP(orders__17[[#This Row],[Product_ID]],products[#All],3,0)</f>
        <v>Furniture</v>
      </c>
      <c r="L814" s="1" t="str">
        <f>VLOOKUP(orders__17[[#This Row],[Product_ID]],products[#All],4,0)</f>
        <v>Shelf</v>
      </c>
      <c r="M814" s="1" t="str">
        <f>VLOOKUP(orders__17[[#This Row],[Order_ID]],returns[#All],2,0)</f>
        <v>No</v>
      </c>
    </row>
    <row r="815" spans="1:13" x14ac:dyDescent="0.3">
      <c r="A815" s="1" t="s">
        <v>1119</v>
      </c>
      <c r="B815" s="2">
        <v>45338</v>
      </c>
      <c r="C815" s="1" t="s">
        <v>647</v>
      </c>
      <c r="D815" s="1" t="s">
        <v>34</v>
      </c>
      <c r="E815">
        <v>1</v>
      </c>
      <c r="F815" s="4">
        <v>417.03</v>
      </c>
      <c r="G815" s="3">
        <v>0.3</v>
      </c>
      <c r="H815" s="4">
        <v>80.2</v>
      </c>
      <c r="I815" t="str">
        <f>VLOOKUP(orders__17[[#This Row],[Customer_ID]],customers__2[#All],3,0)</f>
        <v>South</v>
      </c>
      <c r="J815" t="str">
        <f>VLOOKUP(orders__17[[#This Row],[Customer_ID]],customers__2[#All],4,0)</f>
        <v>Consumer</v>
      </c>
      <c r="K815" t="str">
        <f>VLOOKUP(orders__17[[#This Row],[Product_ID]],products[#All],3,0)</f>
        <v>Furniture</v>
      </c>
      <c r="L815" s="1" t="str">
        <f>VLOOKUP(orders__17[[#This Row],[Product_ID]],products[#All],4,0)</f>
        <v>Table</v>
      </c>
      <c r="M815" s="1" t="str">
        <f>VLOOKUP(orders__17[[#This Row],[Order_ID]],returns[#All],2,0)</f>
        <v>Yes</v>
      </c>
    </row>
    <row r="816" spans="1:13" x14ac:dyDescent="0.3">
      <c r="A816" s="1" t="s">
        <v>1120</v>
      </c>
      <c r="B816" s="2">
        <v>45371</v>
      </c>
      <c r="C816" s="1" t="s">
        <v>520</v>
      </c>
      <c r="D816" s="1" t="s">
        <v>304</v>
      </c>
      <c r="E816">
        <v>2</v>
      </c>
      <c r="F816" s="4">
        <v>918.01</v>
      </c>
      <c r="G816" s="3">
        <v>0</v>
      </c>
      <c r="H816" s="4">
        <v>245.1</v>
      </c>
      <c r="I816" t="str">
        <f>VLOOKUP(orders__17[[#This Row],[Customer_ID]],customers__2[#All],3,0)</f>
        <v>West</v>
      </c>
      <c r="J816" t="str">
        <f>VLOOKUP(orders__17[[#This Row],[Customer_ID]],customers__2[#All],4,0)</f>
        <v>Consumer</v>
      </c>
      <c r="K816" t="str">
        <f>VLOOKUP(orders__17[[#This Row],[Product_ID]],products[#All],3,0)</f>
        <v>Technology</v>
      </c>
      <c r="L816" s="1" t="str">
        <f>VLOOKUP(orders__17[[#This Row],[Product_ID]],products[#All],4,0)</f>
        <v>Accessories</v>
      </c>
      <c r="M816" s="1" t="str">
        <f>VLOOKUP(orders__17[[#This Row],[Order_ID]],returns[#All],2,0)</f>
        <v>No</v>
      </c>
    </row>
    <row r="817" spans="1:13" x14ac:dyDescent="0.3">
      <c r="A817" s="1" t="s">
        <v>1121</v>
      </c>
      <c r="B817" s="2">
        <v>45285</v>
      </c>
      <c r="C817" s="1" t="s">
        <v>77</v>
      </c>
      <c r="D817" s="1" t="s">
        <v>364</v>
      </c>
      <c r="E817">
        <v>4</v>
      </c>
      <c r="F817" s="4">
        <v>370.93</v>
      </c>
      <c r="G817" s="3">
        <v>0.1</v>
      </c>
      <c r="H817" s="4">
        <v>72.62</v>
      </c>
      <c r="I817" t="str">
        <f>VLOOKUP(orders__17[[#This Row],[Customer_ID]],customers__2[#All],3,0)</f>
        <v>West</v>
      </c>
      <c r="J817" t="str">
        <f>VLOOKUP(orders__17[[#This Row],[Customer_ID]],customers__2[#All],4,0)</f>
        <v>Consumer</v>
      </c>
      <c r="K817" t="str">
        <f>VLOOKUP(orders__17[[#This Row],[Product_ID]],products[#All],3,0)</f>
        <v>Technology</v>
      </c>
      <c r="L817" s="1" t="str">
        <f>VLOOKUP(orders__17[[#This Row],[Product_ID]],products[#All],4,0)</f>
        <v>Accessories</v>
      </c>
      <c r="M817" s="1" t="str">
        <f>VLOOKUP(orders__17[[#This Row],[Order_ID]],returns[#All],2,0)</f>
        <v>No</v>
      </c>
    </row>
    <row r="818" spans="1:13" x14ac:dyDescent="0.3">
      <c r="A818" s="1" t="s">
        <v>1122</v>
      </c>
      <c r="B818" s="2">
        <v>44964</v>
      </c>
      <c r="C818" s="1" t="s">
        <v>102</v>
      </c>
      <c r="D818" s="1" t="s">
        <v>195</v>
      </c>
      <c r="E818">
        <v>1</v>
      </c>
      <c r="F818" s="4">
        <v>1791.18</v>
      </c>
      <c r="G818" s="3">
        <v>0.3</v>
      </c>
      <c r="H818" s="4">
        <v>411.08</v>
      </c>
      <c r="I818" t="str">
        <f>VLOOKUP(orders__17[[#This Row],[Customer_ID]],customers__2[#All],3,0)</f>
        <v>West</v>
      </c>
      <c r="J818" t="str">
        <f>VLOOKUP(orders__17[[#This Row],[Customer_ID]],customers__2[#All],4,0)</f>
        <v>Corporate</v>
      </c>
      <c r="K818" t="str">
        <f>VLOOKUP(orders__17[[#This Row],[Product_ID]],products[#All],3,0)</f>
        <v>Furniture</v>
      </c>
      <c r="L818" s="1" t="str">
        <f>VLOOKUP(orders__17[[#This Row],[Product_ID]],products[#All],4,0)</f>
        <v>Chair</v>
      </c>
      <c r="M818" s="1" t="str">
        <f>VLOOKUP(orders__17[[#This Row],[Order_ID]],returns[#All],2,0)</f>
        <v>No</v>
      </c>
    </row>
    <row r="819" spans="1:13" x14ac:dyDescent="0.3">
      <c r="A819" s="1" t="s">
        <v>1123</v>
      </c>
      <c r="B819" s="2">
        <v>44783</v>
      </c>
      <c r="C819" s="1" t="s">
        <v>406</v>
      </c>
      <c r="D819" s="1" t="s">
        <v>263</v>
      </c>
      <c r="E819">
        <v>1</v>
      </c>
      <c r="F819" s="4">
        <v>757.17</v>
      </c>
      <c r="G819" s="3">
        <v>0.3</v>
      </c>
      <c r="H819" s="4">
        <v>108.28</v>
      </c>
      <c r="I819" t="str">
        <f>VLOOKUP(orders__17[[#This Row],[Customer_ID]],customers__2[#All],3,0)</f>
        <v>East</v>
      </c>
      <c r="J819" t="str">
        <f>VLOOKUP(orders__17[[#This Row],[Customer_ID]],customers__2[#All],4,0)</f>
        <v>Home Office</v>
      </c>
      <c r="K819" t="str">
        <f>VLOOKUP(orders__17[[#This Row],[Product_ID]],products[#All],3,0)</f>
        <v>Office Supplies</v>
      </c>
      <c r="L819" s="1" t="str">
        <f>VLOOKUP(orders__17[[#This Row],[Product_ID]],products[#All],4,0)</f>
        <v>Storage</v>
      </c>
      <c r="M819" s="1" t="str">
        <f>VLOOKUP(orders__17[[#This Row],[Order_ID]],returns[#All],2,0)</f>
        <v>Yes</v>
      </c>
    </row>
    <row r="820" spans="1:13" x14ac:dyDescent="0.3">
      <c r="A820" s="1" t="s">
        <v>1124</v>
      </c>
      <c r="B820" s="2">
        <v>44650</v>
      </c>
      <c r="C820" s="1" t="s">
        <v>18</v>
      </c>
      <c r="D820" s="1" t="s">
        <v>361</v>
      </c>
      <c r="E820">
        <v>5</v>
      </c>
      <c r="F820" s="4">
        <v>393.47</v>
      </c>
      <c r="G820" s="3">
        <v>0.3</v>
      </c>
      <c r="H820" s="4">
        <v>28.77</v>
      </c>
      <c r="I820" t="str">
        <f>VLOOKUP(orders__17[[#This Row],[Customer_ID]],customers__2[#All],3,0)</f>
        <v>North</v>
      </c>
      <c r="J820" t="str">
        <f>VLOOKUP(orders__17[[#This Row],[Customer_ID]],customers__2[#All],4,0)</f>
        <v>Home Office</v>
      </c>
      <c r="K820" t="str">
        <f>VLOOKUP(orders__17[[#This Row],[Product_ID]],products[#All],3,0)</f>
        <v>Furniture</v>
      </c>
      <c r="L820" s="1" t="str">
        <f>VLOOKUP(orders__17[[#This Row],[Product_ID]],products[#All],4,0)</f>
        <v>Shelf</v>
      </c>
      <c r="M820" s="1" t="str">
        <f>VLOOKUP(orders__17[[#This Row],[Order_ID]],returns[#All],2,0)</f>
        <v>Yes</v>
      </c>
    </row>
    <row r="821" spans="1:13" x14ac:dyDescent="0.3">
      <c r="A821" s="1" t="s">
        <v>1125</v>
      </c>
      <c r="B821" s="2">
        <v>45128</v>
      </c>
      <c r="C821" s="1" t="s">
        <v>482</v>
      </c>
      <c r="D821" s="1" t="s">
        <v>119</v>
      </c>
      <c r="E821">
        <v>4</v>
      </c>
      <c r="F821" s="4">
        <v>148.35</v>
      </c>
      <c r="G821" s="3">
        <v>0.1</v>
      </c>
      <c r="H821" s="4">
        <v>24.4</v>
      </c>
      <c r="I821" t="str">
        <f>VLOOKUP(orders__17[[#This Row],[Customer_ID]],customers__2[#All],3,0)</f>
        <v>North</v>
      </c>
      <c r="J821" t="str">
        <f>VLOOKUP(orders__17[[#This Row],[Customer_ID]],customers__2[#All],4,0)</f>
        <v>Consumer</v>
      </c>
      <c r="K821" t="str">
        <f>VLOOKUP(orders__17[[#This Row],[Product_ID]],products[#All],3,0)</f>
        <v>Technology</v>
      </c>
      <c r="L821" s="1" t="str">
        <f>VLOOKUP(orders__17[[#This Row],[Product_ID]],products[#All],4,0)</f>
        <v>Tablet</v>
      </c>
      <c r="M821" s="1" t="str">
        <f>VLOOKUP(orders__17[[#This Row],[Order_ID]],returns[#All],2,0)</f>
        <v>No</v>
      </c>
    </row>
    <row r="822" spans="1:13" x14ac:dyDescent="0.3">
      <c r="A822" s="1" t="s">
        <v>1126</v>
      </c>
      <c r="B822" s="2">
        <v>45303</v>
      </c>
      <c r="C822" s="1" t="s">
        <v>134</v>
      </c>
      <c r="D822" s="1" t="s">
        <v>13</v>
      </c>
      <c r="E822">
        <v>1</v>
      </c>
      <c r="F822" s="4">
        <v>1327.06</v>
      </c>
      <c r="G822" s="3">
        <v>0</v>
      </c>
      <c r="H822" s="4">
        <v>197.23</v>
      </c>
      <c r="I822" t="str">
        <f>VLOOKUP(orders__17[[#This Row],[Customer_ID]],customers__2[#All],3,0)</f>
        <v>West</v>
      </c>
      <c r="J822" t="str">
        <f>VLOOKUP(orders__17[[#This Row],[Customer_ID]],customers__2[#All],4,0)</f>
        <v>Home Office</v>
      </c>
      <c r="K822" t="str">
        <f>VLOOKUP(orders__17[[#This Row],[Product_ID]],products[#All],3,0)</f>
        <v>Furniture</v>
      </c>
      <c r="L822" s="1" t="str">
        <f>VLOOKUP(orders__17[[#This Row],[Product_ID]],products[#All],4,0)</f>
        <v>Desk</v>
      </c>
      <c r="M822" s="1" t="str">
        <f>VLOOKUP(orders__17[[#This Row],[Order_ID]],returns[#All],2,0)</f>
        <v>No</v>
      </c>
    </row>
    <row r="823" spans="1:13" x14ac:dyDescent="0.3">
      <c r="A823" s="1" t="s">
        <v>1127</v>
      </c>
      <c r="B823" s="2">
        <v>44734</v>
      </c>
      <c r="C823" s="1" t="s">
        <v>1061</v>
      </c>
      <c r="D823" s="1" t="s">
        <v>451</v>
      </c>
      <c r="E823">
        <v>4</v>
      </c>
      <c r="F823" s="4">
        <v>1310.1099999999999</v>
      </c>
      <c r="G823" s="3">
        <v>0.2</v>
      </c>
      <c r="H823" s="4">
        <v>349.49</v>
      </c>
      <c r="I823" t="str">
        <f>VLOOKUP(orders__17[[#This Row],[Customer_ID]],customers__2[#All],3,0)</f>
        <v>East</v>
      </c>
      <c r="J823" t="str">
        <f>VLOOKUP(orders__17[[#This Row],[Customer_ID]],customers__2[#All],4,0)</f>
        <v>Consumer</v>
      </c>
      <c r="K823" t="str">
        <f>VLOOKUP(orders__17[[#This Row],[Product_ID]],products[#All],3,0)</f>
        <v>Technology</v>
      </c>
      <c r="L823" s="1" t="str">
        <f>VLOOKUP(orders__17[[#This Row],[Product_ID]],products[#All],4,0)</f>
        <v>Laptop</v>
      </c>
      <c r="M823" s="1" t="str">
        <f>VLOOKUP(orders__17[[#This Row],[Order_ID]],returns[#All],2,0)</f>
        <v>No</v>
      </c>
    </row>
    <row r="824" spans="1:13" x14ac:dyDescent="0.3">
      <c r="A824" s="1" t="s">
        <v>1128</v>
      </c>
      <c r="B824" s="2">
        <v>45027</v>
      </c>
      <c r="C824" s="1" t="s">
        <v>843</v>
      </c>
      <c r="D824" s="1" t="s">
        <v>97</v>
      </c>
      <c r="E824">
        <v>2</v>
      </c>
      <c r="F824" s="4">
        <v>747.15</v>
      </c>
      <c r="G824" s="3">
        <v>0.3</v>
      </c>
      <c r="H824" s="4">
        <v>82.93</v>
      </c>
      <c r="I824" t="str">
        <f>VLOOKUP(orders__17[[#This Row],[Customer_ID]],customers__2[#All],3,0)</f>
        <v>North</v>
      </c>
      <c r="J824" t="str">
        <f>VLOOKUP(orders__17[[#This Row],[Customer_ID]],customers__2[#All],4,0)</f>
        <v>Consumer</v>
      </c>
      <c r="K824" t="str">
        <f>VLOOKUP(orders__17[[#This Row],[Product_ID]],products[#All],3,0)</f>
        <v>Technology</v>
      </c>
      <c r="L824" s="1" t="str">
        <f>VLOOKUP(orders__17[[#This Row],[Product_ID]],products[#All],4,0)</f>
        <v>Tablet</v>
      </c>
      <c r="M824" s="1" t="str">
        <f>VLOOKUP(orders__17[[#This Row],[Order_ID]],returns[#All],2,0)</f>
        <v>Yes</v>
      </c>
    </row>
    <row r="825" spans="1:13" x14ac:dyDescent="0.3">
      <c r="A825" s="1" t="s">
        <v>1129</v>
      </c>
      <c r="B825" s="2">
        <v>44821</v>
      </c>
      <c r="C825" s="1" t="s">
        <v>21</v>
      </c>
      <c r="D825" s="1" t="s">
        <v>119</v>
      </c>
      <c r="E825">
        <v>3</v>
      </c>
      <c r="F825" s="4">
        <v>236.25</v>
      </c>
      <c r="G825" s="3">
        <v>0</v>
      </c>
      <c r="H825" s="4">
        <v>68.91</v>
      </c>
      <c r="I825" t="str">
        <f>VLOOKUP(orders__17[[#This Row],[Customer_ID]],customers__2[#All],3,0)</f>
        <v>West</v>
      </c>
      <c r="J825" t="str">
        <f>VLOOKUP(orders__17[[#This Row],[Customer_ID]],customers__2[#All],4,0)</f>
        <v>Corporate</v>
      </c>
      <c r="K825" t="str">
        <f>VLOOKUP(orders__17[[#This Row],[Product_ID]],products[#All],3,0)</f>
        <v>Technology</v>
      </c>
      <c r="L825" s="1" t="str">
        <f>VLOOKUP(orders__17[[#This Row],[Product_ID]],products[#All],4,0)</f>
        <v>Tablet</v>
      </c>
      <c r="M825" s="1" t="str">
        <f>VLOOKUP(orders__17[[#This Row],[Order_ID]],returns[#All],2,0)</f>
        <v>No</v>
      </c>
    </row>
    <row r="826" spans="1:13" x14ac:dyDescent="0.3">
      <c r="A826" s="1" t="s">
        <v>1130</v>
      </c>
      <c r="B826" s="2">
        <v>45356</v>
      </c>
      <c r="C826" s="1" t="s">
        <v>88</v>
      </c>
      <c r="D826" s="1" t="s">
        <v>679</v>
      </c>
      <c r="E826">
        <v>1</v>
      </c>
      <c r="F826" s="4">
        <v>878.29</v>
      </c>
      <c r="G826" s="3">
        <v>0.1</v>
      </c>
      <c r="H826" s="4">
        <v>254.3</v>
      </c>
      <c r="I826" t="str">
        <f>VLOOKUP(orders__17[[#This Row],[Customer_ID]],customers__2[#All],3,0)</f>
        <v>West</v>
      </c>
      <c r="J826" t="str">
        <f>VLOOKUP(orders__17[[#This Row],[Customer_ID]],customers__2[#All],4,0)</f>
        <v>Corporate</v>
      </c>
      <c r="K826" t="str">
        <f>VLOOKUP(orders__17[[#This Row],[Product_ID]],products[#All],3,0)</f>
        <v>Office Supplies</v>
      </c>
      <c r="L826" s="1" t="str">
        <f>VLOOKUP(orders__17[[#This Row],[Product_ID]],products[#All],4,0)</f>
        <v>Paper</v>
      </c>
      <c r="M826" s="1" t="str">
        <f>VLOOKUP(orders__17[[#This Row],[Order_ID]],returns[#All],2,0)</f>
        <v>No</v>
      </c>
    </row>
    <row r="827" spans="1:13" x14ac:dyDescent="0.3">
      <c r="A827" s="1" t="s">
        <v>1131</v>
      </c>
      <c r="B827" s="2">
        <v>45239</v>
      </c>
      <c r="C827" s="1" t="s">
        <v>520</v>
      </c>
      <c r="D827" s="1" t="s">
        <v>660</v>
      </c>
      <c r="E827">
        <v>5</v>
      </c>
      <c r="F827" s="4">
        <v>691.31</v>
      </c>
      <c r="G827" s="3">
        <v>0.2</v>
      </c>
      <c r="H827" s="4">
        <v>77.36</v>
      </c>
      <c r="I827" t="str">
        <f>VLOOKUP(orders__17[[#This Row],[Customer_ID]],customers__2[#All],3,0)</f>
        <v>West</v>
      </c>
      <c r="J827" t="str">
        <f>VLOOKUP(orders__17[[#This Row],[Customer_ID]],customers__2[#All],4,0)</f>
        <v>Consumer</v>
      </c>
      <c r="K827" t="str">
        <f>VLOOKUP(orders__17[[#This Row],[Product_ID]],products[#All],3,0)</f>
        <v>Office Supplies</v>
      </c>
      <c r="L827" s="1" t="str">
        <f>VLOOKUP(orders__17[[#This Row],[Product_ID]],products[#All],4,0)</f>
        <v>Storage</v>
      </c>
      <c r="M827" s="1" t="str">
        <f>VLOOKUP(orders__17[[#This Row],[Order_ID]],returns[#All],2,0)</f>
        <v>No</v>
      </c>
    </row>
    <row r="828" spans="1:13" x14ac:dyDescent="0.3">
      <c r="A828" s="1" t="s">
        <v>1132</v>
      </c>
      <c r="B828" s="2">
        <v>44685</v>
      </c>
      <c r="C828" s="1" t="s">
        <v>1061</v>
      </c>
      <c r="D828" s="1" t="s">
        <v>170</v>
      </c>
      <c r="E828">
        <v>2</v>
      </c>
      <c r="F828" s="4">
        <v>1386.53</v>
      </c>
      <c r="G828" s="3">
        <v>0.3</v>
      </c>
      <c r="H828" s="4">
        <v>189.97</v>
      </c>
      <c r="I828" t="str">
        <f>VLOOKUP(orders__17[[#This Row],[Customer_ID]],customers__2[#All],3,0)</f>
        <v>East</v>
      </c>
      <c r="J828" t="str">
        <f>VLOOKUP(orders__17[[#This Row],[Customer_ID]],customers__2[#All],4,0)</f>
        <v>Consumer</v>
      </c>
      <c r="K828" t="str">
        <f>VLOOKUP(orders__17[[#This Row],[Product_ID]],products[#All],3,0)</f>
        <v>Furniture</v>
      </c>
      <c r="L828" s="1" t="str">
        <f>VLOOKUP(orders__17[[#This Row],[Product_ID]],products[#All],4,0)</f>
        <v>Shelf</v>
      </c>
      <c r="M828" s="1" t="str">
        <f>VLOOKUP(orders__17[[#This Row],[Order_ID]],returns[#All],2,0)</f>
        <v>No</v>
      </c>
    </row>
    <row r="829" spans="1:13" x14ac:dyDescent="0.3">
      <c r="A829" s="1" t="s">
        <v>1133</v>
      </c>
      <c r="B829" s="2">
        <v>45352</v>
      </c>
      <c r="C829" s="1" t="s">
        <v>371</v>
      </c>
      <c r="D829" s="1" t="s">
        <v>13</v>
      </c>
      <c r="E829">
        <v>4</v>
      </c>
      <c r="F829" s="4">
        <v>1250.98</v>
      </c>
      <c r="G829" s="3">
        <v>0.1</v>
      </c>
      <c r="H829" s="4">
        <v>342.63</v>
      </c>
      <c r="I829" t="str">
        <f>VLOOKUP(orders__17[[#This Row],[Customer_ID]],customers__2[#All],3,0)</f>
        <v>East</v>
      </c>
      <c r="J829" t="str">
        <f>VLOOKUP(orders__17[[#This Row],[Customer_ID]],customers__2[#All],4,0)</f>
        <v>Corporate</v>
      </c>
      <c r="K829" t="str">
        <f>VLOOKUP(orders__17[[#This Row],[Product_ID]],products[#All],3,0)</f>
        <v>Furniture</v>
      </c>
      <c r="L829" s="1" t="str">
        <f>VLOOKUP(orders__17[[#This Row],[Product_ID]],products[#All],4,0)</f>
        <v>Desk</v>
      </c>
      <c r="M829" s="1" t="str">
        <f>VLOOKUP(orders__17[[#This Row],[Order_ID]],returns[#All],2,0)</f>
        <v>No</v>
      </c>
    </row>
    <row r="830" spans="1:13" x14ac:dyDescent="0.3">
      <c r="A830" s="1" t="s">
        <v>1134</v>
      </c>
      <c r="B830" s="2">
        <v>45235</v>
      </c>
      <c r="C830" s="1" t="s">
        <v>559</v>
      </c>
      <c r="D830" s="1" t="s">
        <v>119</v>
      </c>
      <c r="E830">
        <v>2</v>
      </c>
      <c r="F830" s="4">
        <v>792.73</v>
      </c>
      <c r="G830" s="3">
        <v>0.1</v>
      </c>
      <c r="H830" s="4">
        <v>231.2</v>
      </c>
      <c r="I830" t="str">
        <f>VLOOKUP(orders__17[[#This Row],[Customer_ID]],customers__2[#All],3,0)</f>
        <v>South</v>
      </c>
      <c r="J830" t="str">
        <f>VLOOKUP(orders__17[[#This Row],[Customer_ID]],customers__2[#All],4,0)</f>
        <v>Consumer</v>
      </c>
      <c r="K830" t="str">
        <f>VLOOKUP(orders__17[[#This Row],[Product_ID]],products[#All],3,0)</f>
        <v>Technology</v>
      </c>
      <c r="L830" s="1" t="str">
        <f>VLOOKUP(orders__17[[#This Row],[Product_ID]],products[#All],4,0)</f>
        <v>Tablet</v>
      </c>
      <c r="M830" s="1" t="str">
        <f>VLOOKUP(orders__17[[#This Row],[Order_ID]],returns[#All],2,0)</f>
        <v>No</v>
      </c>
    </row>
    <row r="831" spans="1:13" x14ac:dyDescent="0.3">
      <c r="A831" s="1" t="s">
        <v>1135</v>
      </c>
      <c r="B831" s="2">
        <v>44790</v>
      </c>
      <c r="C831" s="1" t="s">
        <v>220</v>
      </c>
      <c r="D831" s="1" t="s">
        <v>156</v>
      </c>
      <c r="E831">
        <v>1</v>
      </c>
      <c r="F831" s="4">
        <v>514</v>
      </c>
      <c r="G831" s="3">
        <v>0.2</v>
      </c>
      <c r="H831" s="4">
        <v>82.68</v>
      </c>
      <c r="I831" t="str">
        <f>VLOOKUP(orders__17[[#This Row],[Customer_ID]],customers__2[#All],3,0)</f>
        <v>West</v>
      </c>
      <c r="J831" t="str">
        <f>VLOOKUP(orders__17[[#This Row],[Customer_ID]],customers__2[#All],4,0)</f>
        <v>Corporate</v>
      </c>
      <c r="K831" t="str">
        <f>VLOOKUP(orders__17[[#This Row],[Product_ID]],products[#All],3,0)</f>
        <v>Furniture</v>
      </c>
      <c r="L831" s="1" t="str">
        <f>VLOOKUP(orders__17[[#This Row],[Product_ID]],products[#All],4,0)</f>
        <v>Desk</v>
      </c>
      <c r="M831" s="1" t="str">
        <f>VLOOKUP(orders__17[[#This Row],[Order_ID]],returns[#All],2,0)</f>
        <v>No</v>
      </c>
    </row>
    <row r="832" spans="1:13" x14ac:dyDescent="0.3">
      <c r="A832" s="1" t="s">
        <v>1136</v>
      </c>
      <c r="B832" s="2">
        <v>45367</v>
      </c>
      <c r="C832" s="1" t="s">
        <v>505</v>
      </c>
      <c r="D832" s="1" t="s">
        <v>89</v>
      </c>
      <c r="E832">
        <v>4</v>
      </c>
      <c r="F832" s="4">
        <v>1977.27</v>
      </c>
      <c r="G832" s="3">
        <v>0</v>
      </c>
      <c r="H832" s="4">
        <v>257.54000000000002</v>
      </c>
      <c r="I832" t="str">
        <f>VLOOKUP(orders__17[[#This Row],[Customer_ID]],customers__2[#All],3,0)</f>
        <v>North</v>
      </c>
      <c r="J832" t="str">
        <f>VLOOKUP(orders__17[[#This Row],[Customer_ID]],customers__2[#All],4,0)</f>
        <v>Consumer</v>
      </c>
      <c r="K832" t="str">
        <f>VLOOKUP(orders__17[[#This Row],[Product_ID]],products[#All],3,0)</f>
        <v>Technology</v>
      </c>
      <c r="L832" s="1" t="str">
        <f>VLOOKUP(orders__17[[#This Row],[Product_ID]],products[#All],4,0)</f>
        <v>Phone</v>
      </c>
      <c r="M832" s="1" t="str">
        <f>VLOOKUP(orders__17[[#This Row],[Order_ID]],returns[#All],2,0)</f>
        <v>Yes</v>
      </c>
    </row>
    <row r="833" spans="1:13" x14ac:dyDescent="0.3">
      <c r="A833" s="1" t="s">
        <v>1137</v>
      </c>
      <c r="B833" s="2">
        <v>44871</v>
      </c>
      <c r="C833" s="1" t="s">
        <v>220</v>
      </c>
      <c r="D833" s="1" t="s">
        <v>211</v>
      </c>
      <c r="E833">
        <v>3</v>
      </c>
      <c r="F833" s="4">
        <v>962.6</v>
      </c>
      <c r="G833" s="3">
        <v>0.3</v>
      </c>
      <c r="H833" s="4">
        <v>174.73</v>
      </c>
      <c r="I833" t="str">
        <f>VLOOKUP(orders__17[[#This Row],[Customer_ID]],customers__2[#All],3,0)</f>
        <v>West</v>
      </c>
      <c r="J833" t="str">
        <f>VLOOKUP(orders__17[[#This Row],[Customer_ID]],customers__2[#All],4,0)</f>
        <v>Corporate</v>
      </c>
      <c r="K833" t="str">
        <f>VLOOKUP(orders__17[[#This Row],[Product_ID]],products[#All],3,0)</f>
        <v>Office Supplies</v>
      </c>
      <c r="L833" s="1" t="str">
        <f>VLOOKUP(orders__17[[#This Row],[Product_ID]],products[#All],4,0)</f>
        <v>Binder</v>
      </c>
      <c r="M833" s="1" t="str">
        <f>VLOOKUP(orders__17[[#This Row],[Order_ID]],returns[#All],2,0)</f>
        <v>No</v>
      </c>
    </row>
    <row r="834" spans="1:13" x14ac:dyDescent="0.3">
      <c r="A834" s="1" t="s">
        <v>1138</v>
      </c>
      <c r="B834" s="2">
        <v>45251</v>
      </c>
      <c r="C834" s="1" t="s">
        <v>422</v>
      </c>
      <c r="D834" s="1" t="s">
        <v>61</v>
      </c>
      <c r="E834">
        <v>2</v>
      </c>
      <c r="F834" s="4">
        <v>1407.72</v>
      </c>
      <c r="G834" s="3">
        <v>0.3</v>
      </c>
      <c r="H834" s="4">
        <v>312.43</v>
      </c>
      <c r="I834" t="str">
        <f>VLOOKUP(orders__17[[#This Row],[Customer_ID]],customers__2[#All],3,0)</f>
        <v>East</v>
      </c>
      <c r="J834" t="str">
        <f>VLOOKUP(orders__17[[#This Row],[Customer_ID]],customers__2[#All],4,0)</f>
        <v>Home Office</v>
      </c>
      <c r="K834" t="str">
        <f>VLOOKUP(orders__17[[#This Row],[Product_ID]],products[#All],3,0)</f>
        <v>Office Supplies</v>
      </c>
      <c r="L834" s="1" t="str">
        <f>VLOOKUP(orders__17[[#This Row],[Product_ID]],products[#All],4,0)</f>
        <v>Binder</v>
      </c>
      <c r="M834" s="1" t="str">
        <f>VLOOKUP(orders__17[[#This Row],[Order_ID]],returns[#All],2,0)</f>
        <v>No</v>
      </c>
    </row>
    <row r="835" spans="1:13" x14ac:dyDescent="0.3">
      <c r="A835" s="1" t="s">
        <v>1139</v>
      </c>
      <c r="B835" s="2">
        <v>44606</v>
      </c>
      <c r="C835" s="1" t="s">
        <v>1061</v>
      </c>
      <c r="D835" s="1" t="s">
        <v>75</v>
      </c>
      <c r="E835">
        <v>1</v>
      </c>
      <c r="F835" s="4">
        <v>367.05</v>
      </c>
      <c r="G835" s="3">
        <v>0</v>
      </c>
      <c r="H835" s="4">
        <v>43.45</v>
      </c>
      <c r="I835" t="str">
        <f>VLOOKUP(orders__17[[#This Row],[Customer_ID]],customers__2[#All],3,0)</f>
        <v>East</v>
      </c>
      <c r="J835" t="str">
        <f>VLOOKUP(orders__17[[#This Row],[Customer_ID]],customers__2[#All],4,0)</f>
        <v>Consumer</v>
      </c>
      <c r="K835" t="str">
        <f>VLOOKUP(orders__17[[#This Row],[Product_ID]],products[#All],3,0)</f>
        <v>Technology</v>
      </c>
      <c r="L835" s="1" t="str">
        <f>VLOOKUP(orders__17[[#This Row],[Product_ID]],products[#All],4,0)</f>
        <v>Tablet</v>
      </c>
      <c r="M835" s="1" t="str">
        <f>VLOOKUP(orders__17[[#This Row],[Order_ID]],returns[#All],2,0)</f>
        <v>No</v>
      </c>
    </row>
    <row r="836" spans="1:13" x14ac:dyDescent="0.3">
      <c r="A836" s="1" t="s">
        <v>1140</v>
      </c>
      <c r="B836" s="2">
        <v>45015</v>
      </c>
      <c r="C836" s="1" t="s">
        <v>260</v>
      </c>
      <c r="D836" s="1" t="s">
        <v>361</v>
      </c>
      <c r="E836">
        <v>5</v>
      </c>
      <c r="F836" s="4">
        <v>1022.62</v>
      </c>
      <c r="G836" s="3">
        <v>0</v>
      </c>
      <c r="H836" s="4">
        <v>239.41</v>
      </c>
      <c r="I836" t="str">
        <f>VLOOKUP(orders__17[[#This Row],[Customer_ID]],customers__2[#All],3,0)</f>
        <v>East</v>
      </c>
      <c r="J836" t="str">
        <f>VLOOKUP(orders__17[[#This Row],[Customer_ID]],customers__2[#All],4,0)</f>
        <v>Consumer</v>
      </c>
      <c r="K836" t="str">
        <f>VLOOKUP(orders__17[[#This Row],[Product_ID]],products[#All],3,0)</f>
        <v>Furniture</v>
      </c>
      <c r="L836" s="1" t="str">
        <f>VLOOKUP(orders__17[[#This Row],[Product_ID]],products[#All],4,0)</f>
        <v>Shelf</v>
      </c>
      <c r="M836" s="1" t="str">
        <f>VLOOKUP(orders__17[[#This Row],[Order_ID]],returns[#All],2,0)</f>
        <v>No</v>
      </c>
    </row>
    <row r="837" spans="1:13" x14ac:dyDescent="0.3">
      <c r="A837" s="1" t="s">
        <v>1141</v>
      </c>
      <c r="B837" s="2">
        <v>45150</v>
      </c>
      <c r="C837" s="1" t="s">
        <v>723</v>
      </c>
      <c r="D837" s="1" t="s">
        <v>242</v>
      </c>
      <c r="E837">
        <v>4</v>
      </c>
      <c r="F837" s="4">
        <v>152.32</v>
      </c>
      <c r="G837" s="3">
        <v>0</v>
      </c>
      <c r="H837" s="4">
        <v>9.58</v>
      </c>
      <c r="I837" t="str">
        <f>VLOOKUP(orders__17[[#This Row],[Customer_ID]],customers__2[#All],3,0)</f>
        <v>North</v>
      </c>
      <c r="J837" t="str">
        <f>VLOOKUP(orders__17[[#This Row],[Customer_ID]],customers__2[#All],4,0)</f>
        <v>Home Office</v>
      </c>
      <c r="K837" t="str">
        <f>VLOOKUP(orders__17[[#This Row],[Product_ID]],products[#All],3,0)</f>
        <v>Technology</v>
      </c>
      <c r="L837" s="1" t="str">
        <f>VLOOKUP(orders__17[[#This Row],[Product_ID]],products[#All],4,0)</f>
        <v>Phone</v>
      </c>
      <c r="M837" s="1" t="str">
        <f>VLOOKUP(orders__17[[#This Row],[Order_ID]],returns[#All],2,0)</f>
        <v>No</v>
      </c>
    </row>
    <row r="838" spans="1:13" x14ac:dyDescent="0.3">
      <c r="A838" s="1" t="s">
        <v>1142</v>
      </c>
      <c r="B838" s="2">
        <v>44754</v>
      </c>
      <c r="C838" s="1" t="s">
        <v>1143</v>
      </c>
      <c r="D838" s="1" t="s">
        <v>253</v>
      </c>
      <c r="E838">
        <v>2</v>
      </c>
      <c r="F838" s="4">
        <v>1060.3599999999999</v>
      </c>
      <c r="G838" s="3">
        <v>0.2</v>
      </c>
      <c r="H838" s="4">
        <v>66.09</v>
      </c>
      <c r="I838" t="str">
        <f>VLOOKUP(orders__17[[#This Row],[Customer_ID]],customers__2[#All],3,0)</f>
        <v>West</v>
      </c>
      <c r="J838" t="str">
        <f>VLOOKUP(orders__17[[#This Row],[Customer_ID]],customers__2[#All],4,0)</f>
        <v>Corporate</v>
      </c>
      <c r="K838" t="str">
        <f>VLOOKUP(orders__17[[#This Row],[Product_ID]],products[#All],3,0)</f>
        <v>Technology</v>
      </c>
      <c r="L838" s="1" t="str">
        <f>VLOOKUP(orders__17[[#This Row],[Product_ID]],products[#All],4,0)</f>
        <v>Accessories</v>
      </c>
      <c r="M838" s="1" t="str">
        <f>VLOOKUP(orders__17[[#This Row],[Order_ID]],returns[#All],2,0)</f>
        <v>No</v>
      </c>
    </row>
    <row r="839" spans="1:13" x14ac:dyDescent="0.3">
      <c r="A839" s="1" t="s">
        <v>1144</v>
      </c>
      <c r="B839" s="2">
        <v>44917</v>
      </c>
      <c r="C839" s="1" t="s">
        <v>56</v>
      </c>
      <c r="D839" s="1" t="s">
        <v>34</v>
      </c>
      <c r="E839">
        <v>2</v>
      </c>
      <c r="F839" s="4">
        <v>1931.63</v>
      </c>
      <c r="G839" s="3">
        <v>0.2</v>
      </c>
      <c r="H839" s="4">
        <v>283.12</v>
      </c>
      <c r="I839" t="str">
        <f>VLOOKUP(orders__17[[#This Row],[Customer_ID]],customers__2[#All],3,0)</f>
        <v>South</v>
      </c>
      <c r="J839" t="str">
        <f>VLOOKUP(orders__17[[#This Row],[Customer_ID]],customers__2[#All],4,0)</f>
        <v>Consumer</v>
      </c>
      <c r="K839" t="str">
        <f>VLOOKUP(orders__17[[#This Row],[Product_ID]],products[#All],3,0)</f>
        <v>Furniture</v>
      </c>
      <c r="L839" s="1" t="str">
        <f>VLOOKUP(orders__17[[#This Row],[Product_ID]],products[#All],4,0)</f>
        <v>Table</v>
      </c>
      <c r="M839" s="1" t="str">
        <f>VLOOKUP(orders__17[[#This Row],[Order_ID]],returns[#All],2,0)</f>
        <v>No</v>
      </c>
    </row>
    <row r="840" spans="1:13" x14ac:dyDescent="0.3">
      <c r="A840" s="1" t="s">
        <v>1145</v>
      </c>
      <c r="B840" s="2">
        <v>44963</v>
      </c>
      <c r="C840" s="1" t="s">
        <v>344</v>
      </c>
      <c r="D840" s="1" t="s">
        <v>397</v>
      </c>
      <c r="E840">
        <v>3</v>
      </c>
      <c r="F840" s="4">
        <v>829.99</v>
      </c>
      <c r="G840" s="3">
        <v>0.3</v>
      </c>
      <c r="H840" s="4">
        <v>114.84</v>
      </c>
      <c r="I840" t="str">
        <f>VLOOKUP(orders__17[[#This Row],[Customer_ID]],customers__2[#All],3,0)</f>
        <v>North</v>
      </c>
      <c r="J840" t="str">
        <f>VLOOKUP(orders__17[[#This Row],[Customer_ID]],customers__2[#All],4,0)</f>
        <v>Home Office</v>
      </c>
      <c r="K840" t="str">
        <f>VLOOKUP(orders__17[[#This Row],[Product_ID]],products[#All],3,0)</f>
        <v>Office Supplies</v>
      </c>
      <c r="L840" s="1" t="str">
        <f>VLOOKUP(orders__17[[#This Row],[Product_ID]],products[#All],4,0)</f>
        <v>Pen</v>
      </c>
      <c r="M840" s="1" t="str">
        <f>VLOOKUP(orders__17[[#This Row],[Order_ID]],returns[#All],2,0)</f>
        <v>No</v>
      </c>
    </row>
    <row r="841" spans="1:13" x14ac:dyDescent="0.3">
      <c r="A841" s="1" t="s">
        <v>1146</v>
      </c>
      <c r="B841" s="2">
        <v>44928</v>
      </c>
      <c r="C841" s="1" t="s">
        <v>167</v>
      </c>
      <c r="D841" s="1" t="s">
        <v>455</v>
      </c>
      <c r="E841">
        <v>3</v>
      </c>
      <c r="F841" s="4">
        <v>174.09</v>
      </c>
      <c r="G841" s="3">
        <v>0.2</v>
      </c>
      <c r="H841" s="4">
        <v>22.44</v>
      </c>
      <c r="I841" t="str">
        <f>VLOOKUP(orders__17[[#This Row],[Customer_ID]],customers__2[#All],3,0)</f>
        <v>East</v>
      </c>
      <c r="J841" t="str">
        <f>VLOOKUP(orders__17[[#This Row],[Customer_ID]],customers__2[#All],4,0)</f>
        <v>Corporate</v>
      </c>
      <c r="K841" t="str">
        <f>VLOOKUP(orders__17[[#This Row],[Product_ID]],products[#All],3,0)</f>
        <v>Furniture</v>
      </c>
      <c r="L841" s="1" t="str">
        <f>VLOOKUP(orders__17[[#This Row],[Product_ID]],products[#All],4,0)</f>
        <v>Shelf</v>
      </c>
      <c r="M841" s="1" t="str">
        <f>VLOOKUP(orders__17[[#This Row],[Order_ID]],returns[#All],2,0)</f>
        <v>Yes</v>
      </c>
    </row>
    <row r="842" spans="1:13" x14ac:dyDescent="0.3">
      <c r="A842" s="1" t="s">
        <v>1147</v>
      </c>
      <c r="B842" s="2">
        <v>45122</v>
      </c>
      <c r="C842" s="1" t="s">
        <v>637</v>
      </c>
      <c r="D842" s="1" t="s">
        <v>141</v>
      </c>
      <c r="E842">
        <v>5</v>
      </c>
      <c r="F842" s="4">
        <v>158.82</v>
      </c>
      <c r="G842" s="3">
        <v>0.1</v>
      </c>
      <c r="H842" s="4">
        <v>27.44</v>
      </c>
      <c r="I842" t="str">
        <f>VLOOKUP(orders__17[[#This Row],[Customer_ID]],customers__2[#All],3,0)</f>
        <v>North</v>
      </c>
      <c r="J842" t="str">
        <f>VLOOKUP(orders__17[[#This Row],[Customer_ID]],customers__2[#All],4,0)</f>
        <v>Corporate</v>
      </c>
      <c r="K842" t="str">
        <f>VLOOKUP(orders__17[[#This Row],[Product_ID]],products[#All],3,0)</f>
        <v>Technology</v>
      </c>
      <c r="L842" s="1" t="str">
        <f>VLOOKUP(orders__17[[#This Row],[Product_ID]],products[#All],4,0)</f>
        <v>Phone</v>
      </c>
      <c r="M842" s="1" t="str">
        <f>VLOOKUP(orders__17[[#This Row],[Order_ID]],returns[#All],2,0)</f>
        <v>Yes</v>
      </c>
    </row>
    <row r="843" spans="1:13" x14ac:dyDescent="0.3">
      <c r="A843" s="1" t="s">
        <v>1148</v>
      </c>
      <c r="B843" s="2">
        <v>45388</v>
      </c>
      <c r="C843" s="1" t="s">
        <v>225</v>
      </c>
      <c r="D843" s="1" t="s">
        <v>122</v>
      </c>
      <c r="E843">
        <v>5</v>
      </c>
      <c r="F843" s="4">
        <v>837.17</v>
      </c>
      <c r="G843" s="3">
        <v>0.3</v>
      </c>
      <c r="H843" s="4">
        <v>108.99</v>
      </c>
      <c r="I843" t="str">
        <f>VLOOKUP(orders__17[[#This Row],[Customer_ID]],customers__2[#All],3,0)</f>
        <v>North</v>
      </c>
      <c r="J843" t="str">
        <f>VLOOKUP(orders__17[[#This Row],[Customer_ID]],customers__2[#All],4,0)</f>
        <v>Consumer</v>
      </c>
      <c r="K843" t="str">
        <f>VLOOKUP(orders__17[[#This Row],[Product_ID]],products[#All],3,0)</f>
        <v>Office Supplies</v>
      </c>
      <c r="L843" s="1" t="str">
        <f>VLOOKUP(orders__17[[#This Row],[Product_ID]],products[#All],4,0)</f>
        <v>Storage</v>
      </c>
      <c r="M843" s="1" t="str">
        <f>VLOOKUP(orders__17[[#This Row],[Order_ID]],returns[#All],2,0)</f>
        <v>No</v>
      </c>
    </row>
    <row r="844" spans="1:13" x14ac:dyDescent="0.3">
      <c r="A844" s="1" t="s">
        <v>1149</v>
      </c>
      <c r="B844" s="2">
        <v>44813</v>
      </c>
      <c r="C844" s="1" t="s">
        <v>1143</v>
      </c>
      <c r="D844" s="1" t="s">
        <v>378</v>
      </c>
      <c r="E844">
        <v>1</v>
      </c>
      <c r="F844" s="4">
        <v>404.05</v>
      </c>
      <c r="G844" s="3">
        <v>0.2</v>
      </c>
      <c r="H844" s="4">
        <v>39.619999999999997</v>
      </c>
      <c r="I844" t="str">
        <f>VLOOKUP(orders__17[[#This Row],[Customer_ID]],customers__2[#All],3,0)</f>
        <v>West</v>
      </c>
      <c r="J844" t="str">
        <f>VLOOKUP(orders__17[[#This Row],[Customer_ID]],customers__2[#All],4,0)</f>
        <v>Corporate</v>
      </c>
      <c r="K844" t="str">
        <f>VLOOKUP(orders__17[[#This Row],[Product_ID]],products[#All],3,0)</f>
        <v>Office Supplies</v>
      </c>
      <c r="L844" s="1" t="str">
        <f>VLOOKUP(orders__17[[#This Row],[Product_ID]],products[#All],4,0)</f>
        <v>Paper</v>
      </c>
      <c r="M844" s="1" t="str">
        <f>VLOOKUP(orders__17[[#This Row],[Order_ID]],returns[#All],2,0)</f>
        <v>Yes</v>
      </c>
    </row>
    <row r="845" spans="1:13" x14ac:dyDescent="0.3">
      <c r="A845" s="1" t="s">
        <v>1150</v>
      </c>
      <c r="B845" s="2">
        <v>45409</v>
      </c>
      <c r="C845" s="1" t="s">
        <v>834</v>
      </c>
      <c r="D845" s="1" t="s">
        <v>296</v>
      </c>
      <c r="E845">
        <v>1</v>
      </c>
      <c r="F845" s="4">
        <v>144.37</v>
      </c>
      <c r="G845" s="3">
        <v>0</v>
      </c>
      <c r="H845" s="4">
        <v>18.39</v>
      </c>
      <c r="I845" t="str">
        <f>VLOOKUP(orders__17[[#This Row],[Customer_ID]],customers__2[#All],3,0)</f>
        <v>South</v>
      </c>
      <c r="J845" t="str">
        <f>VLOOKUP(orders__17[[#This Row],[Customer_ID]],customers__2[#All],4,0)</f>
        <v>Consumer</v>
      </c>
      <c r="K845" t="str">
        <f>VLOOKUP(orders__17[[#This Row],[Product_ID]],products[#All],3,0)</f>
        <v>Technology</v>
      </c>
      <c r="L845" s="1" t="str">
        <f>VLOOKUP(orders__17[[#This Row],[Product_ID]],products[#All],4,0)</f>
        <v>Accessories</v>
      </c>
      <c r="M845" s="1" t="str">
        <f>VLOOKUP(orders__17[[#This Row],[Order_ID]],returns[#All],2,0)</f>
        <v>No</v>
      </c>
    </row>
    <row r="846" spans="1:13" x14ac:dyDescent="0.3">
      <c r="A846" s="1" t="s">
        <v>1151</v>
      </c>
      <c r="B846" s="2">
        <v>45204</v>
      </c>
      <c r="C846" s="1" t="s">
        <v>662</v>
      </c>
      <c r="D846" s="1" t="s">
        <v>242</v>
      </c>
      <c r="E846">
        <v>5</v>
      </c>
      <c r="F846" s="4">
        <v>1536.81</v>
      </c>
      <c r="G846" s="3">
        <v>0.1</v>
      </c>
      <c r="H846" s="4">
        <v>451.4</v>
      </c>
      <c r="I846" t="str">
        <f>VLOOKUP(orders__17[[#This Row],[Customer_ID]],customers__2[#All],3,0)</f>
        <v>North</v>
      </c>
      <c r="J846" t="str">
        <f>VLOOKUP(orders__17[[#This Row],[Customer_ID]],customers__2[#All],4,0)</f>
        <v>Corporate</v>
      </c>
      <c r="K846" t="str">
        <f>VLOOKUP(orders__17[[#This Row],[Product_ID]],products[#All],3,0)</f>
        <v>Technology</v>
      </c>
      <c r="L846" s="1" t="str">
        <f>VLOOKUP(orders__17[[#This Row],[Product_ID]],products[#All],4,0)</f>
        <v>Phone</v>
      </c>
      <c r="M846" s="1" t="str">
        <f>VLOOKUP(orders__17[[#This Row],[Order_ID]],returns[#All],2,0)</f>
        <v>No</v>
      </c>
    </row>
    <row r="847" spans="1:13" x14ac:dyDescent="0.3">
      <c r="A847" s="1" t="s">
        <v>1152</v>
      </c>
      <c r="B847" s="2">
        <v>45149</v>
      </c>
      <c r="C847" s="1" t="s">
        <v>588</v>
      </c>
      <c r="D847" s="1" t="s">
        <v>170</v>
      </c>
      <c r="E847">
        <v>5</v>
      </c>
      <c r="F847" s="4">
        <v>971.19</v>
      </c>
      <c r="G847" s="3">
        <v>0</v>
      </c>
      <c r="H847" s="4">
        <v>148.38</v>
      </c>
      <c r="I847" t="str">
        <f>VLOOKUP(orders__17[[#This Row],[Customer_ID]],customers__2[#All],3,0)</f>
        <v>South</v>
      </c>
      <c r="J847" t="str">
        <f>VLOOKUP(orders__17[[#This Row],[Customer_ID]],customers__2[#All],4,0)</f>
        <v>Home Office</v>
      </c>
      <c r="K847" t="str">
        <f>VLOOKUP(orders__17[[#This Row],[Product_ID]],products[#All],3,0)</f>
        <v>Furniture</v>
      </c>
      <c r="L847" s="1" t="str">
        <f>VLOOKUP(orders__17[[#This Row],[Product_ID]],products[#All],4,0)</f>
        <v>Shelf</v>
      </c>
      <c r="M847" s="1" t="str">
        <f>VLOOKUP(orders__17[[#This Row],[Order_ID]],returns[#All],2,0)</f>
        <v>No</v>
      </c>
    </row>
    <row r="848" spans="1:13" x14ac:dyDescent="0.3">
      <c r="A848" s="1" t="s">
        <v>1153</v>
      </c>
      <c r="B848" s="2">
        <v>44663</v>
      </c>
      <c r="C848" s="1" t="s">
        <v>174</v>
      </c>
      <c r="D848" s="1" t="s">
        <v>249</v>
      </c>
      <c r="E848">
        <v>4</v>
      </c>
      <c r="F848" s="4">
        <v>649.57000000000005</v>
      </c>
      <c r="G848" s="3">
        <v>0.3</v>
      </c>
      <c r="H848" s="4">
        <v>104.7</v>
      </c>
      <c r="I848" t="str">
        <f>VLOOKUP(orders__17[[#This Row],[Customer_ID]],customers__2[#All],3,0)</f>
        <v>East</v>
      </c>
      <c r="J848" t="str">
        <f>VLOOKUP(orders__17[[#This Row],[Customer_ID]],customers__2[#All],4,0)</f>
        <v>Consumer</v>
      </c>
      <c r="K848" t="str">
        <f>VLOOKUP(orders__17[[#This Row],[Product_ID]],products[#All],3,0)</f>
        <v>Office Supplies</v>
      </c>
      <c r="L848" s="1" t="str">
        <f>VLOOKUP(orders__17[[#This Row],[Product_ID]],products[#All],4,0)</f>
        <v>Paper</v>
      </c>
      <c r="M848" s="1" t="str">
        <f>VLOOKUP(orders__17[[#This Row],[Order_ID]],returns[#All],2,0)</f>
        <v>No</v>
      </c>
    </row>
    <row r="849" spans="1:13" x14ac:dyDescent="0.3">
      <c r="A849" s="1" t="s">
        <v>1154</v>
      </c>
      <c r="B849" s="2">
        <v>45132</v>
      </c>
      <c r="C849" s="1" t="s">
        <v>80</v>
      </c>
      <c r="D849" s="1" t="s">
        <v>119</v>
      </c>
      <c r="E849">
        <v>3</v>
      </c>
      <c r="F849" s="4">
        <v>1810.16</v>
      </c>
      <c r="G849" s="3">
        <v>0</v>
      </c>
      <c r="H849" s="4">
        <v>351.42</v>
      </c>
      <c r="I849" t="str">
        <f>VLOOKUP(orders__17[[#This Row],[Customer_ID]],customers__2[#All],3,0)</f>
        <v>East</v>
      </c>
      <c r="J849" t="str">
        <f>VLOOKUP(orders__17[[#This Row],[Customer_ID]],customers__2[#All],4,0)</f>
        <v>Home Office</v>
      </c>
      <c r="K849" t="str">
        <f>VLOOKUP(orders__17[[#This Row],[Product_ID]],products[#All],3,0)</f>
        <v>Technology</v>
      </c>
      <c r="L849" s="1" t="str">
        <f>VLOOKUP(orders__17[[#This Row],[Product_ID]],products[#All],4,0)</f>
        <v>Tablet</v>
      </c>
      <c r="M849" s="1" t="str">
        <f>VLOOKUP(orders__17[[#This Row],[Order_ID]],returns[#All],2,0)</f>
        <v>No</v>
      </c>
    </row>
    <row r="850" spans="1:13" x14ac:dyDescent="0.3">
      <c r="A850" s="1" t="s">
        <v>1155</v>
      </c>
      <c r="B850" s="2">
        <v>44692</v>
      </c>
      <c r="C850" s="1" t="s">
        <v>77</v>
      </c>
      <c r="D850" s="1" t="s">
        <v>54</v>
      </c>
      <c r="E850">
        <v>1</v>
      </c>
      <c r="F850" s="4">
        <v>320.66000000000003</v>
      </c>
      <c r="G850" s="3">
        <v>0.2</v>
      </c>
      <c r="H850" s="4">
        <v>94.86</v>
      </c>
      <c r="I850" t="str">
        <f>VLOOKUP(orders__17[[#This Row],[Customer_ID]],customers__2[#All],3,0)</f>
        <v>West</v>
      </c>
      <c r="J850" t="str">
        <f>VLOOKUP(orders__17[[#This Row],[Customer_ID]],customers__2[#All],4,0)</f>
        <v>Consumer</v>
      </c>
      <c r="K850" t="str">
        <f>VLOOKUP(orders__17[[#This Row],[Product_ID]],products[#All],3,0)</f>
        <v>Office Supplies</v>
      </c>
      <c r="L850" s="1" t="str">
        <f>VLOOKUP(orders__17[[#This Row],[Product_ID]],products[#All],4,0)</f>
        <v>Binder</v>
      </c>
      <c r="M850" s="1" t="str">
        <f>VLOOKUP(orders__17[[#This Row],[Order_ID]],returns[#All],2,0)</f>
        <v>Yes</v>
      </c>
    </row>
    <row r="851" spans="1:13" x14ac:dyDescent="0.3">
      <c r="A851" s="1" t="s">
        <v>1156</v>
      </c>
      <c r="B851" s="2">
        <v>45225</v>
      </c>
      <c r="C851" s="1" t="s">
        <v>468</v>
      </c>
      <c r="D851" s="1" t="s">
        <v>397</v>
      </c>
      <c r="E851">
        <v>3</v>
      </c>
      <c r="F851" s="4">
        <v>1916.25</v>
      </c>
      <c r="G851" s="3">
        <v>0.2</v>
      </c>
      <c r="H851" s="4">
        <v>211.55</v>
      </c>
      <c r="I851" t="str">
        <f>VLOOKUP(orders__17[[#This Row],[Customer_ID]],customers__2[#All],3,0)</f>
        <v>South</v>
      </c>
      <c r="J851" t="str">
        <f>VLOOKUP(orders__17[[#This Row],[Customer_ID]],customers__2[#All],4,0)</f>
        <v>Consumer</v>
      </c>
      <c r="K851" t="str">
        <f>VLOOKUP(orders__17[[#This Row],[Product_ID]],products[#All],3,0)</f>
        <v>Office Supplies</v>
      </c>
      <c r="L851" s="1" t="str">
        <f>VLOOKUP(orders__17[[#This Row],[Product_ID]],products[#All],4,0)</f>
        <v>Pen</v>
      </c>
      <c r="M851" s="1" t="str">
        <f>VLOOKUP(orders__17[[#This Row],[Order_ID]],returns[#All],2,0)</f>
        <v>No</v>
      </c>
    </row>
    <row r="852" spans="1:13" x14ac:dyDescent="0.3">
      <c r="A852" s="1" t="s">
        <v>1157</v>
      </c>
      <c r="B852" s="2">
        <v>44576</v>
      </c>
      <c r="C852" s="1" t="s">
        <v>576</v>
      </c>
      <c r="D852" s="1" t="s">
        <v>180</v>
      </c>
      <c r="E852">
        <v>3</v>
      </c>
      <c r="F852" s="4">
        <v>696.54</v>
      </c>
      <c r="G852" s="3">
        <v>0.3</v>
      </c>
      <c r="H852" s="4">
        <v>153.46</v>
      </c>
      <c r="I852" t="str">
        <f>VLOOKUP(orders__17[[#This Row],[Customer_ID]],customers__2[#All],3,0)</f>
        <v>West</v>
      </c>
      <c r="J852" t="str">
        <f>VLOOKUP(orders__17[[#This Row],[Customer_ID]],customers__2[#All],4,0)</f>
        <v>Corporate</v>
      </c>
      <c r="K852" t="str">
        <f>VLOOKUP(orders__17[[#This Row],[Product_ID]],products[#All],3,0)</f>
        <v>Furniture</v>
      </c>
      <c r="L852" s="1" t="str">
        <f>VLOOKUP(orders__17[[#This Row],[Product_ID]],products[#All],4,0)</f>
        <v>Chair</v>
      </c>
      <c r="M852" s="1" t="str">
        <f>VLOOKUP(orders__17[[#This Row],[Order_ID]],returns[#All],2,0)</f>
        <v>No</v>
      </c>
    </row>
    <row r="853" spans="1:13" x14ac:dyDescent="0.3">
      <c r="A853" s="1" t="s">
        <v>1158</v>
      </c>
      <c r="B853" s="2">
        <v>44948</v>
      </c>
      <c r="C853" s="1" t="s">
        <v>709</v>
      </c>
      <c r="D853" s="1" t="s">
        <v>25</v>
      </c>
      <c r="E853">
        <v>5</v>
      </c>
      <c r="F853" s="4">
        <v>1787.97</v>
      </c>
      <c r="G853" s="3">
        <v>0</v>
      </c>
      <c r="H853" s="4">
        <v>409.44</v>
      </c>
      <c r="I853" t="str">
        <f>VLOOKUP(orders__17[[#This Row],[Customer_ID]],customers__2[#All],3,0)</f>
        <v>East</v>
      </c>
      <c r="J853" t="str">
        <f>VLOOKUP(orders__17[[#This Row],[Customer_ID]],customers__2[#All],4,0)</f>
        <v>Home Office</v>
      </c>
      <c r="K853" t="str">
        <f>VLOOKUP(orders__17[[#This Row],[Product_ID]],products[#All],3,0)</f>
        <v>Office Supplies</v>
      </c>
      <c r="L853" s="1" t="str">
        <f>VLOOKUP(orders__17[[#This Row],[Product_ID]],products[#All],4,0)</f>
        <v>Paper</v>
      </c>
      <c r="M853" s="1" t="str">
        <f>VLOOKUP(orders__17[[#This Row],[Order_ID]],returns[#All],2,0)</f>
        <v>No</v>
      </c>
    </row>
    <row r="854" spans="1:13" x14ac:dyDescent="0.3">
      <c r="A854" s="1" t="s">
        <v>1159</v>
      </c>
      <c r="B854" s="2">
        <v>44643</v>
      </c>
      <c r="C854" s="1" t="s">
        <v>542</v>
      </c>
      <c r="D854" s="1" t="s">
        <v>603</v>
      </c>
      <c r="E854">
        <v>4</v>
      </c>
      <c r="F854" s="4">
        <v>1245.5899999999999</v>
      </c>
      <c r="G854" s="3">
        <v>0.3</v>
      </c>
      <c r="H854" s="4">
        <v>251.4</v>
      </c>
      <c r="I854" t="str">
        <f>VLOOKUP(orders__17[[#This Row],[Customer_ID]],customers__2[#All],3,0)</f>
        <v>West</v>
      </c>
      <c r="J854" t="str">
        <f>VLOOKUP(orders__17[[#This Row],[Customer_ID]],customers__2[#All],4,0)</f>
        <v>Home Office</v>
      </c>
      <c r="K854" t="str">
        <f>VLOOKUP(orders__17[[#This Row],[Product_ID]],products[#All],3,0)</f>
        <v>Technology</v>
      </c>
      <c r="L854" s="1" t="str">
        <f>VLOOKUP(orders__17[[#This Row],[Product_ID]],products[#All],4,0)</f>
        <v>Accessories</v>
      </c>
      <c r="M854" s="1" t="str">
        <f>VLOOKUP(orders__17[[#This Row],[Order_ID]],returns[#All],2,0)</f>
        <v>No</v>
      </c>
    </row>
    <row r="855" spans="1:13" x14ac:dyDescent="0.3">
      <c r="A855" s="1" t="s">
        <v>1160</v>
      </c>
      <c r="B855" s="2">
        <v>44801</v>
      </c>
      <c r="C855" s="1" t="s">
        <v>673</v>
      </c>
      <c r="D855" s="1" t="s">
        <v>301</v>
      </c>
      <c r="E855">
        <v>2</v>
      </c>
      <c r="F855" s="4">
        <v>1670.74</v>
      </c>
      <c r="G855" s="3">
        <v>0</v>
      </c>
      <c r="H855" s="4">
        <v>120.53</v>
      </c>
      <c r="I855" t="str">
        <f>VLOOKUP(orders__17[[#This Row],[Customer_ID]],customers__2[#All],3,0)</f>
        <v>West</v>
      </c>
      <c r="J855" t="str">
        <f>VLOOKUP(orders__17[[#This Row],[Customer_ID]],customers__2[#All],4,0)</f>
        <v>Consumer</v>
      </c>
      <c r="K855" t="str">
        <f>VLOOKUP(orders__17[[#This Row],[Product_ID]],products[#All],3,0)</f>
        <v>Furniture</v>
      </c>
      <c r="L855" s="1" t="str">
        <f>VLOOKUP(orders__17[[#This Row],[Product_ID]],products[#All],4,0)</f>
        <v>Table</v>
      </c>
      <c r="M855" s="1" t="str">
        <f>VLOOKUP(orders__17[[#This Row],[Order_ID]],returns[#All],2,0)</f>
        <v>No</v>
      </c>
    </row>
    <row r="856" spans="1:13" x14ac:dyDescent="0.3">
      <c r="A856" s="1" t="s">
        <v>1161</v>
      </c>
      <c r="B856" s="2">
        <v>45451</v>
      </c>
      <c r="C856" s="1" t="s">
        <v>12</v>
      </c>
      <c r="D856" s="1" t="s">
        <v>161</v>
      </c>
      <c r="E856">
        <v>4</v>
      </c>
      <c r="F856" s="4">
        <v>1969.63</v>
      </c>
      <c r="G856" s="3">
        <v>0.1</v>
      </c>
      <c r="H856" s="4">
        <v>431.78</v>
      </c>
      <c r="I856" t="str">
        <f>VLOOKUP(orders__17[[#This Row],[Customer_ID]],customers__2[#All],3,0)</f>
        <v>West</v>
      </c>
      <c r="J856" t="str">
        <f>VLOOKUP(orders__17[[#This Row],[Customer_ID]],customers__2[#All],4,0)</f>
        <v>Home Office</v>
      </c>
      <c r="K856" t="str">
        <f>VLOOKUP(orders__17[[#This Row],[Product_ID]],products[#All],3,0)</f>
        <v>Office Supplies</v>
      </c>
      <c r="L856" s="1" t="str">
        <f>VLOOKUP(orders__17[[#This Row],[Product_ID]],products[#All],4,0)</f>
        <v>Binder</v>
      </c>
      <c r="M856" s="1" t="str">
        <f>VLOOKUP(orders__17[[#This Row],[Order_ID]],returns[#All],2,0)</f>
        <v>Yes</v>
      </c>
    </row>
    <row r="857" spans="1:13" x14ac:dyDescent="0.3">
      <c r="A857" s="1" t="s">
        <v>1162</v>
      </c>
      <c r="B857" s="2">
        <v>44643</v>
      </c>
      <c r="C857" s="1" t="s">
        <v>834</v>
      </c>
      <c r="D857" s="1" t="s">
        <v>143</v>
      </c>
      <c r="E857">
        <v>4</v>
      </c>
      <c r="F857" s="4">
        <v>647.97</v>
      </c>
      <c r="G857" s="3">
        <v>0.2</v>
      </c>
      <c r="H857" s="4">
        <v>42.78</v>
      </c>
      <c r="I857" t="str">
        <f>VLOOKUP(orders__17[[#This Row],[Customer_ID]],customers__2[#All],3,0)</f>
        <v>South</v>
      </c>
      <c r="J857" t="str">
        <f>VLOOKUP(orders__17[[#This Row],[Customer_ID]],customers__2[#All],4,0)</f>
        <v>Consumer</v>
      </c>
      <c r="K857" t="str">
        <f>VLOOKUP(orders__17[[#This Row],[Product_ID]],products[#All],3,0)</f>
        <v>Furniture</v>
      </c>
      <c r="L857" s="1" t="str">
        <f>VLOOKUP(orders__17[[#This Row],[Product_ID]],products[#All],4,0)</f>
        <v>Shelf</v>
      </c>
      <c r="M857" s="1" t="str">
        <f>VLOOKUP(orders__17[[#This Row],[Order_ID]],returns[#All],2,0)</f>
        <v>No</v>
      </c>
    </row>
    <row r="858" spans="1:13" x14ac:dyDescent="0.3">
      <c r="A858" s="1" t="s">
        <v>1163</v>
      </c>
      <c r="B858" s="2">
        <v>44645</v>
      </c>
      <c r="C858" s="1" t="s">
        <v>843</v>
      </c>
      <c r="D858" s="1" t="s">
        <v>16</v>
      </c>
      <c r="E858">
        <v>3</v>
      </c>
      <c r="F858" s="4">
        <v>1926.16</v>
      </c>
      <c r="G858" s="3">
        <v>0.3</v>
      </c>
      <c r="H858" s="4">
        <v>383.37</v>
      </c>
      <c r="I858" t="str">
        <f>VLOOKUP(orders__17[[#This Row],[Customer_ID]],customers__2[#All],3,0)</f>
        <v>North</v>
      </c>
      <c r="J858" t="str">
        <f>VLOOKUP(orders__17[[#This Row],[Customer_ID]],customers__2[#All],4,0)</f>
        <v>Consumer</v>
      </c>
      <c r="K858" t="str">
        <f>VLOOKUP(orders__17[[#This Row],[Product_ID]],products[#All],3,0)</f>
        <v>Technology</v>
      </c>
      <c r="L858" s="1" t="str">
        <f>VLOOKUP(orders__17[[#This Row],[Product_ID]],products[#All],4,0)</f>
        <v>Laptop</v>
      </c>
      <c r="M858" s="1" t="str">
        <f>VLOOKUP(orders__17[[#This Row],[Order_ID]],returns[#All],2,0)</f>
        <v>Yes</v>
      </c>
    </row>
    <row r="859" spans="1:13" x14ac:dyDescent="0.3">
      <c r="A859" s="1" t="s">
        <v>1164</v>
      </c>
      <c r="B859" s="2">
        <v>44617</v>
      </c>
      <c r="C859" s="1" t="s">
        <v>739</v>
      </c>
      <c r="D859" s="1" t="s">
        <v>211</v>
      </c>
      <c r="E859">
        <v>4</v>
      </c>
      <c r="F859" s="4">
        <v>840.02</v>
      </c>
      <c r="G859" s="3">
        <v>0.1</v>
      </c>
      <c r="H859" s="4">
        <v>197.32</v>
      </c>
      <c r="I859" t="str">
        <f>VLOOKUP(orders__17[[#This Row],[Customer_ID]],customers__2[#All],3,0)</f>
        <v>North</v>
      </c>
      <c r="J859" t="str">
        <f>VLOOKUP(orders__17[[#This Row],[Customer_ID]],customers__2[#All],4,0)</f>
        <v>Consumer</v>
      </c>
      <c r="K859" t="str">
        <f>VLOOKUP(orders__17[[#This Row],[Product_ID]],products[#All],3,0)</f>
        <v>Office Supplies</v>
      </c>
      <c r="L859" s="1" t="str">
        <f>VLOOKUP(orders__17[[#This Row],[Product_ID]],products[#All],4,0)</f>
        <v>Binder</v>
      </c>
      <c r="M859" s="1" t="str">
        <f>VLOOKUP(orders__17[[#This Row],[Order_ID]],returns[#All],2,0)</f>
        <v>No</v>
      </c>
    </row>
    <row r="860" spans="1:13" x14ac:dyDescent="0.3">
      <c r="A860" s="1" t="s">
        <v>1165</v>
      </c>
      <c r="B860" s="2">
        <v>44765</v>
      </c>
      <c r="C860" s="1" t="s">
        <v>246</v>
      </c>
      <c r="D860" s="1" t="s">
        <v>218</v>
      </c>
      <c r="E860">
        <v>1</v>
      </c>
      <c r="F860" s="4">
        <v>832.47</v>
      </c>
      <c r="G860" s="3">
        <v>0.1</v>
      </c>
      <c r="H860" s="4">
        <v>85.53</v>
      </c>
      <c r="I860" t="str">
        <f>VLOOKUP(orders__17[[#This Row],[Customer_ID]],customers__2[#All],3,0)</f>
        <v>West</v>
      </c>
      <c r="J860" t="str">
        <f>VLOOKUP(orders__17[[#This Row],[Customer_ID]],customers__2[#All],4,0)</f>
        <v>Home Office</v>
      </c>
      <c r="K860" t="str">
        <f>VLOOKUP(orders__17[[#This Row],[Product_ID]],products[#All],3,0)</f>
        <v>Office Supplies</v>
      </c>
      <c r="L860" s="1" t="str">
        <f>VLOOKUP(orders__17[[#This Row],[Product_ID]],products[#All],4,0)</f>
        <v>Storage</v>
      </c>
      <c r="M860" s="1" t="str">
        <f>VLOOKUP(orders__17[[#This Row],[Order_ID]],returns[#All],2,0)</f>
        <v>No</v>
      </c>
    </row>
    <row r="861" spans="1:13" x14ac:dyDescent="0.3">
      <c r="A861" s="1" t="s">
        <v>1166</v>
      </c>
      <c r="B861" s="2">
        <v>44726</v>
      </c>
      <c r="C861" s="1" t="s">
        <v>464</v>
      </c>
      <c r="D861" s="1" t="s">
        <v>378</v>
      </c>
      <c r="E861">
        <v>3</v>
      </c>
      <c r="F861" s="4">
        <v>746.74</v>
      </c>
      <c r="G861" s="3">
        <v>0.3</v>
      </c>
      <c r="H861" s="4">
        <v>194.46</v>
      </c>
      <c r="I861" t="str">
        <f>VLOOKUP(orders__17[[#This Row],[Customer_ID]],customers__2[#All],3,0)</f>
        <v>West</v>
      </c>
      <c r="J861" t="str">
        <f>VLOOKUP(orders__17[[#This Row],[Customer_ID]],customers__2[#All],4,0)</f>
        <v>Corporate</v>
      </c>
      <c r="K861" t="str">
        <f>VLOOKUP(orders__17[[#This Row],[Product_ID]],products[#All],3,0)</f>
        <v>Office Supplies</v>
      </c>
      <c r="L861" s="1" t="str">
        <f>VLOOKUP(orders__17[[#This Row],[Product_ID]],products[#All],4,0)</f>
        <v>Paper</v>
      </c>
      <c r="M861" s="1" t="str">
        <f>VLOOKUP(orders__17[[#This Row],[Order_ID]],returns[#All],2,0)</f>
        <v>No</v>
      </c>
    </row>
    <row r="862" spans="1:13" x14ac:dyDescent="0.3">
      <c r="A862" s="1" t="s">
        <v>1167</v>
      </c>
      <c r="B862" s="2">
        <v>44903</v>
      </c>
      <c r="C862" s="1" t="s">
        <v>30</v>
      </c>
      <c r="D862" s="1" t="s">
        <v>323</v>
      </c>
      <c r="E862">
        <v>1</v>
      </c>
      <c r="F862" s="4">
        <v>1128.67</v>
      </c>
      <c r="G862" s="3">
        <v>0.3</v>
      </c>
      <c r="H862" s="4">
        <v>65</v>
      </c>
      <c r="I862" t="str">
        <f>VLOOKUP(orders__17[[#This Row],[Customer_ID]],customers__2[#All],3,0)</f>
        <v>South</v>
      </c>
      <c r="J862" t="str">
        <f>VLOOKUP(orders__17[[#This Row],[Customer_ID]],customers__2[#All],4,0)</f>
        <v>Home Office</v>
      </c>
      <c r="K862" t="str">
        <f>VLOOKUP(orders__17[[#This Row],[Product_ID]],products[#All],3,0)</f>
        <v>Technology</v>
      </c>
      <c r="L862" s="1" t="str">
        <f>VLOOKUP(orders__17[[#This Row],[Product_ID]],products[#All],4,0)</f>
        <v>Tablet</v>
      </c>
      <c r="M862" s="1" t="str">
        <f>VLOOKUP(orders__17[[#This Row],[Order_ID]],returns[#All],2,0)</f>
        <v>No</v>
      </c>
    </row>
    <row r="863" spans="1:13" x14ac:dyDescent="0.3">
      <c r="A863" s="1" t="s">
        <v>1168</v>
      </c>
      <c r="B863" s="2">
        <v>44675</v>
      </c>
      <c r="C863" s="1" t="s">
        <v>248</v>
      </c>
      <c r="D863" s="1" t="s">
        <v>34</v>
      </c>
      <c r="E863">
        <v>2</v>
      </c>
      <c r="F863" s="4">
        <v>392.88</v>
      </c>
      <c r="G863" s="3">
        <v>0.1</v>
      </c>
      <c r="H863" s="4">
        <v>102.52</v>
      </c>
      <c r="I863" t="str">
        <f>VLOOKUP(orders__17[[#This Row],[Customer_ID]],customers__2[#All],3,0)</f>
        <v>East</v>
      </c>
      <c r="J863" t="str">
        <f>VLOOKUP(orders__17[[#This Row],[Customer_ID]],customers__2[#All],4,0)</f>
        <v>Corporate</v>
      </c>
      <c r="K863" t="str">
        <f>VLOOKUP(orders__17[[#This Row],[Product_ID]],products[#All],3,0)</f>
        <v>Furniture</v>
      </c>
      <c r="L863" s="1" t="str">
        <f>VLOOKUP(orders__17[[#This Row],[Product_ID]],products[#All],4,0)</f>
        <v>Table</v>
      </c>
      <c r="M863" s="1" t="str">
        <f>VLOOKUP(orders__17[[#This Row],[Order_ID]],returns[#All],2,0)</f>
        <v>Yes</v>
      </c>
    </row>
    <row r="864" spans="1:13" x14ac:dyDescent="0.3">
      <c r="A864" s="1" t="s">
        <v>1169</v>
      </c>
      <c r="B864" s="2">
        <v>44668</v>
      </c>
      <c r="C864" s="1" t="s">
        <v>371</v>
      </c>
      <c r="D864" s="1" t="s">
        <v>288</v>
      </c>
      <c r="E864">
        <v>3</v>
      </c>
      <c r="F864" s="4">
        <v>1152.05</v>
      </c>
      <c r="G864" s="3">
        <v>0</v>
      </c>
      <c r="H864" s="4">
        <v>190.18</v>
      </c>
      <c r="I864" t="str">
        <f>VLOOKUP(orders__17[[#This Row],[Customer_ID]],customers__2[#All],3,0)</f>
        <v>East</v>
      </c>
      <c r="J864" t="str">
        <f>VLOOKUP(orders__17[[#This Row],[Customer_ID]],customers__2[#All],4,0)</f>
        <v>Corporate</v>
      </c>
      <c r="K864" t="str">
        <f>VLOOKUP(orders__17[[#This Row],[Product_ID]],products[#All],3,0)</f>
        <v>Furniture</v>
      </c>
      <c r="L864" s="1" t="str">
        <f>VLOOKUP(orders__17[[#This Row],[Product_ID]],products[#All],4,0)</f>
        <v>Chair</v>
      </c>
      <c r="M864" s="1" t="str">
        <f>VLOOKUP(orders__17[[#This Row],[Order_ID]],returns[#All],2,0)</f>
        <v>No</v>
      </c>
    </row>
    <row r="865" spans="1:13" x14ac:dyDescent="0.3">
      <c r="A865" s="1" t="s">
        <v>1170</v>
      </c>
      <c r="B865" s="2">
        <v>45411</v>
      </c>
      <c r="C865" s="1" t="s">
        <v>678</v>
      </c>
      <c r="D865" s="1" t="s">
        <v>100</v>
      </c>
      <c r="E865">
        <v>2</v>
      </c>
      <c r="F865" s="4">
        <v>1129.24</v>
      </c>
      <c r="G865" s="3">
        <v>0.1</v>
      </c>
      <c r="H865" s="4">
        <v>117.89</v>
      </c>
      <c r="I865" t="str">
        <f>VLOOKUP(orders__17[[#This Row],[Customer_ID]],customers__2[#All],3,0)</f>
        <v>West</v>
      </c>
      <c r="J865" t="str">
        <f>VLOOKUP(orders__17[[#This Row],[Customer_ID]],customers__2[#All],4,0)</f>
        <v>Consumer</v>
      </c>
      <c r="K865" t="str">
        <f>VLOOKUP(orders__17[[#This Row],[Product_ID]],products[#All],3,0)</f>
        <v>Technology</v>
      </c>
      <c r="L865" s="1" t="str">
        <f>VLOOKUP(orders__17[[#This Row],[Product_ID]],products[#All],4,0)</f>
        <v>Laptop</v>
      </c>
      <c r="M865" s="1" t="str">
        <f>VLOOKUP(orders__17[[#This Row],[Order_ID]],returns[#All],2,0)</f>
        <v>Yes</v>
      </c>
    </row>
    <row r="866" spans="1:13" x14ac:dyDescent="0.3">
      <c r="A866" s="1" t="s">
        <v>1171</v>
      </c>
      <c r="B866" s="2">
        <v>44636</v>
      </c>
      <c r="C866" s="1" t="s">
        <v>203</v>
      </c>
      <c r="D866" s="1" t="s">
        <v>660</v>
      </c>
      <c r="E866">
        <v>3</v>
      </c>
      <c r="F866" s="4">
        <v>1547.61</v>
      </c>
      <c r="G866" s="3">
        <v>0.3</v>
      </c>
      <c r="H866" s="4">
        <v>129.13999999999999</v>
      </c>
      <c r="I866" t="str">
        <f>VLOOKUP(orders__17[[#This Row],[Customer_ID]],customers__2[#All],3,0)</f>
        <v>West</v>
      </c>
      <c r="J866" t="str">
        <f>VLOOKUP(orders__17[[#This Row],[Customer_ID]],customers__2[#All],4,0)</f>
        <v>Corporate</v>
      </c>
      <c r="K866" t="str">
        <f>VLOOKUP(orders__17[[#This Row],[Product_ID]],products[#All],3,0)</f>
        <v>Office Supplies</v>
      </c>
      <c r="L866" s="1" t="str">
        <f>VLOOKUP(orders__17[[#This Row],[Product_ID]],products[#All],4,0)</f>
        <v>Storage</v>
      </c>
      <c r="M866" s="1" t="str">
        <f>VLOOKUP(orders__17[[#This Row],[Order_ID]],returns[#All],2,0)</f>
        <v>Yes</v>
      </c>
    </row>
    <row r="867" spans="1:13" x14ac:dyDescent="0.3">
      <c r="A867" s="1" t="s">
        <v>1172</v>
      </c>
      <c r="B867" s="2">
        <v>45049</v>
      </c>
      <c r="C867" s="1" t="s">
        <v>510</v>
      </c>
      <c r="D867" s="1" t="s">
        <v>97</v>
      </c>
      <c r="E867">
        <v>5</v>
      </c>
      <c r="F867" s="4">
        <v>1683.93</v>
      </c>
      <c r="G867" s="3">
        <v>0.1</v>
      </c>
      <c r="H867" s="4">
        <v>485.52</v>
      </c>
      <c r="I867" t="str">
        <f>VLOOKUP(orders__17[[#This Row],[Customer_ID]],customers__2[#All],3,0)</f>
        <v>South</v>
      </c>
      <c r="J867" t="str">
        <f>VLOOKUP(orders__17[[#This Row],[Customer_ID]],customers__2[#All],4,0)</f>
        <v>Consumer</v>
      </c>
      <c r="K867" t="str">
        <f>VLOOKUP(orders__17[[#This Row],[Product_ID]],products[#All],3,0)</f>
        <v>Technology</v>
      </c>
      <c r="L867" s="1" t="str">
        <f>VLOOKUP(orders__17[[#This Row],[Product_ID]],products[#All],4,0)</f>
        <v>Tablet</v>
      </c>
      <c r="M867" s="1" t="str">
        <f>VLOOKUP(orders__17[[#This Row],[Order_ID]],returns[#All],2,0)</f>
        <v>No</v>
      </c>
    </row>
    <row r="868" spans="1:13" x14ac:dyDescent="0.3">
      <c r="A868" s="1" t="s">
        <v>1173</v>
      </c>
      <c r="B868" s="2">
        <v>45402</v>
      </c>
      <c r="C868" s="1" t="s">
        <v>384</v>
      </c>
      <c r="D868" s="1" t="s">
        <v>392</v>
      </c>
      <c r="E868">
        <v>4</v>
      </c>
      <c r="F868" s="4">
        <v>936.84</v>
      </c>
      <c r="G868" s="3">
        <v>0</v>
      </c>
      <c r="H868" s="4">
        <v>63.86</v>
      </c>
      <c r="I868" t="str">
        <f>VLOOKUP(orders__17[[#This Row],[Customer_ID]],customers__2[#All],3,0)</f>
        <v>East</v>
      </c>
      <c r="J868" t="str">
        <f>VLOOKUP(orders__17[[#This Row],[Customer_ID]],customers__2[#All],4,0)</f>
        <v>Corporate</v>
      </c>
      <c r="K868" t="str">
        <f>VLOOKUP(orders__17[[#This Row],[Product_ID]],products[#All],3,0)</f>
        <v>Furniture</v>
      </c>
      <c r="L868" s="1" t="str">
        <f>VLOOKUP(orders__17[[#This Row],[Product_ID]],products[#All],4,0)</f>
        <v>Desk</v>
      </c>
      <c r="M868" s="1" t="str">
        <f>VLOOKUP(orders__17[[#This Row],[Order_ID]],returns[#All],2,0)</f>
        <v>No</v>
      </c>
    </row>
    <row r="869" spans="1:13" x14ac:dyDescent="0.3">
      <c r="A869" s="1" t="s">
        <v>1174</v>
      </c>
      <c r="B869" s="2">
        <v>44938</v>
      </c>
      <c r="C869" s="1" t="s">
        <v>547</v>
      </c>
      <c r="D869" s="1" t="s">
        <v>127</v>
      </c>
      <c r="E869">
        <v>5</v>
      </c>
      <c r="F869" s="4">
        <v>674.43</v>
      </c>
      <c r="G869" s="3">
        <v>0.2</v>
      </c>
      <c r="H869" s="4">
        <v>67.290000000000006</v>
      </c>
      <c r="I869" t="str">
        <f>VLOOKUP(orders__17[[#This Row],[Customer_ID]],customers__2[#All],3,0)</f>
        <v>West</v>
      </c>
      <c r="J869" t="str">
        <f>VLOOKUP(orders__17[[#This Row],[Customer_ID]],customers__2[#All],4,0)</f>
        <v>Corporate</v>
      </c>
      <c r="K869" t="str">
        <f>VLOOKUP(orders__17[[#This Row],[Product_ID]],products[#All],3,0)</f>
        <v>Furniture</v>
      </c>
      <c r="L869" s="1" t="str">
        <f>VLOOKUP(orders__17[[#This Row],[Product_ID]],products[#All],4,0)</f>
        <v>Chair</v>
      </c>
      <c r="M869" s="1" t="str">
        <f>VLOOKUP(orders__17[[#This Row],[Order_ID]],returns[#All],2,0)</f>
        <v>No</v>
      </c>
    </row>
    <row r="870" spans="1:13" x14ac:dyDescent="0.3">
      <c r="A870" s="1" t="s">
        <v>1175</v>
      </c>
      <c r="B870" s="2">
        <v>44628</v>
      </c>
      <c r="C870" s="1" t="s">
        <v>978</v>
      </c>
      <c r="D870" s="1" t="s">
        <v>585</v>
      </c>
      <c r="E870">
        <v>2</v>
      </c>
      <c r="F870" s="4">
        <v>592.74</v>
      </c>
      <c r="G870" s="3">
        <v>0.2</v>
      </c>
      <c r="H870" s="4">
        <v>81.180000000000007</v>
      </c>
      <c r="I870" t="str">
        <f>VLOOKUP(orders__17[[#This Row],[Customer_ID]],customers__2[#All],3,0)</f>
        <v>North</v>
      </c>
      <c r="J870" t="str">
        <f>VLOOKUP(orders__17[[#This Row],[Customer_ID]],customers__2[#All],4,0)</f>
        <v>Home Office</v>
      </c>
      <c r="K870" t="str">
        <f>VLOOKUP(orders__17[[#This Row],[Product_ID]],products[#All],3,0)</f>
        <v>Office Supplies</v>
      </c>
      <c r="L870" s="1" t="str">
        <f>VLOOKUP(orders__17[[#This Row],[Product_ID]],products[#All],4,0)</f>
        <v>Storage</v>
      </c>
      <c r="M870" s="1" t="str">
        <f>VLOOKUP(orders__17[[#This Row],[Order_ID]],returns[#All],2,0)</f>
        <v>No</v>
      </c>
    </row>
    <row r="871" spans="1:13" x14ac:dyDescent="0.3">
      <c r="A871" s="1" t="s">
        <v>1176</v>
      </c>
      <c r="B871" s="2">
        <v>45102</v>
      </c>
      <c r="C871" s="1" t="s">
        <v>30</v>
      </c>
      <c r="D871" s="1" t="s">
        <v>209</v>
      </c>
      <c r="E871">
        <v>4</v>
      </c>
      <c r="F871" s="4">
        <v>469.79</v>
      </c>
      <c r="G871" s="3">
        <v>0.1</v>
      </c>
      <c r="H871" s="4">
        <v>96.33</v>
      </c>
      <c r="I871" t="str">
        <f>VLOOKUP(orders__17[[#This Row],[Customer_ID]],customers__2[#All],3,0)</f>
        <v>South</v>
      </c>
      <c r="J871" t="str">
        <f>VLOOKUP(orders__17[[#This Row],[Customer_ID]],customers__2[#All],4,0)</f>
        <v>Home Office</v>
      </c>
      <c r="K871" t="str">
        <f>VLOOKUP(orders__17[[#This Row],[Product_ID]],products[#All],3,0)</f>
        <v>Office Supplies</v>
      </c>
      <c r="L871" s="1" t="str">
        <f>VLOOKUP(orders__17[[#This Row],[Product_ID]],products[#All],4,0)</f>
        <v>Paper</v>
      </c>
      <c r="M871" s="1" t="str">
        <f>VLOOKUP(orders__17[[#This Row],[Order_ID]],returns[#All],2,0)</f>
        <v>No</v>
      </c>
    </row>
    <row r="872" spans="1:13" x14ac:dyDescent="0.3">
      <c r="A872" s="1" t="s">
        <v>1177</v>
      </c>
      <c r="B872" s="2">
        <v>45259</v>
      </c>
      <c r="C872" s="1" t="s">
        <v>233</v>
      </c>
      <c r="D872" s="1" t="s">
        <v>226</v>
      </c>
      <c r="E872">
        <v>3</v>
      </c>
      <c r="F872" s="4">
        <v>209.53</v>
      </c>
      <c r="G872" s="3">
        <v>0</v>
      </c>
      <c r="H872" s="4">
        <v>39.01</v>
      </c>
      <c r="I872" t="str">
        <f>VLOOKUP(orders__17[[#This Row],[Customer_ID]],customers__2[#All],3,0)</f>
        <v>South</v>
      </c>
      <c r="J872" t="str">
        <f>VLOOKUP(orders__17[[#This Row],[Customer_ID]],customers__2[#All],4,0)</f>
        <v>Home Office</v>
      </c>
      <c r="K872" t="str">
        <f>VLOOKUP(orders__17[[#This Row],[Product_ID]],products[#All],3,0)</f>
        <v>Technology</v>
      </c>
      <c r="L872" s="1" t="str">
        <f>VLOOKUP(orders__17[[#This Row],[Product_ID]],products[#All],4,0)</f>
        <v>Laptop</v>
      </c>
      <c r="M872" s="1" t="str">
        <f>VLOOKUP(orders__17[[#This Row],[Order_ID]],returns[#All],2,0)</f>
        <v>No</v>
      </c>
    </row>
    <row r="873" spans="1:13" x14ac:dyDescent="0.3">
      <c r="A873" s="1" t="s">
        <v>1178</v>
      </c>
      <c r="B873" s="2">
        <v>44817</v>
      </c>
      <c r="C873" s="1" t="s">
        <v>388</v>
      </c>
      <c r="D873" s="1" t="s">
        <v>397</v>
      </c>
      <c r="E873">
        <v>4</v>
      </c>
      <c r="F873" s="4">
        <v>750.65</v>
      </c>
      <c r="G873" s="3">
        <v>0.2</v>
      </c>
      <c r="H873" s="4">
        <v>61.11</v>
      </c>
      <c r="I873" t="str">
        <f>VLOOKUP(orders__17[[#This Row],[Customer_ID]],customers__2[#All],3,0)</f>
        <v>East</v>
      </c>
      <c r="J873" t="str">
        <f>VLOOKUP(orders__17[[#This Row],[Customer_ID]],customers__2[#All],4,0)</f>
        <v>Home Office</v>
      </c>
      <c r="K873" t="str">
        <f>VLOOKUP(orders__17[[#This Row],[Product_ID]],products[#All],3,0)</f>
        <v>Office Supplies</v>
      </c>
      <c r="L873" s="1" t="str">
        <f>VLOOKUP(orders__17[[#This Row],[Product_ID]],products[#All],4,0)</f>
        <v>Pen</v>
      </c>
      <c r="M873" s="1" t="str">
        <f>VLOOKUP(orders__17[[#This Row],[Order_ID]],returns[#All],2,0)</f>
        <v>Yes</v>
      </c>
    </row>
    <row r="874" spans="1:13" x14ac:dyDescent="0.3">
      <c r="A874" s="1" t="s">
        <v>1179</v>
      </c>
      <c r="B874" s="2">
        <v>44597</v>
      </c>
      <c r="C874" s="1" t="s">
        <v>927</v>
      </c>
      <c r="D874" s="1" t="s">
        <v>458</v>
      </c>
      <c r="E874">
        <v>1</v>
      </c>
      <c r="F874" s="4">
        <v>613.47</v>
      </c>
      <c r="G874" s="3">
        <v>0.1</v>
      </c>
      <c r="H874" s="4">
        <v>75.11</v>
      </c>
      <c r="I874" t="str">
        <f>VLOOKUP(orders__17[[#This Row],[Customer_ID]],customers__2[#All],3,0)</f>
        <v>South</v>
      </c>
      <c r="J874" t="str">
        <f>VLOOKUP(orders__17[[#This Row],[Customer_ID]],customers__2[#All],4,0)</f>
        <v>Corporate</v>
      </c>
      <c r="K874" t="str">
        <f>VLOOKUP(orders__17[[#This Row],[Product_ID]],products[#All],3,0)</f>
        <v>Technology</v>
      </c>
      <c r="L874" s="1" t="str">
        <f>VLOOKUP(orders__17[[#This Row],[Product_ID]],products[#All],4,0)</f>
        <v>Phone</v>
      </c>
      <c r="M874" s="1" t="str">
        <f>VLOOKUP(orders__17[[#This Row],[Order_ID]],returns[#All],2,0)</f>
        <v>No</v>
      </c>
    </row>
    <row r="875" spans="1:13" x14ac:dyDescent="0.3">
      <c r="A875" s="1" t="s">
        <v>1180</v>
      </c>
      <c r="B875" s="2">
        <v>45072</v>
      </c>
      <c r="C875" s="1" t="s">
        <v>1181</v>
      </c>
      <c r="D875" s="1" t="s">
        <v>119</v>
      </c>
      <c r="E875">
        <v>4</v>
      </c>
      <c r="F875" s="4">
        <v>1936.19</v>
      </c>
      <c r="G875" s="3">
        <v>0.1</v>
      </c>
      <c r="H875" s="4">
        <v>212.38</v>
      </c>
      <c r="I875" t="str">
        <f>VLOOKUP(orders__17[[#This Row],[Customer_ID]],customers__2[#All],3,0)</f>
        <v>West</v>
      </c>
      <c r="J875" t="str">
        <f>VLOOKUP(orders__17[[#This Row],[Customer_ID]],customers__2[#All],4,0)</f>
        <v>Consumer</v>
      </c>
      <c r="K875" t="str">
        <f>VLOOKUP(orders__17[[#This Row],[Product_ID]],products[#All],3,0)</f>
        <v>Technology</v>
      </c>
      <c r="L875" s="1" t="str">
        <f>VLOOKUP(orders__17[[#This Row],[Product_ID]],products[#All],4,0)</f>
        <v>Tablet</v>
      </c>
      <c r="M875" s="1" t="str">
        <f>VLOOKUP(orders__17[[#This Row],[Order_ID]],returns[#All],2,0)</f>
        <v>No</v>
      </c>
    </row>
    <row r="876" spans="1:13" x14ac:dyDescent="0.3">
      <c r="A876" s="1" t="s">
        <v>1182</v>
      </c>
      <c r="B876" s="2">
        <v>44624</v>
      </c>
      <c r="C876" s="1" t="s">
        <v>353</v>
      </c>
      <c r="D876" s="1" t="s">
        <v>201</v>
      </c>
      <c r="E876">
        <v>1</v>
      </c>
      <c r="F876" s="4">
        <v>1159.6500000000001</v>
      </c>
      <c r="G876" s="3">
        <v>0</v>
      </c>
      <c r="H876" s="4">
        <v>119.89</v>
      </c>
      <c r="I876" t="str">
        <f>VLOOKUP(orders__17[[#This Row],[Customer_ID]],customers__2[#All],3,0)</f>
        <v>East</v>
      </c>
      <c r="J876" t="str">
        <f>VLOOKUP(orders__17[[#This Row],[Customer_ID]],customers__2[#All],4,0)</f>
        <v>Home Office</v>
      </c>
      <c r="K876" t="str">
        <f>VLOOKUP(orders__17[[#This Row],[Product_ID]],products[#All],3,0)</f>
        <v>Office Supplies</v>
      </c>
      <c r="L876" s="1" t="str">
        <f>VLOOKUP(orders__17[[#This Row],[Product_ID]],products[#All],4,0)</f>
        <v>Paper</v>
      </c>
      <c r="M876" s="1" t="str">
        <f>VLOOKUP(orders__17[[#This Row],[Order_ID]],returns[#All],2,0)</f>
        <v>No</v>
      </c>
    </row>
    <row r="877" spans="1:13" x14ac:dyDescent="0.3">
      <c r="A877" s="1" t="s">
        <v>1183</v>
      </c>
      <c r="B877" s="2">
        <v>44669</v>
      </c>
      <c r="C877" s="1" t="s">
        <v>406</v>
      </c>
      <c r="D877" s="1" t="s">
        <v>16</v>
      </c>
      <c r="E877">
        <v>4</v>
      </c>
      <c r="F877" s="4">
        <v>759.83</v>
      </c>
      <c r="G877" s="3">
        <v>0.3</v>
      </c>
      <c r="H877" s="4">
        <v>116.09</v>
      </c>
      <c r="I877" t="str">
        <f>VLOOKUP(orders__17[[#This Row],[Customer_ID]],customers__2[#All],3,0)</f>
        <v>East</v>
      </c>
      <c r="J877" t="str">
        <f>VLOOKUP(orders__17[[#This Row],[Customer_ID]],customers__2[#All],4,0)</f>
        <v>Home Office</v>
      </c>
      <c r="K877" t="str">
        <f>VLOOKUP(orders__17[[#This Row],[Product_ID]],products[#All],3,0)</f>
        <v>Technology</v>
      </c>
      <c r="L877" s="1" t="str">
        <f>VLOOKUP(orders__17[[#This Row],[Product_ID]],products[#All],4,0)</f>
        <v>Laptop</v>
      </c>
      <c r="M877" s="1" t="str">
        <f>VLOOKUP(orders__17[[#This Row],[Order_ID]],returns[#All],2,0)</f>
        <v>No</v>
      </c>
    </row>
    <row r="878" spans="1:13" x14ac:dyDescent="0.3">
      <c r="A878" s="1" t="s">
        <v>1184</v>
      </c>
      <c r="B878" s="2">
        <v>45106</v>
      </c>
      <c r="C878" s="1" t="s">
        <v>1056</v>
      </c>
      <c r="D878" s="1" t="s">
        <v>603</v>
      </c>
      <c r="E878">
        <v>1</v>
      </c>
      <c r="F878" s="4">
        <v>1202.8900000000001</v>
      </c>
      <c r="G878" s="3">
        <v>0.1</v>
      </c>
      <c r="H878" s="4">
        <v>271.86</v>
      </c>
      <c r="I878" t="str">
        <f>VLOOKUP(orders__17[[#This Row],[Customer_ID]],customers__2[#All],3,0)</f>
        <v>North</v>
      </c>
      <c r="J878" t="str">
        <f>VLOOKUP(orders__17[[#This Row],[Customer_ID]],customers__2[#All],4,0)</f>
        <v>Corporate</v>
      </c>
      <c r="K878" t="str">
        <f>VLOOKUP(orders__17[[#This Row],[Product_ID]],products[#All],3,0)</f>
        <v>Technology</v>
      </c>
      <c r="L878" s="1" t="str">
        <f>VLOOKUP(orders__17[[#This Row],[Product_ID]],products[#All],4,0)</f>
        <v>Accessories</v>
      </c>
      <c r="M878" s="1" t="str">
        <f>VLOOKUP(orders__17[[#This Row],[Order_ID]],returns[#All],2,0)</f>
        <v>No</v>
      </c>
    </row>
    <row r="879" spans="1:13" x14ac:dyDescent="0.3">
      <c r="A879" s="1" t="s">
        <v>1185</v>
      </c>
      <c r="B879" s="2">
        <v>44789</v>
      </c>
      <c r="C879" s="1" t="s">
        <v>126</v>
      </c>
      <c r="D879" s="1" t="s">
        <v>147</v>
      </c>
      <c r="E879">
        <v>2</v>
      </c>
      <c r="F879" s="4">
        <v>364.47</v>
      </c>
      <c r="G879" s="3">
        <v>0.3</v>
      </c>
      <c r="H879" s="4">
        <v>38.04</v>
      </c>
      <c r="I879" t="str">
        <f>VLOOKUP(orders__17[[#This Row],[Customer_ID]],customers__2[#All],3,0)</f>
        <v>North</v>
      </c>
      <c r="J879" t="str">
        <f>VLOOKUP(orders__17[[#This Row],[Customer_ID]],customers__2[#All],4,0)</f>
        <v>Consumer</v>
      </c>
      <c r="K879" t="str">
        <f>VLOOKUP(orders__17[[#This Row],[Product_ID]],products[#All],3,0)</f>
        <v>Technology</v>
      </c>
      <c r="L879" s="1" t="str">
        <f>VLOOKUP(orders__17[[#This Row],[Product_ID]],products[#All],4,0)</f>
        <v>Laptop</v>
      </c>
      <c r="M879" s="1" t="str">
        <f>VLOOKUP(orders__17[[#This Row],[Order_ID]],returns[#All],2,0)</f>
        <v>No</v>
      </c>
    </row>
    <row r="880" spans="1:13" x14ac:dyDescent="0.3">
      <c r="A880" s="1" t="s">
        <v>1186</v>
      </c>
      <c r="B880" s="2">
        <v>45232</v>
      </c>
      <c r="C880" s="1" t="s">
        <v>316</v>
      </c>
      <c r="D880" s="1" t="s">
        <v>242</v>
      </c>
      <c r="E880">
        <v>5</v>
      </c>
      <c r="F880" s="4">
        <v>943.68</v>
      </c>
      <c r="G880" s="3">
        <v>0.3</v>
      </c>
      <c r="H880" s="4">
        <v>133.69</v>
      </c>
      <c r="I880" t="str">
        <f>VLOOKUP(orders__17[[#This Row],[Customer_ID]],customers__2[#All],3,0)</f>
        <v>South</v>
      </c>
      <c r="J880" t="str">
        <f>VLOOKUP(orders__17[[#This Row],[Customer_ID]],customers__2[#All],4,0)</f>
        <v>Home Office</v>
      </c>
      <c r="K880" t="str">
        <f>VLOOKUP(orders__17[[#This Row],[Product_ID]],products[#All],3,0)</f>
        <v>Technology</v>
      </c>
      <c r="L880" s="1" t="str">
        <f>VLOOKUP(orders__17[[#This Row],[Product_ID]],products[#All],4,0)</f>
        <v>Phone</v>
      </c>
      <c r="M880" s="1" t="str">
        <f>VLOOKUP(orders__17[[#This Row],[Order_ID]],returns[#All],2,0)</f>
        <v>No</v>
      </c>
    </row>
    <row r="881" spans="1:13" x14ac:dyDescent="0.3">
      <c r="A881" s="1" t="s">
        <v>1187</v>
      </c>
      <c r="B881" s="2">
        <v>44661</v>
      </c>
      <c r="C881" s="1" t="s">
        <v>834</v>
      </c>
      <c r="D881" s="1" t="s">
        <v>304</v>
      </c>
      <c r="E881">
        <v>3</v>
      </c>
      <c r="F881" s="4">
        <v>1289.8499999999999</v>
      </c>
      <c r="G881" s="3">
        <v>0.2</v>
      </c>
      <c r="H881" s="4">
        <v>190.55</v>
      </c>
      <c r="I881" t="str">
        <f>VLOOKUP(orders__17[[#This Row],[Customer_ID]],customers__2[#All],3,0)</f>
        <v>South</v>
      </c>
      <c r="J881" t="str">
        <f>VLOOKUP(orders__17[[#This Row],[Customer_ID]],customers__2[#All],4,0)</f>
        <v>Consumer</v>
      </c>
      <c r="K881" t="str">
        <f>VLOOKUP(orders__17[[#This Row],[Product_ID]],products[#All],3,0)</f>
        <v>Technology</v>
      </c>
      <c r="L881" s="1" t="str">
        <f>VLOOKUP(orders__17[[#This Row],[Product_ID]],products[#All],4,0)</f>
        <v>Accessories</v>
      </c>
      <c r="M881" s="1" t="str">
        <f>VLOOKUP(orders__17[[#This Row],[Order_ID]],returns[#All],2,0)</f>
        <v>No</v>
      </c>
    </row>
    <row r="882" spans="1:13" x14ac:dyDescent="0.3">
      <c r="A882" s="1" t="s">
        <v>1188</v>
      </c>
      <c r="B882" s="2">
        <v>44829</v>
      </c>
      <c r="C882" s="1" t="s">
        <v>74</v>
      </c>
      <c r="D882" s="1" t="s">
        <v>141</v>
      </c>
      <c r="E882">
        <v>4</v>
      </c>
      <c r="F882" s="4">
        <v>1028.9100000000001</v>
      </c>
      <c r="G882" s="3">
        <v>0.3</v>
      </c>
      <c r="H882" s="4">
        <v>302.62</v>
      </c>
      <c r="I882" t="str">
        <f>VLOOKUP(orders__17[[#This Row],[Customer_ID]],customers__2[#All],3,0)</f>
        <v>North</v>
      </c>
      <c r="J882" t="str">
        <f>VLOOKUP(orders__17[[#This Row],[Customer_ID]],customers__2[#All],4,0)</f>
        <v>Consumer</v>
      </c>
      <c r="K882" t="str">
        <f>VLOOKUP(orders__17[[#This Row],[Product_ID]],products[#All],3,0)</f>
        <v>Technology</v>
      </c>
      <c r="L882" s="1" t="str">
        <f>VLOOKUP(orders__17[[#This Row],[Product_ID]],products[#All],4,0)</f>
        <v>Phone</v>
      </c>
      <c r="M882" s="1" t="str">
        <f>VLOOKUP(orders__17[[#This Row],[Order_ID]],returns[#All],2,0)</f>
        <v>No</v>
      </c>
    </row>
    <row r="883" spans="1:13" x14ac:dyDescent="0.3">
      <c r="A883" s="1" t="s">
        <v>1189</v>
      </c>
      <c r="B883" s="2">
        <v>44644</v>
      </c>
      <c r="C883" s="1" t="s">
        <v>468</v>
      </c>
      <c r="D883" s="1" t="s">
        <v>127</v>
      </c>
      <c r="E883">
        <v>5</v>
      </c>
      <c r="F883" s="4">
        <v>863.38</v>
      </c>
      <c r="G883" s="3">
        <v>0</v>
      </c>
      <c r="H883" s="4">
        <v>249.23</v>
      </c>
      <c r="I883" t="str">
        <f>VLOOKUP(orders__17[[#This Row],[Customer_ID]],customers__2[#All],3,0)</f>
        <v>South</v>
      </c>
      <c r="J883" t="str">
        <f>VLOOKUP(orders__17[[#This Row],[Customer_ID]],customers__2[#All],4,0)</f>
        <v>Consumer</v>
      </c>
      <c r="K883" t="str">
        <f>VLOOKUP(orders__17[[#This Row],[Product_ID]],products[#All],3,0)</f>
        <v>Furniture</v>
      </c>
      <c r="L883" s="1" t="str">
        <f>VLOOKUP(orders__17[[#This Row],[Product_ID]],products[#All],4,0)</f>
        <v>Chair</v>
      </c>
      <c r="M883" s="1" t="str">
        <f>VLOOKUP(orders__17[[#This Row],[Order_ID]],returns[#All],2,0)</f>
        <v>No</v>
      </c>
    </row>
    <row r="884" spans="1:13" x14ac:dyDescent="0.3">
      <c r="A884" s="1" t="s">
        <v>1190</v>
      </c>
      <c r="B884" s="2">
        <v>44637</v>
      </c>
      <c r="C884" s="1" t="s">
        <v>106</v>
      </c>
      <c r="D884" s="1" t="s">
        <v>209</v>
      </c>
      <c r="E884">
        <v>3</v>
      </c>
      <c r="F884" s="4">
        <v>1988.31</v>
      </c>
      <c r="G884" s="3">
        <v>0.2</v>
      </c>
      <c r="H884" s="4">
        <v>497.15</v>
      </c>
      <c r="I884" t="str">
        <f>VLOOKUP(orders__17[[#This Row],[Customer_ID]],customers__2[#All],3,0)</f>
        <v>South</v>
      </c>
      <c r="J884" t="str">
        <f>VLOOKUP(orders__17[[#This Row],[Customer_ID]],customers__2[#All],4,0)</f>
        <v>Consumer</v>
      </c>
      <c r="K884" t="str">
        <f>VLOOKUP(orders__17[[#This Row],[Product_ID]],products[#All],3,0)</f>
        <v>Office Supplies</v>
      </c>
      <c r="L884" s="1" t="str">
        <f>VLOOKUP(orders__17[[#This Row],[Product_ID]],products[#All],4,0)</f>
        <v>Paper</v>
      </c>
      <c r="M884" s="1" t="str">
        <f>VLOOKUP(orders__17[[#This Row],[Order_ID]],returns[#All],2,0)</f>
        <v>No</v>
      </c>
    </row>
    <row r="885" spans="1:13" x14ac:dyDescent="0.3">
      <c r="A885" s="1" t="s">
        <v>1191</v>
      </c>
      <c r="B885" s="2">
        <v>45283</v>
      </c>
      <c r="C885" s="1" t="s">
        <v>685</v>
      </c>
      <c r="D885" s="1" t="s">
        <v>757</v>
      </c>
      <c r="E885">
        <v>3</v>
      </c>
      <c r="F885" s="4">
        <v>1772.6</v>
      </c>
      <c r="G885" s="3">
        <v>0.2</v>
      </c>
      <c r="H885" s="4">
        <v>195.72</v>
      </c>
      <c r="I885" t="str">
        <f>VLOOKUP(orders__17[[#This Row],[Customer_ID]],customers__2[#All],3,0)</f>
        <v>East</v>
      </c>
      <c r="J885" t="str">
        <f>VLOOKUP(orders__17[[#This Row],[Customer_ID]],customers__2[#All],4,0)</f>
        <v>Home Office</v>
      </c>
      <c r="K885" t="str">
        <f>VLOOKUP(orders__17[[#This Row],[Product_ID]],products[#All],3,0)</f>
        <v>Office Supplies</v>
      </c>
      <c r="L885" s="1" t="str">
        <f>VLOOKUP(orders__17[[#This Row],[Product_ID]],products[#All],4,0)</f>
        <v>Pen</v>
      </c>
      <c r="M885" s="1" t="str">
        <f>VLOOKUP(orders__17[[#This Row],[Order_ID]],returns[#All],2,0)</f>
        <v>No</v>
      </c>
    </row>
    <row r="886" spans="1:13" x14ac:dyDescent="0.3">
      <c r="A886" s="1" t="s">
        <v>1192</v>
      </c>
      <c r="B886" s="2">
        <v>44562</v>
      </c>
      <c r="C886" s="1" t="s">
        <v>786</v>
      </c>
      <c r="D886" s="1" t="s">
        <v>70</v>
      </c>
      <c r="E886">
        <v>1</v>
      </c>
      <c r="F886" s="4">
        <v>1284.47</v>
      </c>
      <c r="G886" s="3">
        <v>0.2</v>
      </c>
      <c r="H886" s="4">
        <v>86.07</v>
      </c>
      <c r="I886" t="str">
        <f>VLOOKUP(orders__17[[#This Row],[Customer_ID]],customers__2[#All],3,0)</f>
        <v>East</v>
      </c>
      <c r="J886" t="str">
        <f>VLOOKUP(orders__17[[#This Row],[Customer_ID]],customers__2[#All],4,0)</f>
        <v>Corporate</v>
      </c>
      <c r="K886" t="str">
        <f>VLOOKUP(orders__17[[#This Row],[Product_ID]],products[#All],3,0)</f>
        <v>Office Supplies</v>
      </c>
      <c r="L886" s="1" t="str">
        <f>VLOOKUP(orders__17[[#This Row],[Product_ID]],products[#All],4,0)</f>
        <v>Paper</v>
      </c>
      <c r="M886" s="1" t="str">
        <f>VLOOKUP(orders__17[[#This Row],[Order_ID]],returns[#All],2,0)</f>
        <v>No</v>
      </c>
    </row>
    <row r="887" spans="1:13" x14ac:dyDescent="0.3">
      <c r="A887" s="1" t="s">
        <v>1193</v>
      </c>
      <c r="B887" s="2">
        <v>44912</v>
      </c>
      <c r="C887" s="1" t="s">
        <v>422</v>
      </c>
      <c r="D887" s="1" t="s">
        <v>283</v>
      </c>
      <c r="E887">
        <v>2</v>
      </c>
      <c r="F887" s="4">
        <v>1181.82</v>
      </c>
      <c r="G887" s="3">
        <v>0.1</v>
      </c>
      <c r="H887" s="4">
        <v>152.72</v>
      </c>
      <c r="I887" t="str">
        <f>VLOOKUP(orders__17[[#This Row],[Customer_ID]],customers__2[#All],3,0)</f>
        <v>East</v>
      </c>
      <c r="J887" t="str">
        <f>VLOOKUP(orders__17[[#This Row],[Customer_ID]],customers__2[#All],4,0)</f>
        <v>Home Office</v>
      </c>
      <c r="K887" t="str">
        <f>VLOOKUP(orders__17[[#This Row],[Product_ID]],products[#All],3,0)</f>
        <v>Furniture</v>
      </c>
      <c r="L887" s="1" t="str">
        <f>VLOOKUP(orders__17[[#This Row],[Product_ID]],products[#All],4,0)</f>
        <v>Chair</v>
      </c>
      <c r="M887" s="1" t="str">
        <f>VLOOKUP(orders__17[[#This Row],[Order_ID]],returns[#All],2,0)</f>
        <v>No</v>
      </c>
    </row>
    <row r="888" spans="1:13" x14ac:dyDescent="0.3">
      <c r="A888" s="1" t="s">
        <v>1194</v>
      </c>
      <c r="B888" s="2">
        <v>45206</v>
      </c>
      <c r="C888" s="1" t="s">
        <v>321</v>
      </c>
      <c r="D888" s="1" t="s">
        <v>218</v>
      </c>
      <c r="E888">
        <v>2</v>
      </c>
      <c r="F888" s="4">
        <v>1279.25</v>
      </c>
      <c r="G888" s="3">
        <v>0.1</v>
      </c>
      <c r="H888" s="4">
        <v>149.29</v>
      </c>
      <c r="I888" t="str">
        <f>VLOOKUP(orders__17[[#This Row],[Customer_ID]],customers__2[#All],3,0)</f>
        <v>South</v>
      </c>
      <c r="J888" t="str">
        <f>VLOOKUP(orders__17[[#This Row],[Customer_ID]],customers__2[#All],4,0)</f>
        <v>Corporate</v>
      </c>
      <c r="K888" t="str">
        <f>VLOOKUP(orders__17[[#This Row],[Product_ID]],products[#All],3,0)</f>
        <v>Office Supplies</v>
      </c>
      <c r="L888" s="1" t="str">
        <f>VLOOKUP(orders__17[[#This Row],[Product_ID]],products[#All],4,0)</f>
        <v>Storage</v>
      </c>
      <c r="M888" s="1" t="str">
        <f>VLOOKUP(orders__17[[#This Row],[Order_ID]],returns[#All],2,0)</f>
        <v>No</v>
      </c>
    </row>
    <row r="889" spans="1:13" x14ac:dyDescent="0.3">
      <c r="A889" s="1" t="s">
        <v>1195</v>
      </c>
      <c r="B889" s="2">
        <v>45440</v>
      </c>
      <c r="C889" s="1" t="s">
        <v>63</v>
      </c>
      <c r="D889" s="1" t="s">
        <v>177</v>
      </c>
      <c r="E889">
        <v>5</v>
      </c>
      <c r="F889" s="4">
        <v>482.49</v>
      </c>
      <c r="G889" s="3">
        <v>0.3</v>
      </c>
      <c r="H889" s="4">
        <v>85.15</v>
      </c>
      <c r="I889" t="str">
        <f>VLOOKUP(orders__17[[#This Row],[Customer_ID]],customers__2[#All],3,0)</f>
        <v>East</v>
      </c>
      <c r="J889" t="str">
        <f>VLOOKUP(orders__17[[#This Row],[Customer_ID]],customers__2[#All],4,0)</f>
        <v>Home Office</v>
      </c>
      <c r="K889" t="str">
        <f>VLOOKUP(orders__17[[#This Row],[Product_ID]],products[#All],3,0)</f>
        <v>Furniture</v>
      </c>
      <c r="L889" s="1" t="str">
        <f>VLOOKUP(orders__17[[#This Row],[Product_ID]],products[#All],4,0)</f>
        <v>Table</v>
      </c>
      <c r="M889" s="1" t="str">
        <f>VLOOKUP(orders__17[[#This Row],[Order_ID]],returns[#All],2,0)</f>
        <v>No</v>
      </c>
    </row>
    <row r="890" spans="1:13" x14ac:dyDescent="0.3">
      <c r="A890" s="1" t="s">
        <v>1196</v>
      </c>
      <c r="B890" s="2">
        <v>45401</v>
      </c>
      <c r="C890" s="1" t="s">
        <v>344</v>
      </c>
      <c r="D890" s="1" t="s">
        <v>25</v>
      </c>
      <c r="E890">
        <v>2</v>
      </c>
      <c r="F890" s="4">
        <v>850.76</v>
      </c>
      <c r="G890" s="3">
        <v>0.2</v>
      </c>
      <c r="H890" s="4">
        <v>207.95</v>
      </c>
      <c r="I890" t="str">
        <f>VLOOKUP(orders__17[[#This Row],[Customer_ID]],customers__2[#All],3,0)</f>
        <v>North</v>
      </c>
      <c r="J890" t="str">
        <f>VLOOKUP(orders__17[[#This Row],[Customer_ID]],customers__2[#All],4,0)</f>
        <v>Home Office</v>
      </c>
      <c r="K890" t="str">
        <f>VLOOKUP(orders__17[[#This Row],[Product_ID]],products[#All],3,0)</f>
        <v>Office Supplies</v>
      </c>
      <c r="L890" s="1" t="str">
        <f>VLOOKUP(orders__17[[#This Row],[Product_ID]],products[#All],4,0)</f>
        <v>Paper</v>
      </c>
      <c r="M890" s="1" t="str">
        <f>VLOOKUP(orders__17[[#This Row],[Order_ID]],returns[#All],2,0)</f>
        <v>No</v>
      </c>
    </row>
    <row r="891" spans="1:13" x14ac:dyDescent="0.3">
      <c r="A891" s="1" t="s">
        <v>1197</v>
      </c>
      <c r="B891" s="2">
        <v>45339</v>
      </c>
      <c r="C891" s="1" t="s">
        <v>673</v>
      </c>
      <c r="D891" s="1" t="s">
        <v>51</v>
      </c>
      <c r="E891">
        <v>4</v>
      </c>
      <c r="F891" s="4">
        <v>174.97</v>
      </c>
      <c r="G891" s="3">
        <v>0.2</v>
      </c>
      <c r="H891" s="4">
        <v>46.29</v>
      </c>
      <c r="I891" t="str">
        <f>VLOOKUP(orders__17[[#This Row],[Customer_ID]],customers__2[#All],3,0)</f>
        <v>West</v>
      </c>
      <c r="J891" t="str">
        <f>VLOOKUP(orders__17[[#This Row],[Customer_ID]],customers__2[#All],4,0)</f>
        <v>Consumer</v>
      </c>
      <c r="K891" t="str">
        <f>VLOOKUP(orders__17[[#This Row],[Product_ID]],products[#All],3,0)</f>
        <v>Office Supplies</v>
      </c>
      <c r="L891" s="1" t="str">
        <f>VLOOKUP(orders__17[[#This Row],[Product_ID]],products[#All],4,0)</f>
        <v>Pen</v>
      </c>
      <c r="M891" s="1" t="str">
        <f>VLOOKUP(orders__17[[#This Row],[Order_ID]],returns[#All],2,0)</f>
        <v>No</v>
      </c>
    </row>
    <row r="892" spans="1:13" x14ac:dyDescent="0.3">
      <c r="A892" s="1" t="s">
        <v>1198</v>
      </c>
      <c r="B892" s="2">
        <v>44700</v>
      </c>
      <c r="C892" s="1" t="s">
        <v>420</v>
      </c>
      <c r="D892" s="1" t="s">
        <v>156</v>
      </c>
      <c r="E892">
        <v>2</v>
      </c>
      <c r="F892" s="4">
        <v>1003.54</v>
      </c>
      <c r="G892" s="3">
        <v>0</v>
      </c>
      <c r="H892" s="4">
        <v>262.14</v>
      </c>
      <c r="I892" t="str">
        <f>VLOOKUP(orders__17[[#This Row],[Customer_ID]],customers__2[#All],3,0)</f>
        <v>West</v>
      </c>
      <c r="J892" t="str">
        <f>VLOOKUP(orders__17[[#This Row],[Customer_ID]],customers__2[#All],4,0)</f>
        <v>Home Office</v>
      </c>
      <c r="K892" t="str">
        <f>VLOOKUP(orders__17[[#This Row],[Product_ID]],products[#All],3,0)</f>
        <v>Furniture</v>
      </c>
      <c r="L892" s="1" t="str">
        <f>VLOOKUP(orders__17[[#This Row],[Product_ID]],products[#All],4,0)</f>
        <v>Desk</v>
      </c>
      <c r="M892" s="1" t="str">
        <f>VLOOKUP(orders__17[[#This Row],[Order_ID]],returns[#All],2,0)</f>
        <v>No</v>
      </c>
    </row>
    <row r="893" spans="1:13" x14ac:dyDescent="0.3">
      <c r="A893" s="1" t="s">
        <v>1199</v>
      </c>
      <c r="B893" s="2">
        <v>45074</v>
      </c>
      <c r="C893" s="1" t="s">
        <v>1081</v>
      </c>
      <c r="D893" s="1" t="s">
        <v>603</v>
      </c>
      <c r="E893">
        <v>5</v>
      </c>
      <c r="F893" s="4">
        <v>1131.75</v>
      </c>
      <c r="G893" s="3">
        <v>0.3</v>
      </c>
      <c r="H893" s="4">
        <v>158.35</v>
      </c>
      <c r="I893" t="str">
        <f>VLOOKUP(orders__17[[#This Row],[Customer_ID]],customers__2[#All],3,0)</f>
        <v>North</v>
      </c>
      <c r="J893" t="str">
        <f>VLOOKUP(orders__17[[#This Row],[Customer_ID]],customers__2[#All],4,0)</f>
        <v>Home Office</v>
      </c>
      <c r="K893" t="str">
        <f>VLOOKUP(orders__17[[#This Row],[Product_ID]],products[#All],3,0)</f>
        <v>Technology</v>
      </c>
      <c r="L893" s="1" t="str">
        <f>VLOOKUP(orders__17[[#This Row],[Product_ID]],products[#All],4,0)</f>
        <v>Accessories</v>
      </c>
      <c r="M893" s="1" t="str">
        <f>VLOOKUP(orders__17[[#This Row],[Order_ID]],returns[#All],2,0)</f>
        <v>No</v>
      </c>
    </row>
    <row r="894" spans="1:13" x14ac:dyDescent="0.3">
      <c r="A894" s="1" t="s">
        <v>1200</v>
      </c>
      <c r="B894" s="2">
        <v>45114</v>
      </c>
      <c r="C894" s="1" t="s">
        <v>447</v>
      </c>
      <c r="D894" s="1" t="s">
        <v>141</v>
      </c>
      <c r="E894">
        <v>2</v>
      </c>
      <c r="F894" s="4">
        <v>532.72</v>
      </c>
      <c r="G894" s="3">
        <v>0</v>
      </c>
      <c r="H894" s="4">
        <v>118.16</v>
      </c>
      <c r="I894" t="str">
        <f>VLOOKUP(orders__17[[#This Row],[Customer_ID]],customers__2[#All],3,0)</f>
        <v>West</v>
      </c>
      <c r="J894" t="str">
        <f>VLOOKUP(orders__17[[#This Row],[Customer_ID]],customers__2[#All],4,0)</f>
        <v>Corporate</v>
      </c>
      <c r="K894" t="str">
        <f>VLOOKUP(orders__17[[#This Row],[Product_ID]],products[#All],3,0)</f>
        <v>Technology</v>
      </c>
      <c r="L894" s="1" t="str">
        <f>VLOOKUP(orders__17[[#This Row],[Product_ID]],products[#All],4,0)</f>
        <v>Phone</v>
      </c>
      <c r="M894" s="1" t="str">
        <f>VLOOKUP(orders__17[[#This Row],[Order_ID]],returns[#All],2,0)</f>
        <v>No</v>
      </c>
    </row>
    <row r="895" spans="1:13" x14ac:dyDescent="0.3">
      <c r="A895" s="1" t="s">
        <v>1201</v>
      </c>
      <c r="B895" s="2">
        <v>45424</v>
      </c>
      <c r="C895" s="1" t="s">
        <v>282</v>
      </c>
      <c r="D895" s="1" t="s">
        <v>400</v>
      </c>
      <c r="E895">
        <v>4</v>
      </c>
      <c r="F895" s="4">
        <v>1931.65</v>
      </c>
      <c r="G895" s="3">
        <v>0.3</v>
      </c>
      <c r="H895" s="4">
        <v>247.65</v>
      </c>
      <c r="I895" t="str">
        <f>VLOOKUP(orders__17[[#This Row],[Customer_ID]],customers__2[#All],3,0)</f>
        <v>South</v>
      </c>
      <c r="J895" t="str">
        <f>VLOOKUP(orders__17[[#This Row],[Customer_ID]],customers__2[#All],4,0)</f>
        <v>Home Office</v>
      </c>
      <c r="K895" t="str">
        <f>VLOOKUP(orders__17[[#This Row],[Product_ID]],products[#All],3,0)</f>
        <v>Office Supplies</v>
      </c>
      <c r="L895" s="1" t="str">
        <f>VLOOKUP(orders__17[[#This Row],[Product_ID]],products[#All],4,0)</f>
        <v>Paper</v>
      </c>
      <c r="M895" s="1" t="str">
        <f>VLOOKUP(orders__17[[#This Row],[Order_ID]],returns[#All],2,0)</f>
        <v>Yes</v>
      </c>
    </row>
    <row r="896" spans="1:13" x14ac:dyDescent="0.3">
      <c r="A896" s="1" t="s">
        <v>1202</v>
      </c>
      <c r="B896" s="2">
        <v>45229</v>
      </c>
      <c r="C896" s="1" t="s">
        <v>208</v>
      </c>
      <c r="D896" s="1" t="s">
        <v>119</v>
      </c>
      <c r="E896">
        <v>1</v>
      </c>
      <c r="F896" s="4">
        <v>1827.96</v>
      </c>
      <c r="G896" s="3">
        <v>0.3</v>
      </c>
      <c r="H896" s="4">
        <v>119.23</v>
      </c>
      <c r="I896" t="str">
        <f>VLOOKUP(orders__17[[#This Row],[Customer_ID]],customers__2[#All],3,0)</f>
        <v>North</v>
      </c>
      <c r="J896" t="str">
        <f>VLOOKUP(orders__17[[#This Row],[Customer_ID]],customers__2[#All],4,0)</f>
        <v>Home Office</v>
      </c>
      <c r="K896" t="str">
        <f>VLOOKUP(orders__17[[#This Row],[Product_ID]],products[#All],3,0)</f>
        <v>Technology</v>
      </c>
      <c r="L896" s="1" t="str">
        <f>VLOOKUP(orders__17[[#This Row],[Product_ID]],products[#All],4,0)</f>
        <v>Tablet</v>
      </c>
      <c r="M896" s="1" t="str">
        <f>VLOOKUP(orders__17[[#This Row],[Order_ID]],returns[#All],2,0)</f>
        <v>No</v>
      </c>
    </row>
    <row r="897" spans="1:13" x14ac:dyDescent="0.3">
      <c r="A897" s="1" t="s">
        <v>1203</v>
      </c>
      <c r="B897" s="2">
        <v>44998</v>
      </c>
      <c r="C897" s="1" t="s">
        <v>316</v>
      </c>
      <c r="D897" s="1" t="s">
        <v>301</v>
      </c>
      <c r="E897">
        <v>5</v>
      </c>
      <c r="F897" s="4">
        <v>1472.07</v>
      </c>
      <c r="G897" s="3">
        <v>0.1</v>
      </c>
      <c r="H897" s="4">
        <v>331.79</v>
      </c>
      <c r="I897" t="str">
        <f>VLOOKUP(orders__17[[#This Row],[Customer_ID]],customers__2[#All],3,0)</f>
        <v>South</v>
      </c>
      <c r="J897" t="str">
        <f>VLOOKUP(orders__17[[#This Row],[Customer_ID]],customers__2[#All],4,0)</f>
        <v>Home Office</v>
      </c>
      <c r="K897" t="str">
        <f>VLOOKUP(orders__17[[#This Row],[Product_ID]],products[#All],3,0)</f>
        <v>Furniture</v>
      </c>
      <c r="L897" s="1" t="str">
        <f>VLOOKUP(orders__17[[#This Row],[Product_ID]],products[#All],4,0)</f>
        <v>Table</v>
      </c>
      <c r="M897" s="1" t="str">
        <f>VLOOKUP(orders__17[[#This Row],[Order_ID]],returns[#All],2,0)</f>
        <v>No</v>
      </c>
    </row>
    <row r="898" spans="1:13" x14ac:dyDescent="0.3">
      <c r="A898" s="1" t="s">
        <v>1204</v>
      </c>
      <c r="B898" s="2">
        <v>45413</v>
      </c>
      <c r="C898" s="1" t="s">
        <v>223</v>
      </c>
      <c r="D898" s="1" t="s">
        <v>679</v>
      </c>
      <c r="E898">
        <v>1</v>
      </c>
      <c r="F898" s="4">
        <v>1113.43</v>
      </c>
      <c r="G898" s="3">
        <v>0.1</v>
      </c>
      <c r="H898" s="4">
        <v>58.41</v>
      </c>
      <c r="I898" t="str">
        <f>VLOOKUP(orders__17[[#This Row],[Customer_ID]],customers__2[#All],3,0)</f>
        <v>East</v>
      </c>
      <c r="J898" t="str">
        <f>VLOOKUP(orders__17[[#This Row],[Customer_ID]],customers__2[#All],4,0)</f>
        <v>Home Office</v>
      </c>
      <c r="K898" t="str">
        <f>VLOOKUP(orders__17[[#This Row],[Product_ID]],products[#All],3,0)</f>
        <v>Office Supplies</v>
      </c>
      <c r="L898" s="1" t="str">
        <f>VLOOKUP(orders__17[[#This Row],[Product_ID]],products[#All],4,0)</f>
        <v>Paper</v>
      </c>
      <c r="M898" s="1" t="str">
        <f>VLOOKUP(orders__17[[#This Row],[Order_ID]],returns[#All],2,0)</f>
        <v>No</v>
      </c>
    </row>
    <row r="899" spans="1:13" x14ac:dyDescent="0.3">
      <c r="A899" s="1" t="s">
        <v>1205</v>
      </c>
      <c r="B899" s="2">
        <v>44651</v>
      </c>
      <c r="C899" s="1" t="s">
        <v>529</v>
      </c>
      <c r="D899" s="1" t="s">
        <v>34</v>
      </c>
      <c r="E899">
        <v>1</v>
      </c>
      <c r="F899" s="4">
        <v>1752.94</v>
      </c>
      <c r="G899" s="3">
        <v>0</v>
      </c>
      <c r="H899" s="4">
        <v>266.97000000000003</v>
      </c>
      <c r="I899" t="str">
        <f>VLOOKUP(orders__17[[#This Row],[Customer_ID]],customers__2[#All],3,0)</f>
        <v>South</v>
      </c>
      <c r="J899" t="str">
        <f>VLOOKUP(orders__17[[#This Row],[Customer_ID]],customers__2[#All],4,0)</f>
        <v>Corporate</v>
      </c>
      <c r="K899" t="str">
        <f>VLOOKUP(orders__17[[#This Row],[Product_ID]],products[#All],3,0)</f>
        <v>Furniture</v>
      </c>
      <c r="L899" s="1" t="str">
        <f>VLOOKUP(orders__17[[#This Row],[Product_ID]],products[#All],4,0)</f>
        <v>Table</v>
      </c>
      <c r="M899" s="1" t="str">
        <f>VLOOKUP(orders__17[[#This Row],[Order_ID]],returns[#All],2,0)</f>
        <v>No</v>
      </c>
    </row>
    <row r="900" spans="1:13" x14ac:dyDescent="0.3">
      <c r="A900" s="1" t="s">
        <v>1206</v>
      </c>
      <c r="B900" s="2">
        <v>45279</v>
      </c>
      <c r="C900" s="1" t="s">
        <v>325</v>
      </c>
      <c r="D900" s="1" t="s">
        <v>770</v>
      </c>
      <c r="E900">
        <v>1</v>
      </c>
      <c r="F900" s="4">
        <v>348.24</v>
      </c>
      <c r="G900" s="3">
        <v>0.3</v>
      </c>
      <c r="H900" s="4">
        <v>46.09</v>
      </c>
      <c r="I900" t="str">
        <f>VLOOKUP(orders__17[[#This Row],[Customer_ID]],customers__2[#All],3,0)</f>
        <v>North</v>
      </c>
      <c r="J900" t="str">
        <f>VLOOKUP(orders__17[[#This Row],[Customer_ID]],customers__2[#All],4,0)</f>
        <v>Corporate</v>
      </c>
      <c r="K900" t="str">
        <f>VLOOKUP(orders__17[[#This Row],[Product_ID]],products[#All],3,0)</f>
        <v>Technology</v>
      </c>
      <c r="L900" s="1" t="str">
        <f>VLOOKUP(orders__17[[#This Row],[Product_ID]],products[#All],4,0)</f>
        <v>Accessories</v>
      </c>
      <c r="M900" s="1" t="str">
        <f>VLOOKUP(orders__17[[#This Row],[Order_ID]],returns[#All],2,0)</f>
        <v>No</v>
      </c>
    </row>
    <row r="901" spans="1:13" x14ac:dyDescent="0.3">
      <c r="A901" s="1" t="s">
        <v>1207</v>
      </c>
      <c r="B901" s="2">
        <v>44838</v>
      </c>
      <c r="C901" s="1" t="s">
        <v>605</v>
      </c>
      <c r="D901" s="1" t="s">
        <v>278</v>
      </c>
      <c r="E901">
        <v>3</v>
      </c>
      <c r="F901" s="4">
        <v>1601.97</v>
      </c>
      <c r="G901" s="3">
        <v>0.2</v>
      </c>
      <c r="H901" s="4">
        <v>357.79</v>
      </c>
      <c r="I901" t="str">
        <f>VLOOKUP(orders__17[[#This Row],[Customer_ID]],customers__2[#All],3,0)</f>
        <v>West</v>
      </c>
      <c r="J901" t="str">
        <f>VLOOKUP(orders__17[[#This Row],[Customer_ID]],customers__2[#All],4,0)</f>
        <v>Corporate</v>
      </c>
      <c r="K901" t="str">
        <f>VLOOKUP(orders__17[[#This Row],[Product_ID]],products[#All],3,0)</f>
        <v>Office Supplies</v>
      </c>
      <c r="L901" s="1" t="str">
        <f>VLOOKUP(orders__17[[#This Row],[Product_ID]],products[#All],4,0)</f>
        <v>Pen</v>
      </c>
      <c r="M901" s="1" t="str">
        <f>VLOOKUP(orders__17[[#This Row],[Order_ID]],returns[#All],2,0)</f>
        <v>Yes</v>
      </c>
    </row>
    <row r="902" spans="1:13" x14ac:dyDescent="0.3">
      <c r="A902" s="1" t="s">
        <v>1208</v>
      </c>
      <c r="B902" s="2">
        <v>44934</v>
      </c>
      <c r="C902" s="1" t="s">
        <v>36</v>
      </c>
      <c r="D902" s="1" t="s">
        <v>28</v>
      </c>
      <c r="E902">
        <v>3</v>
      </c>
      <c r="F902" s="4">
        <v>337.16</v>
      </c>
      <c r="G902" s="3">
        <v>0.1</v>
      </c>
      <c r="H902" s="4">
        <v>81.44</v>
      </c>
      <c r="I902" t="str">
        <f>VLOOKUP(orders__17[[#This Row],[Customer_ID]],customers__2[#All],3,0)</f>
        <v>North</v>
      </c>
      <c r="J902" t="str">
        <f>VLOOKUP(orders__17[[#This Row],[Customer_ID]],customers__2[#All],4,0)</f>
        <v>Consumer</v>
      </c>
      <c r="K902" t="str">
        <f>VLOOKUP(orders__17[[#This Row],[Product_ID]],products[#All],3,0)</f>
        <v>Office Supplies</v>
      </c>
      <c r="L902" s="1" t="str">
        <f>VLOOKUP(orders__17[[#This Row],[Product_ID]],products[#All],4,0)</f>
        <v>Storage</v>
      </c>
      <c r="M902" s="1" t="str">
        <f>VLOOKUP(orders__17[[#This Row],[Order_ID]],returns[#All],2,0)</f>
        <v>No</v>
      </c>
    </row>
    <row r="903" spans="1:13" x14ac:dyDescent="0.3">
      <c r="A903" s="1" t="s">
        <v>1209</v>
      </c>
      <c r="B903" s="2">
        <v>44642</v>
      </c>
      <c r="C903" s="1" t="s">
        <v>328</v>
      </c>
      <c r="D903" s="1" t="s">
        <v>455</v>
      </c>
      <c r="E903">
        <v>1</v>
      </c>
      <c r="F903" s="4">
        <v>1609</v>
      </c>
      <c r="G903" s="3">
        <v>0.2</v>
      </c>
      <c r="H903" s="4">
        <v>202.77</v>
      </c>
      <c r="I903" t="str">
        <f>VLOOKUP(orders__17[[#This Row],[Customer_ID]],customers__2[#All],3,0)</f>
        <v>South</v>
      </c>
      <c r="J903" t="str">
        <f>VLOOKUP(orders__17[[#This Row],[Customer_ID]],customers__2[#All],4,0)</f>
        <v>Corporate</v>
      </c>
      <c r="K903" t="str">
        <f>VLOOKUP(orders__17[[#This Row],[Product_ID]],products[#All],3,0)</f>
        <v>Furniture</v>
      </c>
      <c r="L903" s="1" t="str">
        <f>VLOOKUP(orders__17[[#This Row],[Product_ID]],products[#All],4,0)</f>
        <v>Shelf</v>
      </c>
      <c r="M903" s="1" t="str">
        <f>VLOOKUP(orders__17[[#This Row],[Order_ID]],returns[#All],2,0)</f>
        <v>No</v>
      </c>
    </row>
    <row r="904" spans="1:13" x14ac:dyDescent="0.3">
      <c r="A904" s="1" t="s">
        <v>1210</v>
      </c>
      <c r="B904" s="2">
        <v>45425</v>
      </c>
      <c r="C904" s="1" t="s">
        <v>18</v>
      </c>
      <c r="D904" s="1" t="s">
        <v>37</v>
      </c>
      <c r="E904">
        <v>5</v>
      </c>
      <c r="F904" s="4">
        <v>623.96</v>
      </c>
      <c r="G904" s="3">
        <v>0</v>
      </c>
      <c r="H904" s="4">
        <v>157.80000000000001</v>
      </c>
      <c r="I904" t="str">
        <f>VLOOKUP(orders__17[[#This Row],[Customer_ID]],customers__2[#All],3,0)</f>
        <v>North</v>
      </c>
      <c r="J904" t="str">
        <f>VLOOKUP(orders__17[[#This Row],[Customer_ID]],customers__2[#All],4,0)</f>
        <v>Home Office</v>
      </c>
      <c r="K904" t="str">
        <f>VLOOKUP(orders__17[[#This Row],[Product_ID]],products[#All],3,0)</f>
        <v>Furniture</v>
      </c>
      <c r="L904" s="1" t="str">
        <f>VLOOKUP(orders__17[[#This Row],[Product_ID]],products[#All],4,0)</f>
        <v>Desk</v>
      </c>
      <c r="M904" s="1" t="str">
        <f>VLOOKUP(orders__17[[#This Row],[Order_ID]],returns[#All],2,0)</f>
        <v>No</v>
      </c>
    </row>
    <row r="905" spans="1:13" x14ac:dyDescent="0.3">
      <c r="A905" s="1" t="s">
        <v>1211</v>
      </c>
      <c r="B905" s="2">
        <v>45163</v>
      </c>
      <c r="C905" s="1" t="s">
        <v>56</v>
      </c>
      <c r="D905" s="1" t="s">
        <v>177</v>
      </c>
      <c r="E905">
        <v>4</v>
      </c>
      <c r="F905" s="4">
        <v>1766.47</v>
      </c>
      <c r="G905" s="3">
        <v>0.1</v>
      </c>
      <c r="H905" s="4">
        <v>218.12</v>
      </c>
      <c r="I905" t="str">
        <f>VLOOKUP(orders__17[[#This Row],[Customer_ID]],customers__2[#All],3,0)</f>
        <v>South</v>
      </c>
      <c r="J905" t="str">
        <f>VLOOKUP(orders__17[[#This Row],[Customer_ID]],customers__2[#All],4,0)</f>
        <v>Consumer</v>
      </c>
      <c r="K905" t="str">
        <f>VLOOKUP(orders__17[[#This Row],[Product_ID]],products[#All],3,0)</f>
        <v>Furniture</v>
      </c>
      <c r="L905" s="1" t="str">
        <f>VLOOKUP(orders__17[[#This Row],[Product_ID]],products[#All],4,0)</f>
        <v>Table</v>
      </c>
      <c r="M905" s="1" t="str">
        <f>VLOOKUP(orders__17[[#This Row],[Order_ID]],returns[#All],2,0)</f>
        <v>Yes</v>
      </c>
    </row>
    <row r="906" spans="1:13" x14ac:dyDescent="0.3">
      <c r="A906" s="1" t="s">
        <v>1212</v>
      </c>
      <c r="B906" s="2">
        <v>45055</v>
      </c>
      <c r="C906" s="1" t="s">
        <v>482</v>
      </c>
      <c r="D906" s="1" t="s">
        <v>323</v>
      </c>
      <c r="E906">
        <v>4</v>
      </c>
      <c r="F906" s="4">
        <v>1893.68</v>
      </c>
      <c r="G906" s="3">
        <v>0.1</v>
      </c>
      <c r="H906" s="4">
        <v>305.98</v>
      </c>
      <c r="I906" t="str">
        <f>VLOOKUP(orders__17[[#This Row],[Customer_ID]],customers__2[#All],3,0)</f>
        <v>North</v>
      </c>
      <c r="J906" t="str">
        <f>VLOOKUP(orders__17[[#This Row],[Customer_ID]],customers__2[#All],4,0)</f>
        <v>Consumer</v>
      </c>
      <c r="K906" t="str">
        <f>VLOOKUP(orders__17[[#This Row],[Product_ID]],products[#All],3,0)</f>
        <v>Technology</v>
      </c>
      <c r="L906" s="1" t="str">
        <f>VLOOKUP(orders__17[[#This Row],[Product_ID]],products[#All],4,0)</f>
        <v>Tablet</v>
      </c>
      <c r="M906" s="1" t="str">
        <f>VLOOKUP(orders__17[[#This Row],[Order_ID]],returns[#All],2,0)</f>
        <v>No</v>
      </c>
    </row>
    <row r="907" spans="1:13" x14ac:dyDescent="0.3">
      <c r="A907" s="1" t="s">
        <v>1213</v>
      </c>
      <c r="B907" s="2">
        <v>45445</v>
      </c>
      <c r="C907" s="1" t="s">
        <v>321</v>
      </c>
      <c r="D907" s="1" t="s">
        <v>211</v>
      </c>
      <c r="E907">
        <v>2</v>
      </c>
      <c r="F907" s="4">
        <v>382.71</v>
      </c>
      <c r="G907" s="3">
        <v>0.3</v>
      </c>
      <c r="H907" s="4">
        <v>88.69</v>
      </c>
      <c r="I907" t="str">
        <f>VLOOKUP(orders__17[[#This Row],[Customer_ID]],customers__2[#All],3,0)</f>
        <v>South</v>
      </c>
      <c r="J907" t="str">
        <f>VLOOKUP(orders__17[[#This Row],[Customer_ID]],customers__2[#All],4,0)</f>
        <v>Corporate</v>
      </c>
      <c r="K907" t="str">
        <f>VLOOKUP(orders__17[[#This Row],[Product_ID]],products[#All],3,0)</f>
        <v>Office Supplies</v>
      </c>
      <c r="L907" s="1" t="str">
        <f>VLOOKUP(orders__17[[#This Row],[Product_ID]],products[#All],4,0)</f>
        <v>Binder</v>
      </c>
      <c r="M907" s="1" t="str">
        <f>VLOOKUP(orders__17[[#This Row],[Order_ID]],returns[#All],2,0)</f>
        <v>No</v>
      </c>
    </row>
    <row r="908" spans="1:13" x14ac:dyDescent="0.3">
      <c r="A908" s="1" t="s">
        <v>1214</v>
      </c>
      <c r="B908" s="2">
        <v>45251</v>
      </c>
      <c r="C908" s="1" t="s">
        <v>360</v>
      </c>
      <c r="D908" s="1" t="s">
        <v>72</v>
      </c>
      <c r="E908">
        <v>5</v>
      </c>
      <c r="F908" s="4">
        <v>979.08</v>
      </c>
      <c r="G908" s="3">
        <v>0</v>
      </c>
      <c r="H908" s="4">
        <v>218.56</v>
      </c>
      <c r="I908" t="str">
        <f>VLOOKUP(orders__17[[#This Row],[Customer_ID]],customers__2[#All],3,0)</f>
        <v>South</v>
      </c>
      <c r="J908" t="str">
        <f>VLOOKUP(orders__17[[#This Row],[Customer_ID]],customers__2[#All],4,0)</f>
        <v>Home Office</v>
      </c>
      <c r="K908" t="str">
        <f>VLOOKUP(orders__17[[#This Row],[Product_ID]],products[#All],3,0)</f>
        <v>Furniture</v>
      </c>
      <c r="L908" s="1" t="str">
        <f>VLOOKUP(orders__17[[#This Row],[Product_ID]],products[#All],4,0)</f>
        <v>Chair</v>
      </c>
      <c r="M908" s="1" t="str">
        <f>VLOOKUP(orders__17[[#This Row],[Order_ID]],returns[#All],2,0)</f>
        <v>No</v>
      </c>
    </row>
    <row r="909" spans="1:13" x14ac:dyDescent="0.3">
      <c r="A909" s="1" t="s">
        <v>1215</v>
      </c>
      <c r="B909" s="2">
        <v>44575</v>
      </c>
      <c r="C909" s="1" t="s">
        <v>468</v>
      </c>
      <c r="D909" s="1" t="s">
        <v>54</v>
      </c>
      <c r="E909">
        <v>3</v>
      </c>
      <c r="F909" s="4">
        <v>1963.88</v>
      </c>
      <c r="G909" s="3">
        <v>0.3</v>
      </c>
      <c r="H909" s="4">
        <v>582.96</v>
      </c>
      <c r="I909" t="str">
        <f>VLOOKUP(orders__17[[#This Row],[Customer_ID]],customers__2[#All],3,0)</f>
        <v>South</v>
      </c>
      <c r="J909" t="str">
        <f>VLOOKUP(orders__17[[#This Row],[Customer_ID]],customers__2[#All],4,0)</f>
        <v>Consumer</v>
      </c>
      <c r="K909" t="str">
        <f>VLOOKUP(orders__17[[#This Row],[Product_ID]],products[#All],3,0)</f>
        <v>Office Supplies</v>
      </c>
      <c r="L909" s="1" t="str">
        <f>VLOOKUP(orders__17[[#This Row],[Product_ID]],products[#All],4,0)</f>
        <v>Binder</v>
      </c>
      <c r="M909" s="1" t="str">
        <f>VLOOKUP(orders__17[[#This Row],[Order_ID]],returns[#All],2,0)</f>
        <v>No</v>
      </c>
    </row>
    <row r="910" spans="1:13" x14ac:dyDescent="0.3">
      <c r="A910" s="1" t="s">
        <v>1216</v>
      </c>
      <c r="B910" s="2">
        <v>44824</v>
      </c>
      <c r="C910" s="1" t="s">
        <v>657</v>
      </c>
      <c r="D910" s="1" t="s">
        <v>22</v>
      </c>
      <c r="E910">
        <v>1</v>
      </c>
      <c r="F910" s="4">
        <v>1018.47</v>
      </c>
      <c r="G910" s="3">
        <v>0.1</v>
      </c>
      <c r="H910" s="4">
        <v>108.25</v>
      </c>
      <c r="I910" t="str">
        <f>VLOOKUP(orders__17[[#This Row],[Customer_ID]],customers__2[#All],3,0)</f>
        <v>East</v>
      </c>
      <c r="J910" t="str">
        <f>VLOOKUP(orders__17[[#This Row],[Customer_ID]],customers__2[#All],4,0)</f>
        <v>Corporate</v>
      </c>
      <c r="K910" t="str">
        <f>VLOOKUP(orders__17[[#This Row],[Product_ID]],products[#All],3,0)</f>
        <v>Furniture</v>
      </c>
      <c r="L910" s="1" t="str">
        <f>VLOOKUP(orders__17[[#This Row],[Product_ID]],products[#All],4,0)</f>
        <v>Chair</v>
      </c>
      <c r="M910" s="1" t="str">
        <f>VLOOKUP(orders__17[[#This Row],[Order_ID]],returns[#All],2,0)</f>
        <v>No</v>
      </c>
    </row>
    <row r="911" spans="1:13" x14ac:dyDescent="0.3">
      <c r="A911" s="1" t="s">
        <v>1217</v>
      </c>
      <c r="B911" s="2">
        <v>44636</v>
      </c>
      <c r="C911" s="1" t="s">
        <v>194</v>
      </c>
      <c r="D911" s="1" t="s">
        <v>119</v>
      </c>
      <c r="E911">
        <v>2</v>
      </c>
      <c r="F911" s="4">
        <v>1740.74</v>
      </c>
      <c r="G911" s="3">
        <v>0</v>
      </c>
      <c r="H911" s="4">
        <v>375.27</v>
      </c>
      <c r="I911" t="str">
        <f>VLOOKUP(orders__17[[#This Row],[Customer_ID]],customers__2[#All],3,0)</f>
        <v>North</v>
      </c>
      <c r="J911" t="str">
        <f>VLOOKUP(orders__17[[#This Row],[Customer_ID]],customers__2[#All],4,0)</f>
        <v>Home Office</v>
      </c>
      <c r="K911" t="str">
        <f>VLOOKUP(orders__17[[#This Row],[Product_ID]],products[#All],3,0)</f>
        <v>Technology</v>
      </c>
      <c r="L911" s="1" t="str">
        <f>VLOOKUP(orders__17[[#This Row],[Product_ID]],products[#All],4,0)</f>
        <v>Tablet</v>
      </c>
      <c r="M911" s="1" t="str">
        <f>VLOOKUP(orders__17[[#This Row],[Order_ID]],returns[#All],2,0)</f>
        <v>No</v>
      </c>
    </row>
    <row r="912" spans="1:13" x14ac:dyDescent="0.3">
      <c r="A912" s="1" t="s">
        <v>1218</v>
      </c>
      <c r="B912" s="2">
        <v>45185</v>
      </c>
      <c r="C912" s="1" t="s">
        <v>751</v>
      </c>
      <c r="D912" s="1" t="s">
        <v>141</v>
      </c>
      <c r="E912">
        <v>4</v>
      </c>
      <c r="F912" s="4">
        <v>1218.5899999999999</v>
      </c>
      <c r="G912" s="3">
        <v>0.1</v>
      </c>
      <c r="H912" s="4">
        <v>246.67</v>
      </c>
      <c r="I912" t="str">
        <f>VLOOKUP(orders__17[[#This Row],[Customer_ID]],customers__2[#All],3,0)</f>
        <v>North</v>
      </c>
      <c r="J912" t="str">
        <f>VLOOKUP(orders__17[[#This Row],[Customer_ID]],customers__2[#All],4,0)</f>
        <v>Corporate</v>
      </c>
      <c r="K912" t="str">
        <f>VLOOKUP(orders__17[[#This Row],[Product_ID]],products[#All],3,0)</f>
        <v>Technology</v>
      </c>
      <c r="L912" s="1" t="str">
        <f>VLOOKUP(orders__17[[#This Row],[Product_ID]],products[#All],4,0)</f>
        <v>Phone</v>
      </c>
      <c r="M912" s="1" t="str">
        <f>VLOOKUP(orders__17[[#This Row],[Order_ID]],returns[#All],2,0)</f>
        <v>No</v>
      </c>
    </row>
    <row r="913" spans="1:13" x14ac:dyDescent="0.3">
      <c r="A913" s="1" t="s">
        <v>1219</v>
      </c>
      <c r="B913" s="2">
        <v>45294</v>
      </c>
      <c r="C913" s="1" t="s">
        <v>709</v>
      </c>
      <c r="D913" s="1" t="s">
        <v>92</v>
      </c>
      <c r="E913">
        <v>3</v>
      </c>
      <c r="F913" s="4">
        <v>813.13</v>
      </c>
      <c r="G913" s="3">
        <v>0</v>
      </c>
      <c r="H913" s="4">
        <v>226.68</v>
      </c>
      <c r="I913" t="str">
        <f>VLOOKUP(orders__17[[#This Row],[Customer_ID]],customers__2[#All],3,0)</f>
        <v>East</v>
      </c>
      <c r="J913" t="str">
        <f>VLOOKUP(orders__17[[#This Row],[Customer_ID]],customers__2[#All],4,0)</f>
        <v>Home Office</v>
      </c>
      <c r="K913" t="str">
        <f>VLOOKUP(orders__17[[#This Row],[Product_ID]],products[#All],3,0)</f>
        <v>Furniture</v>
      </c>
      <c r="L913" s="1" t="str">
        <f>VLOOKUP(orders__17[[#This Row],[Product_ID]],products[#All],4,0)</f>
        <v>Shelf</v>
      </c>
      <c r="M913" s="1" t="str">
        <f>VLOOKUP(orders__17[[#This Row],[Order_ID]],returns[#All],2,0)</f>
        <v>No</v>
      </c>
    </row>
    <row r="914" spans="1:13" x14ac:dyDescent="0.3">
      <c r="A914" s="1" t="s">
        <v>1220</v>
      </c>
      <c r="B914" s="2">
        <v>45318</v>
      </c>
      <c r="C914" s="1" t="s">
        <v>231</v>
      </c>
      <c r="D914" s="1" t="s">
        <v>111</v>
      </c>
      <c r="E914">
        <v>3</v>
      </c>
      <c r="F914" s="4">
        <v>642.99</v>
      </c>
      <c r="G914" s="3">
        <v>0.1</v>
      </c>
      <c r="H914" s="4">
        <v>57.28</v>
      </c>
      <c r="I914" t="str">
        <f>VLOOKUP(orders__17[[#This Row],[Customer_ID]],customers__2[#All],3,0)</f>
        <v>South</v>
      </c>
      <c r="J914" t="str">
        <f>VLOOKUP(orders__17[[#This Row],[Customer_ID]],customers__2[#All],4,0)</f>
        <v>Consumer</v>
      </c>
      <c r="K914" t="str">
        <f>VLOOKUP(orders__17[[#This Row],[Product_ID]],products[#All],3,0)</f>
        <v>Technology</v>
      </c>
      <c r="L914" s="1" t="str">
        <f>VLOOKUP(orders__17[[#This Row],[Product_ID]],products[#All],4,0)</f>
        <v>Accessories</v>
      </c>
      <c r="M914" s="1" t="str">
        <f>VLOOKUP(orders__17[[#This Row],[Order_ID]],returns[#All],2,0)</f>
        <v>Yes</v>
      </c>
    </row>
    <row r="915" spans="1:13" x14ac:dyDescent="0.3">
      <c r="A915" s="1" t="s">
        <v>1221</v>
      </c>
      <c r="B915" s="2">
        <v>44723</v>
      </c>
      <c r="C915" s="1" t="s">
        <v>803</v>
      </c>
      <c r="D915" s="1" t="s">
        <v>757</v>
      </c>
      <c r="E915">
        <v>1</v>
      </c>
      <c r="F915" s="4">
        <v>486.12</v>
      </c>
      <c r="G915" s="3">
        <v>0.2</v>
      </c>
      <c r="H915" s="4">
        <v>115.67</v>
      </c>
      <c r="I915" t="str">
        <f>VLOOKUP(orders__17[[#This Row],[Customer_ID]],customers__2[#All],3,0)</f>
        <v>South</v>
      </c>
      <c r="J915" t="str">
        <f>VLOOKUP(orders__17[[#This Row],[Customer_ID]],customers__2[#All],4,0)</f>
        <v>Consumer</v>
      </c>
      <c r="K915" t="str">
        <f>VLOOKUP(orders__17[[#This Row],[Product_ID]],products[#All],3,0)</f>
        <v>Office Supplies</v>
      </c>
      <c r="L915" s="1" t="str">
        <f>VLOOKUP(orders__17[[#This Row],[Product_ID]],products[#All],4,0)</f>
        <v>Pen</v>
      </c>
      <c r="M915" s="1" t="str">
        <f>VLOOKUP(orders__17[[#This Row],[Order_ID]],returns[#All],2,0)</f>
        <v>No</v>
      </c>
    </row>
    <row r="916" spans="1:13" x14ac:dyDescent="0.3">
      <c r="A916" s="1" t="s">
        <v>1222</v>
      </c>
      <c r="B916" s="2">
        <v>44729</v>
      </c>
      <c r="C916" s="1" t="s">
        <v>406</v>
      </c>
      <c r="D916" s="1" t="s">
        <v>78</v>
      </c>
      <c r="E916">
        <v>4</v>
      </c>
      <c r="F916" s="4">
        <v>1547.42</v>
      </c>
      <c r="G916" s="3">
        <v>0.2</v>
      </c>
      <c r="H916" s="4">
        <v>297.20999999999998</v>
      </c>
      <c r="I916" t="str">
        <f>VLOOKUP(orders__17[[#This Row],[Customer_ID]],customers__2[#All],3,0)</f>
        <v>East</v>
      </c>
      <c r="J916" t="str">
        <f>VLOOKUP(orders__17[[#This Row],[Customer_ID]],customers__2[#All],4,0)</f>
        <v>Home Office</v>
      </c>
      <c r="K916" t="str">
        <f>VLOOKUP(orders__17[[#This Row],[Product_ID]],products[#All],3,0)</f>
        <v>Technology</v>
      </c>
      <c r="L916" s="1" t="str">
        <f>VLOOKUP(orders__17[[#This Row],[Product_ID]],products[#All],4,0)</f>
        <v>Accessories</v>
      </c>
      <c r="M916" s="1" t="str">
        <f>VLOOKUP(orders__17[[#This Row],[Order_ID]],returns[#All],2,0)</f>
        <v>No</v>
      </c>
    </row>
    <row r="917" spans="1:13" x14ac:dyDescent="0.3">
      <c r="A917" s="1" t="s">
        <v>1223</v>
      </c>
      <c r="B917" s="2">
        <v>44747</v>
      </c>
      <c r="C917" s="1" t="s">
        <v>402</v>
      </c>
      <c r="D917" s="1" t="s">
        <v>211</v>
      </c>
      <c r="E917">
        <v>5</v>
      </c>
      <c r="F917" s="4">
        <v>834.43</v>
      </c>
      <c r="G917" s="3">
        <v>0.3</v>
      </c>
      <c r="H917" s="4">
        <v>99.02</v>
      </c>
      <c r="I917" t="str">
        <f>VLOOKUP(orders__17[[#This Row],[Customer_ID]],customers__2[#All],3,0)</f>
        <v>West</v>
      </c>
      <c r="J917" t="str">
        <f>VLOOKUP(orders__17[[#This Row],[Customer_ID]],customers__2[#All],4,0)</f>
        <v>Consumer</v>
      </c>
      <c r="K917" t="str">
        <f>VLOOKUP(orders__17[[#This Row],[Product_ID]],products[#All],3,0)</f>
        <v>Office Supplies</v>
      </c>
      <c r="L917" s="1" t="str">
        <f>VLOOKUP(orders__17[[#This Row],[Product_ID]],products[#All],4,0)</f>
        <v>Binder</v>
      </c>
      <c r="M917" s="1" t="str">
        <f>VLOOKUP(orders__17[[#This Row],[Order_ID]],returns[#All],2,0)</f>
        <v>No</v>
      </c>
    </row>
    <row r="918" spans="1:13" x14ac:dyDescent="0.3">
      <c r="A918" s="1" t="s">
        <v>1224</v>
      </c>
      <c r="B918" s="2">
        <v>45106</v>
      </c>
      <c r="C918" s="1" t="s">
        <v>321</v>
      </c>
      <c r="D918" s="1" t="s">
        <v>51</v>
      </c>
      <c r="E918">
        <v>3</v>
      </c>
      <c r="F918" s="4">
        <v>1071.42</v>
      </c>
      <c r="G918" s="3">
        <v>0.2</v>
      </c>
      <c r="H918" s="4">
        <v>180.65</v>
      </c>
      <c r="I918" t="str">
        <f>VLOOKUP(orders__17[[#This Row],[Customer_ID]],customers__2[#All],3,0)</f>
        <v>South</v>
      </c>
      <c r="J918" t="str">
        <f>VLOOKUP(orders__17[[#This Row],[Customer_ID]],customers__2[#All],4,0)</f>
        <v>Corporate</v>
      </c>
      <c r="K918" t="str">
        <f>VLOOKUP(orders__17[[#This Row],[Product_ID]],products[#All],3,0)</f>
        <v>Office Supplies</v>
      </c>
      <c r="L918" s="1" t="str">
        <f>VLOOKUP(orders__17[[#This Row],[Product_ID]],products[#All],4,0)</f>
        <v>Pen</v>
      </c>
      <c r="M918" s="1" t="str">
        <f>VLOOKUP(orders__17[[#This Row],[Order_ID]],returns[#All],2,0)</f>
        <v>No</v>
      </c>
    </row>
    <row r="919" spans="1:13" x14ac:dyDescent="0.3">
      <c r="A919" s="1" t="s">
        <v>1225</v>
      </c>
      <c r="B919" s="2">
        <v>45372</v>
      </c>
      <c r="C919" s="1" t="s">
        <v>360</v>
      </c>
      <c r="D919" s="1" t="s">
        <v>132</v>
      </c>
      <c r="E919">
        <v>1</v>
      </c>
      <c r="F919" s="4">
        <v>1035.42</v>
      </c>
      <c r="G919" s="3">
        <v>0.1</v>
      </c>
      <c r="H919" s="4">
        <v>138.16999999999999</v>
      </c>
      <c r="I919" t="str">
        <f>VLOOKUP(orders__17[[#This Row],[Customer_ID]],customers__2[#All],3,0)</f>
        <v>South</v>
      </c>
      <c r="J919" t="str">
        <f>VLOOKUP(orders__17[[#This Row],[Customer_ID]],customers__2[#All],4,0)</f>
        <v>Home Office</v>
      </c>
      <c r="K919" t="str">
        <f>VLOOKUP(orders__17[[#This Row],[Product_ID]],products[#All],3,0)</f>
        <v>Furniture</v>
      </c>
      <c r="L919" s="1" t="str">
        <f>VLOOKUP(orders__17[[#This Row],[Product_ID]],products[#All],4,0)</f>
        <v>Shelf</v>
      </c>
      <c r="M919" s="1" t="str">
        <f>VLOOKUP(orders__17[[#This Row],[Order_ID]],returns[#All],2,0)</f>
        <v>Yes</v>
      </c>
    </row>
    <row r="920" spans="1:13" x14ac:dyDescent="0.3">
      <c r="A920" s="1" t="s">
        <v>1226</v>
      </c>
      <c r="B920" s="2">
        <v>44692</v>
      </c>
      <c r="C920" s="1" t="s">
        <v>800</v>
      </c>
      <c r="D920" s="1" t="s">
        <v>37</v>
      </c>
      <c r="E920">
        <v>5</v>
      </c>
      <c r="F920" s="4">
        <v>1196.83</v>
      </c>
      <c r="G920" s="3">
        <v>0.1</v>
      </c>
      <c r="H920" s="4">
        <v>233.18</v>
      </c>
      <c r="I920" t="str">
        <f>VLOOKUP(orders__17[[#This Row],[Customer_ID]],customers__2[#All],3,0)</f>
        <v>North</v>
      </c>
      <c r="J920" t="str">
        <f>VLOOKUP(orders__17[[#This Row],[Customer_ID]],customers__2[#All],4,0)</f>
        <v>Corporate</v>
      </c>
      <c r="K920" t="str">
        <f>VLOOKUP(orders__17[[#This Row],[Product_ID]],products[#All],3,0)</f>
        <v>Furniture</v>
      </c>
      <c r="L920" s="1" t="str">
        <f>VLOOKUP(orders__17[[#This Row],[Product_ID]],products[#All],4,0)</f>
        <v>Desk</v>
      </c>
      <c r="M920" s="1" t="str">
        <f>VLOOKUP(orders__17[[#This Row],[Order_ID]],returns[#All],2,0)</f>
        <v>Yes</v>
      </c>
    </row>
    <row r="921" spans="1:13" x14ac:dyDescent="0.3">
      <c r="A921" s="1" t="s">
        <v>1227</v>
      </c>
      <c r="B921" s="2">
        <v>45452</v>
      </c>
      <c r="C921" s="1" t="s">
        <v>834</v>
      </c>
      <c r="D921" s="1" t="s">
        <v>275</v>
      </c>
      <c r="E921">
        <v>4</v>
      </c>
      <c r="F921" s="4">
        <v>1744.6</v>
      </c>
      <c r="G921" s="3">
        <v>0.2</v>
      </c>
      <c r="H921" s="4">
        <v>474.97</v>
      </c>
      <c r="I921" t="str">
        <f>VLOOKUP(orders__17[[#This Row],[Customer_ID]],customers__2[#All],3,0)</f>
        <v>South</v>
      </c>
      <c r="J921" t="str">
        <f>VLOOKUP(orders__17[[#This Row],[Customer_ID]],customers__2[#All],4,0)</f>
        <v>Consumer</v>
      </c>
      <c r="K921" t="str">
        <f>VLOOKUP(orders__17[[#This Row],[Product_ID]],products[#All],3,0)</f>
        <v>Furniture</v>
      </c>
      <c r="L921" s="1" t="str">
        <f>VLOOKUP(orders__17[[#This Row],[Product_ID]],products[#All],4,0)</f>
        <v>Table</v>
      </c>
      <c r="M921" s="1" t="str">
        <f>VLOOKUP(orders__17[[#This Row],[Order_ID]],returns[#All],2,0)</f>
        <v>No</v>
      </c>
    </row>
    <row r="922" spans="1:13" x14ac:dyDescent="0.3">
      <c r="A922" s="1" t="s">
        <v>1228</v>
      </c>
      <c r="B922" s="2">
        <v>45259</v>
      </c>
      <c r="C922" s="1" t="s">
        <v>336</v>
      </c>
      <c r="D922" s="1" t="s">
        <v>186</v>
      </c>
      <c r="E922">
        <v>3</v>
      </c>
      <c r="F922" s="4">
        <v>1963.4</v>
      </c>
      <c r="G922" s="3">
        <v>0.3</v>
      </c>
      <c r="H922" s="4">
        <v>377.61</v>
      </c>
      <c r="I922" t="str">
        <f>VLOOKUP(orders__17[[#This Row],[Customer_ID]],customers__2[#All],3,0)</f>
        <v>South</v>
      </c>
      <c r="J922" t="str">
        <f>VLOOKUP(orders__17[[#This Row],[Customer_ID]],customers__2[#All],4,0)</f>
        <v>Consumer</v>
      </c>
      <c r="K922" t="str">
        <f>VLOOKUP(orders__17[[#This Row],[Product_ID]],products[#All],3,0)</f>
        <v>Technology</v>
      </c>
      <c r="L922" s="1" t="str">
        <f>VLOOKUP(orders__17[[#This Row],[Product_ID]],products[#All],4,0)</f>
        <v>Laptop</v>
      </c>
      <c r="M922" s="1" t="str">
        <f>VLOOKUP(orders__17[[#This Row],[Order_ID]],returns[#All],2,0)</f>
        <v>No</v>
      </c>
    </row>
    <row r="923" spans="1:13" x14ac:dyDescent="0.3">
      <c r="A923" s="1" t="s">
        <v>1229</v>
      </c>
      <c r="B923" s="2">
        <v>44951</v>
      </c>
      <c r="C923" s="1" t="s">
        <v>42</v>
      </c>
      <c r="D923" s="1" t="s">
        <v>22</v>
      </c>
      <c r="E923">
        <v>5</v>
      </c>
      <c r="F923" s="4">
        <v>874.41</v>
      </c>
      <c r="G923" s="3">
        <v>0.2</v>
      </c>
      <c r="H923" s="4">
        <v>181.82</v>
      </c>
      <c r="I923" t="str">
        <f>VLOOKUP(orders__17[[#This Row],[Customer_ID]],customers__2[#All],3,0)</f>
        <v>North</v>
      </c>
      <c r="J923" t="str">
        <f>VLOOKUP(orders__17[[#This Row],[Customer_ID]],customers__2[#All],4,0)</f>
        <v>Corporate</v>
      </c>
      <c r="K923" t="str">
        <f>VLOOKUP(orders__17[[#This Row],[Product_ID]],products[#All],3,0)</f>
        <v>Furniture</v>
      </c>
      <c r="L923" s="1" t="str">
        <f>VLOOKUP(orders__17[[#This Row],[Product_ID]],products[#All],4,0)</f>
        <v>Chair</v>
      </c>
      <c r="M923" s="1" t="str">
        <f>VLOOKUP(orders__17[[#This Row],[Order_ID]],returns[#All],2,0)</f>
        <v>No</v>
      </c>
    </row>
    <row r="924" spans="1:13" x14ac:dyDescent="0.3">
      <c r="A924" s="1" t="s">
        <v>1230</v>
      </c>
      <c r="B924" s="2">
        <v>44925</v>
      </c>
      <c r="C924" s="1" t="s">
        <v>442</v>
      </c>
      <c r="D924" s="1" t="s">
        <v>109</v>
      </c>
      <c r="E924">
        <v>5</v>
      </c>
      <c r="F924" s="4">
        <v>1672.29</v>
      </c>
      <c r="G924" s="3">
        <v>0</v>
      </c>
      <c r="H924" s="4">
        <v>300.49</v>
      </c>
      <c r="I924" t="str">
        <f>VLOOKUP(orders__17[[#This Row],[Customer_ID]],customers__2[#All],3,0)</f>
        <v>North</v>
      </c>
      <c r="J924" t="str">
        <f>VLOOKUP(orders__17[[#This Row],[Customer_ID]],customers__2[#All],4,0)</f>
        <v>Consumer</v>
      </c>
      <c r="K924" t="str">
        <f>VLOOKUP(orders__17[[#This Row],[Product_ID]],products[#All],3,0)</f>
        <v>Furniture</v>
      </c>
      <c r="L924" s="1" t="str">
        <f>VLOOKUP(orders__17[[#This Row],[Product_ID]],products[#All],4,0)</f>
        <v>Chair</v>
      </c>
      <c r="M924" s="1" t="str">
        <f>VLOOKUP(orders__17[[#This Row],[Order_ID]],returns[#All],2,0)</f>
        <v>No</v>
      </c>
    </row>
    <row r="925" spans="1:13" x14ac:dyDescent="0.3">
      <c r="A925" s="1" t="s">
        <v>1231</v>
      </c>
      <c r="B925" s="2">
        <v>44683</v>
      </c>
      <c r="C925" s="1" t="s">
        <v>165</v>
      </c>
      <c r="D925" s="1" t="s">
        <v>218</v>
      </c>
      <c r="E925">
        <v>5</v>
      </c>
      <c r="F925" s="4">
        <v>1552.6</v>
      </c>
      <c r="G925" s="3">
        <v>0</v>
      </c>
      <c r="H925" s="4">
        <v>97.49</v>
      </c>
      <c r="I925" t="str">
        <f>VLOOKUP(orders__17[[#This Row],[Customer_ID]],customers__2[#All],3,0)</f>
        <v>West</v>
      </c>
      <c r="J925" t="str">
        <f>VLOOKUP(orders__17[[#This Row],[Customer_ID]],customers__2[#All],4,0)</f>
        <v>Corporate</v>
      </c>
      <c r="K925" t="str">
        <f>VLOOKUP(orders__17[[#This Row],[Product_ID]],products[#All],3,0)</f>
        <v>Office Supplies</v>
      </c>
      <c r="L925" s="1" t="str">
        <f>VLOOKUP(orders__17[[#This Row],[Product_ID]],products[#All],4,0)</f>
        <v>Storage</v>
      </c>
      <c r="M925" s="1" t="str">
        <f>VLOOKUP(orders__17[[#This Row],[Order_ID]],returns[#All],2,0)</f>
        <v>No</v>
      </c>
    </row>
    <row r="926" spans="1:13" x14ac:dyDescent="0.3">
      <c r="A926" s="1" t="s">
        <v>1232</v>
      </c>
      <c r="B926" s="2">
        <v>45337</v>
      </c>
      <c r="C926" s="1" t="s">
        <v>252</v>
      </c>
      <c r="D926" s="1" t="s">
        <v>249</v>
      </c>
      <c r="E926">
        <v>3</v>
      </c>
      <c r="F926" s="4">
        <v>1189.71</v>
      </c>
      <c r="G926" s="3">
        <v>0</v>
      </c>
      <c r="H926" s="4">
        <v>128.74</v>
      </c>
      <c r="I926" t="str">
        <f>VLOOKUP(orders__17[[#This Row],[Customer_ID]],customers__2[#All],3,0)</f>
        <v>North</v>
      </c>
      <c r="J926" t="str">
        <f>VLOOKUP(orders__17[[#This Row],[Customer_ID]],customers__2[#All],4,0)</f>
        <v>Home Office</v>
      </c>
      <c r="K926" t="str">
        <f>VLOOKUP(orders__17[[#This Row],[Product_ID]],products[#All],3,0)</f>
        <v>Office Supplies</v>
      </c>
      <c r="L926" s="1" t="str">
        <f>VLOOKUP(orders__17[[#This Row],[Product_ID]],products[#All],4,0)</f>
        <v>Paper</v>
      </c>
      <c r="M926" s="1" t="str">
        <f>VLOOKUP(orders__17[[#This Row],[Order_ID]],returns[#All],2,0)</f>
        <v>Yes</v>
      </c>
    </row>
    <row r="927" spans="1:13" x14ac:dyDescent="0.3">
      <c r="A927" s="1" t="s">
        <v>1233</v>
      </c>
      <c r="B927" s="2">
        <v>44958</v>
      </c>
      <c r="C927" s="1" t="s">
        <v>598</v>
      </c>
      <c r="D927" s="1" t="s">
        <v>288</v>
      </c>
      <c r="E927">
        <v>3</v>
      </c>
      <c r="F927" s="4">
        <v>1916.49</v>
      </c>
      <c r="G927" s="3">
        <v>0.2</v>
      </c>
      <c r="H927" s="4">
        <v>331.55</v>
      </c>
      <c r="I927" t="str">
        <f>VLOOKUP(orders__17[[#This Row],[Customer_ID]],customers__2[#All],3,0)</f>
        <v>South</v>
      </c>
      <c r="J927" t="str">
        <f>VLOOKUP(orders__17[[#This Row],[Customer_ID]],customers__2[#All],4,0)</f>
        <v>Home Office</v>
      </c>
      <c r="K927" t="str">
        <f>VLOOKUP(orders__17[[#This Row],[Product_ID]],products[#All],3,0)</f>
        <v>Furniture</v>
      </c>
      <c r="L927" s="1" t="str">
        <f>VLOOKUP(orders__17[[#This Row],[Product_ID]],products[#All],4,0)</f>
        <v>Chair</v>
      </c>
      <c r="M927" s="1" t="str">
        <f>VLOOKUP(orders__17[[#This Row],[Order_ID]],returns[#All],2,0)</f>
        <v>Yes</v>
      </c>
    </row>
    <row r="928" spans="1:13" x14ac:dyDescent="0.3">
      <c r="A928" s="1" t="s">
        <v>1234</v>
      </c>
      <c r="B928" s="2">
        <v>45450</v>
      </c>
      <c r="C928" s="1" t="s">
        <v>442</v>
      </c>
      <c r="D928" s="1" t="s">
        <v>239</v>
      </c>
      <c r="E928">
        <v>2</v>
      </c>
      <c r="F928" s="4">
        <v>480.9</v>
      </c>
      <c r="G928" s="3">
        <v>0.2</v>
      </c>
      <c r="H928" s="4">
        <v>61.34</v>
      </c>
      <c r="I928" t="str">
        <f>VLOOKUP(orders__17[[#This Row],[Customer_ID]],customers__2[#All],3,0)</f>
        <v>North</v>
      </c>
      <c r="J928" t="str">
        <f>VLOOKUP(orders__17[[#This Row],[Customer_ID]],customers__2[#All],4,0)</f>
        <v>Consumer</v>
      </c>
      <c r="K928" t="str">
        <f>VLOOKUP(orders__17[[#This Row],[Product_ID]],products[#All],3,0)</f>
        <v>Furniture</v>
      </c>
      <c r="L928" s="1" t="str">
        <f>VLOOKUP(orders__17[[#This Row],[Product_ID]],products[#All],4,0)</f>
        <v>Shelf</v>
      </c>
      <c r="M928" s="1" t="str">
        <f>VLOOKUP(orders__17[[#This Row],[Order_ID]],returns[#All],2,0)</f>
        <v>No</v>
      </c>
    </row>
    <row r="929" spans="1:13" x14ac:dyDescent="0.3">
      <c r="A929" s="1" t="s">
        <v>1235</v>
      </c>
      <c r="B929" s="2">
        <v>45176</v>
      </c>
      <c r="C929" s="1" t="s">
        <v>115</v>
      </c>
      <c r="D929" s="1" t="s">
        <v>130</v>
      </c>
      <c r="E929">
        <v>4</v>
      </c>
      <c r="F929" s="4">
        <v>307.60000000000002</v>
      </c>
      <c r="G929" s="3">
        <v>0.2</v>
      </c>
      <c r="H929" s="4">
        <v>29.36</v>
      </c>
      <c r="I929" t="str">
        <f>VLOOKUP(orders__17[[#This Row],[Customer_ID]],customers__2[#All],3,0)</f>
        <v>South</v>
      </c>
      <c r="J929" t="str">
        <f>VLOOKUP(orders__17[[#This Row],[Customer_ID]],customers__2[#All],4,0)</f>
        <v>Consumer</v>
      </c>
      <c r="K929" t="str">
        <f>VLOOKUP(orders__17[[#This Row],[Product_ID]],products[#All],3,0)</f>
        <v>Furniture</v>
      </c>
      <c r="L929" s="1" t="str">
        <f>VLOOKUP(orders__17[[#This Row],[Product_ID]],products[#All],4,0)</f>
        <v>Desk</v>
      </c>
      <c r="M929" s="1" t="str">
        <f>VLOOKUP(orders__17[[#This Row],[Order_ID]],returns[#All],2,0)</f>
        <v>No</v>
      </c>
    </row>
    <row r="930" spans="1:13" x14ac:dyDescent="0.3">
      <c r="A930" s="1" t="s">
        <v>1236</v>
      </c>
      <c r="B930" s="2">
        <v>45215</v>
      </c>
      <c r="C930" s="1" t="s">
        <v>77</v>
      </c>
      <c r="D930" s="1" t="s">
        <v>288</v>
      </c>
      <c r="E930">
        <v>1</v>
      </c>
      <c r="F930" s="4">
        <v>1722.53</v>
      </c>
      <c r="G930" s="3">
        <v>0</v>
      </c>
      <c r="H930" s="4">
        <v>303.22000000000003</v>
      </c>
      <c r="I930" t="str">
        <f>VLOOKUP(orders__17[[#This Row],[Customer_ID]],customers__2[#All],3,0)</f>
        <v>West</v>
      </c>
      <c r="J930" t="str">
        <f>VLOOKUP(orders__17[[#This Row],[Customer_ID]],customers__2[#All],4,0)</f>
        <v>Consumer</v>
      </c>
      <c r="K930" t="str">
        <f>VLOOKUP(orders__17[[#This Row],[Product_ID]],products[#All],3,0)</f>
        <v>Furniture</v>
      </c>
      <c r="L930" s="1" t="str">
        <f>VLOOKUP(orders__17[[#This Row],[Product_ID]],products[#All],4,0)</f>
        <v>Chair</v>
      </c>
      <c r="M930" s="1" t="str">
        <f>VLOOKUP(orders__17[[#This Row],[Order_ID]],returns[#All],2,0)</f>
        <v>No</v>
      </c>
    </row>
    <row r="931" spans="1:13" x14ac:dyDescent="0.3">
      <c r="A931" s="1" t="s">
        <v>1237</v>
      </c>
      <c r="B931" s="2">
        <v>45369</v>
      </c>
      <c r="C931" s="1" t="s">
        <v>412</v>
      </c>
      <c r="D931" s="1" t="s">
        <v>130</v>
      </c>
      <c r="E931">
        <v>5</v>
      </c>
      <c r="F931" s="4">
        <v>934.38</v>
      </c>
      <c r="G931" s="3">
        <v>0.3</v>
      </c>
      <c r="H931" s="4">
        <v>122.13</v>
      </c>
      <c r="I931" t="str">
        <f>VLOOKUP(orders__17[[#This Row],[Customer_ID]],customers__2[#All],3,0)</f>
        <v>North</v>
      </c>
      <c r="J931" t="str">
        <f>VLOOKUP(orders__17[[#This Row],[Customer_ID]],customers__2[#All],4,0)</f>
        <v>Consumer</v>
      </c>
      <c r="K931" t="str">
        <f>VLOOKUP(orders__17[[#This Row],[Product_ID]],products[#All],3,0)</f>
        <v>Furniture</v>
      </c>
      <c r="L931" s="1" t="str">
        <f>VLOOKUP(orders__17[[#This Row],[Product_ID]],products[#All],4,0)</f>
        <v>Desk</v>
      </c>
      <c r="M931" s="1" t="str">
        <f>VLOOKUP(orders__17[[#This Row],[Order_ID]],returns[#All],2,0)</f>
        <v>No</v>
      </c>
    </row>
    <row r="932" spans="1:13" x14ac:dyDescent="0.3">
      <c r="A932" s="1" t="s">
        <v>1238</v>
      </c>
      <c r="B932" s="2">
        <v>44887</v>
      </c>
      <c r="C932" s="1" t="s">
        <v>268</v>
      </c>
      <c r="D932" s="1" t="s">
        <v>209</v>
      </c>
      <c r="E932">
        <v>2</v>
      </c>
      <c r="F932" s="4">
        <v>1709.24</v>
      </c>
      <c r="G932" s="3">
        <v>0.1</v>
      </c>
      <c r="H932" s="4">
        <v>195.75</v>
      </c>
      <c r="I932" t="str">
        <f>VLOOKUP(orders__17[[#This Row],[Customer_ID]],customers__2[#All],3,0)</f>
        <v>East</v>
      </c>
      <c r="J932" t="str">
        <f>VLOOKUP(orders__17[[#This Row],[Customer_ID]],customers__2[#All],4,0)</f>
        <v>Consumer</v>
      </c>
      <c r="K932" t="str">
        <f>VLOOKUP(orders__17[[#This Row],[Product_ID]],products[#All],3,0)</f>
        <v>Office Supplies</v>
      </c>
      <c r="L932" s="1" t="str">
        <f>VLOOKUP(orders__17[[#This Row],[Product_ID]],products[#All],4,0)</f>
        <v>Paper</v>
      </c>
      <c r="M932" s="1" t="str">
        <f>VLOOKUP(orders__17[[#This Row],[Order_ID]],returns[#All],2,0)</f>
        <v>No</v>
      </c>
    </row>
    <row r="933" spans="1:13" x14ac:dyDescent="0.3">
      <c r="A933" s="1" t="s">
        <v>1239</v>
      </c>
      <c r="B933" s="2">
        <v>45434</v>
      </c>
      <c r="C933" s="1" t="s">
        <v>402</v>
      </c>
      <c r="D933" s="1" t="s">
        <v>147</v>
      </c>
      <c r="E933">
        <v>1</v>
      </c>
      <c r="F933" s="4">
        <v>1796.87</v>
      </c>
      <c r="G933" s="3">
        <v>0.2</v>
      </c>
      <c r="H933" s="4">
        <v>298.27</v>
      </c>
      <c r="I933" t="str">
        <f>VLOOKUP(orders__17[[#This Row],[Customer_ID]],customers__2[#All],3,0)</f>
        <v>West</v>
      </c>
      <c r="J933" t="str">
        <f>VLOOKUP(orders__17[[#This Row],[Customer_ID]],customers__2[#All],4,0)</f>
        <v>Consumer</v>
      </c>
      <c r="K933" t="str">
        <f>VLOOKUP(orders__17[[#This Row],[Product_ID]],products[#All],3,0)</f>
        <v>Technology</v>
      </c>
      <c r="L933" s="1" t="str">
        <f>VLOOKUP(orders__17[[#This Row],[Product_ID]],products[#All],4,0)</f>
        <v>Laptop</v>
      </c>
      <c r="M933" s="1" t="str">
        <f>VLOOKUP(orders__17[[#This Row],[Order_ID]],returns[#All],2,0)</f>
        <v>No</v>
      </c>
    </row>
    <row r="934" spans="1:13" x14ac:dyDescent="0.3">
      <c r="A934" s="1" t="s">
        <v>1240</v>
      </c>
      <c r="B934" s="2">
        <v>44743</v>
      </c>
      <c r="C934" s="1" t="s">
        <v>24</v>
      </c>
      <c r="D934" s="1" t="s">
        <v>22</v>
      </c>
      <c r="E934">
        <v>2</v>
      </c>
      <c r="F934" s="4">
        <v>218.67</v>
      </c>
      <c r="G934" s="3">
        <v>0.3</v>
      </c>
      <c r="H934" s="4">
        <v>18.22</v>
      </c>
      <c r="I934" t="str">
        <f>VLOOKUP(orders__17[[#This Row],[Customer_ID]],customers__2[#All],3,0)</f>
        <v>North</v>
      </c>
      <c r="J934" t="str">
        <f>VLOOKUP(orders__17[[#This Row],[Customer_ID]],customers__2[#All],4,0)</f>
        <v>Consumer</v>
      </c>
      <c r="K934" t="str">
        <f>VLOOKUP(orders__17[[#This Row],[Product_ID]],products[#All],3,0)</f>
        <v>Furniture</v>
      </c>
      <c r="L934" s="1" t="str">
        <f>VLOOKUP(orders__17[[#This Row],[Product_ID]],products[#All],4,0)</f>
        <v>Chair</v>
      </c>
      <c r="M934" s="1" t="str">
        <f>VLOOKUP(orders__17[[#This Row],[Order_ID]],returns[#All],2,0)</f>
        <v>No</v>
      </c>
    </row>
    <row r="935" spans="1:13" x14ac:dyDescent="0.3">
      <c r="A935" s="1" t="s">
        <v>1241</v>
      </c>
      <c r="B935" s="2">
        <v>44736</v>
      </c>
      <c r="C935" s="1" t="s">
        <v>319</v>
      </c>
      <c r="D935" s="1" t="s">
        <v>43</v>
      </c>
      <c r="E935">
        <v>3</v>
      </c>
      <c r="F935" s="4">
        <v>1778.58</v>
      </c>
      <c r="G935" s="3">
        <v>0.1</v>
      </c>
      <c r="H935" s="4">
        <v>501.45</v>
      </c>
      <c r="I935" t="str">
        <f>VLOOKUP(orders__17[[#This Row],[Customer_ID]],customers__2[#All],3,0)</f>
        <v>East</v>
      </c>
      <c r="J935" t="str">
        <f>VLOOKUP(orders__17[[#This Row],[Customer_ID]],customers__2[#All],4,0)</f>
        <v>Consumer</v>
      </c>
      <c r="K935" t="str">
        <f>VLOOKUP(orders__17[[#This Row],[Product_ID]],products[#All],3,0)</f>
        <v>Technology</v>
      </c>
      <c r="L935" s="1" t="str">
        <f>VLOOKUP(orders__17[[#This Row],[Product_ID]],products[#All],4,0)</f>
        <v>Tablet</v>
      </c>
      <c r="M935" s="1" t="str">
        <f>VLOOKUP(orders__17[[#This Row],[Order_ID]],returns[#All],2,0)</f>
        <v>No</v>
      </c>
    </row>
    <row r="936" spans="1:13" x14ac:dyDescent="0.3">
      <c r="A936" s="1" t="s">
        <v>1242</v>
      </c>
      <c r="B936" s="2">
        <v>44976</v>
      </c>
      <c r="C936" s="1" t="s">
        <v>99</v>
      </c>
      <c r="D936" s="1" t="s">
        <v>28</v>
      </c>
      <c r="E936">
        <v>5</v>
      </c>
      <c r="F936" s="4">
        <v>951.81</v>
      </c>
      <c r="G936" s="3">
        <v>0.1</v>
      </c>
      <c r="H936" s="4">
        <v>254.06</v>
      </c>
      <c r="I936" t="str">
        <f>VLOOKUP(orders__17[[#This Row],[Customer_ID]],customers__2[#All],3,0)</f>
        <v>East</v>
      </c>
      <c r="J936" t="str">
        <f>VLOOKUP(orders__17[[#This Row],[Customer_ID]],customers__2[#All],4,0)</f>
        <v>Corporate</v>
      </c>
      <c r="K936" t="str">
        <f>VLOOKUP(orders__17[[#This Row],[Product_ID]],products[#All],3,0)</f>
        <v>Office Supplies</v>
      </c>
      <c r="L936" s="1" t="str">
        <f>VLOOKUP(orders__17[[#This Row],[Product_ID]],products[#All],4,0)</f>
        <v>Storage</v>
      </c>
      <c r="M936" s="1" t="str">
        <f>VLOOKUP(orders__17[[#This Row],[Order_ID]],returns[#All],2,0)</f>
        <v>Yes</v>
      </c>
    </row>
    <row r="937" spans="1:13" x14ac:dyDescent="0.3">
      <c r="A937" s="1" t="s">
        <v>1243</v>
      </c>
      <c r="B937" s="2">
        <v>45388</v>
      </c>
      <c r="C937" s="1" t="s">
        <v>179</v>
      </c>
      <c r="D937" s="1" t="s">
        <v>188</v>
      </c>
      <c r="E937">
        <v>1</v>
      </c>
      <c r="F937" s="4">
        <v>1069.82</v>
      </c>
      <c r="G937" s="3">
        <v>0.1</v>
      </c>
      <c r="H937" s="4">
        <v>242.75</v>
      </c>
      <c r="I937" t="str">
        <f>VLOOKUP(orders__17[[#This Row],[Customer_ID]],customers__2[#All],3,0)</f>
        <v>North</v>
      </c>
      <c r="J937" t="str">
        <f>VLOOKUP(orders__17[[#This Row],[Customer_ID]],customers__2[#All],4,0)</f>
        <v>Consumer</v>
      </c>
      <c r="K937" t="str">
        <f>VLOOKUP(orders__17[[#This Row],[Product_ID]],products[#All],3,0)</f>
        <v>Technology</v>
      </c>
      <c r="L937" s="1" t="str">
        <f>VLOOKUP(orders__17[[#This Row],[Product_ID]],products[#All],4,0)</f>
        <v>Laptop</v>
      </c>
      <c r="M937" s="1" t="str">
        <f>VLOOKUP(orders__17[[#This Row],[Order_ID]],returns[#All],2,0)</f>
        <v>Yes</v>
      </c>
    </row>
    <row r="938" spans="1:13" x14ac:dyDescent="0.3">
      <c r="A938" s="1" t="s">
        <v>1244</v>
      </c>
      <c r="B938" s="2">
        <v>44762</v>
      </c>
      <c r="C938" s="1" t="s">
        <v>394</v>
      </c>
      <c r="D938" s="1" t="s">
        <v>51</v>
      </c>
      <c r="E938">
        <v>1</v>
      </c>
      <c r="F938" s="4">
        <v>1290.53</v>
      </c>
      <c r="G938" s="3">
        <v>0.3</v>
      </c>
      <c r="H938" s="4">
        <v>98.79</v>
      </c>
      <c r="I938" t="str">
        <f>VLOOKUP(orders__17[[#This Row],[Customer_ID]],customers__2[#All],3,0)</f>
        <v>West</v>
      </c>
      <c r="J938" t="str">
        <f>VLOOKUP(orders__17[[#This Row],[Customer_ID]],customers__2[#All],4,0)</f>
        <v>Home Office</v>
      </c>
      <c r="K938" t="str">
        <f>VLOOKUP(orders__17[[#This Row],[Product_ID]],products[#All],3,0)</f>
        <v>Office Supplies</v>
      </c>
      <c r="L938" s="1" t="str">
        <f>VLOOKUP(orders__17[[#This Row],[Product_ID]],products[#All],4,0)</f>
        <v>Pen</v>
      </c>
      <c r="M938" s="1" t="str">
        <f>VLOOKUP(orders__17[[#This Row],[Order_ID]],returns[#All],2,0)</f>
        <v>No</v>
      </c>
    </row>
    <row r="939" spans="1:13" x14ac:dyDescent="0.3">
      <c r="A939" s="1" t="s">
        <v>1245</v>
      </c>
      <c r="B939" s="2">
        <v>44597</v>
      </c>
      <c r="C939" s="1" t="s">
        <v>313</v>
      </c>
      <c r="D939" s="1" t="s">
        <v>72</v>
      </c>
      <c r="E939">
        <v>1</v>
      </c>
      <c r="F939" s="4">
        <v>1860.13</v>
      </c>
      <c r="G939" s="3">
        <v>0.3</v>
      </c>
      <c r="H939" s="4">
        <v>453.81</v>
      </c>
      <c r="I939" t="str">
        <f>VLOOKUP(orders__17[[#This Row],[Customer_ID]],customers__2[#All],3,0)</f>
        <v>West</v>
      </c>
      <c r="J939" t="str">
        <f>VLOOKUP(orders__17[[#This Row],[Customer_ID]],customers__2[#All],4,0)</f>
        <v>Home Office</v>
      </c>
      <c r="K939" t="str">
        <f>VLOOKUP(orders__17[[#This Row],[Product_ID]],products[#All],3,0)</f>
        <v>Furniture</v>
      </c>
      <c r="L939" s="1" t="str">
        <f>VLOOKUP(orders__17[[#This Row],[Product_ID]],products[#All],4,0)</f>
        <v>Chair</v>
      </c>
      <c r="M939" s="1" t="str">
        <f>VLOOKUP(orders__17[[#This Row],[Order_ID]],returns[#All],2,0)</f>
        <v>No</v>
      </c>
    </row>
    <row r="940" spans="1:13" x14ac:dyDescent="0.3">
      <c r="A940" s="1" t="s">
        <v>1246</v>
      </c>
      <c r="B940" s="2">
        <v>45083</v>
      </c>
      <c r="C940" s="1" t="s">
        <v>739</v>
      </c>
      <c r="D940" s="1" t="s">
        <v>209</v>
      </c>
      <c r="E940">
        <v>1</v>
      </c>
      <c r="F940" s="4">
        <v>136.32</v>
      </c>
      <c r="G940" s="3">
        <v>0</v>
      </c>
      <c r="H940" s="4">
        <v>34.35</v>
      </c>
      <c r="I940" t="str">
        <f>VLOOKUP(orders__17[[#This Row],[Customer_ID]],customers__2[#All],3,0)</f>
        <v>North</v>
      </c>
      <c r="J940" t="str">
        <f>VLOOKUP(orders__17[[#This Row],[Customer_ID]],customers__2[#All],4,0)</f>
        <v>Consumer</v>
      </c>
      <c r="K940" t="str">
        <f>VLOOKUP(orders__17[[#This Row],[Product_ID]],products[#All],3,0)</f>
        <v>Office Supplies</v>
      </c>
      <c r="L940" s="1" t="str">
        <f>VLOOKUP(orders__17[[#This Row],[Product_ID]],products[#All],4,0)</f>
        <v>Paper</v>
      </c>
      <c r="M940" s="1" t="str">
        <f>VLOOKUP(orders__17[[#This Row],[Order_ID]],returns[#All],2,0)</f>
        <v>No</v>
      </c>
    </row>
    <row r="941" spans="1:13" x14ac:dyDescent="0.3">
      <c r="A941" s="1" t="s">
        <v>1247</v>
      </c>
      <c r="B941" s="2">
        <v>45137</v>
      </c>
      <c r="C941" s="1" t="s">
        <v>200</v>
      </c>
      <c r="D941" s="1" t="s">
        <v>660</v>
      </c>
      <c r="E941">
        <v>1</v>
      </c>
      <c r="F941" s="4">
        <v>1006</v>
      </c>
      <c r="G941" s="3">
        <v>0.3</v>
      </c>
      <c r="H941" s="4">
        <v>243.39</v>
      </c>
      <c r="I941" t="str">
        <f>VLOOKUP(orders__17[[#This Row],[Customer_ID]],customers__2[#All],3,0)</f>
        <v>East</v>
      </c>
      <c r="J941" t="str">
        <f>VLOOKUP(orders__17[[#This Row],[Customer_ID]],customers__2[#All],4,0)</f>
        <v>Consumer</v>
      </c>
      <c r="K941" t="str">
        <f>VLOOKUP(orders__17[[#This Row],[Product_ID]],products[#All],3,0)</f>
        <v>Office Supplies</v>
      </c>
      <c r="L941" s="1" t="str">
        <f>VLOOKUP(orders__17[[#This Row],[Product_ID]],products[#All],4,0)</f>
        <v>Storage</v>
      </c>
      <c r="M941" s="1" t="str">
        <f>VLOOKUP(orders__17[[#This Row],[Order_ID]],returns[#All],2,0)</f>
        <v>No</v>
      </c>
    </row>
    <row r="942" spans="1:13" x14ac:dyDescent="0.3">
      <c r="A942" s="1" t="s">
        <v>1248</v>
      </c>
      <c r="B942" s="2">
        <v>45046</v>
      </c>
      <c r="C942" s="1" t="s">
        <v>228</v>
      </c>
      <c r="D942" s="1" t="s">
        <v>75</v>
      </c>
      <c r="E942">
        <v>2</v>
      </c>
      <c r="F942" s="4">
        <v>1406.67</v>
      </c>
      <c r="G942" s="3">
        <v>0.3</v>
      </c>
      <c r="H942" s="4">
        <v>110.41</v>
      </c>
      <c r="I942" t="str">
        <f>VLOOKUP(orders__17[[#This Row],[Customer_ID]],customers__2[#All],3,0)</f>
        <v>North</v>
      </c>
      <c r="J942" t="str">
        <f>VLOOKUP(orders__17[[#This Row],[Customer_ID]],customers__2[#All],4,0)</f>
        <v>Consumer</v>
      </c>
      <c r="K942" t="str">
        <f>VLOOKUP(orders__17[[#This Row],[Product_ID]],products[#All],3,0)</f>
        <v>Technology</v>
      </c>
      <c r="L942" s="1" t="str">
        <f>VLOOKUP(orders__17[[#This Row],[Product_ID]],products[#All],4,0)</f>
        <v>Tablet</v>
      </c>
      <c r="M942" s="1" t="str">
        <f>VLOOKUP(orders__17[[#This Row],[Order_ID]],returns[#All],2,0)</f>
        <v>No</v>
      </c>
    </row>
    <row r="943" spans="1:13" x14ac:dyDescent="0.3">
      <c r="A943" s="1" t="s">
        <v>1249</v>
      </c>
      <c r="B943" s="2">
        <v>45006</v>
      </c>
      <c r="C943" s="1" t="s">
        <v>1061</v>
      </c>
      <c r="D943" s="1" t="s">
        <v>67</v>
      </c>
      <c r="E943">
        <v>5</v>
      </c>
      <c r="F943" s="4">
        <v>1473.14</v>
      </c>
      <c r="G943" s="3">
        <v>0.3</v>
      </c>
      <c r="H943" s="4">
        <v>310.8</v>
      </c>
      <c r="I943" t="str">
        <f>VLOOKUP(orders__17[[#This Row],[Customer_ID]],customers__2[#All],3,0)</f>
        <v>East</v>
      </c>
      <c r="J943" t="str">
        <f>VLOOKUP(orders__17[[#This Row],[Customer_ID]],customers__2[#All],4,0)</f>
        <v>Consumer</v>
      </c>
      <c r="K943" t="str">
        <f>VLOOKUP(orders__17[[#This Row],[Product_ID]],products[#All],3,0)</f>
        <v>Furniture</v>
      </c>
      <c r="L943" s="1" t="str">
        <f>VLOOKUP(orders__17[[#This Row],[Product_ID]],products[#All],4,0)</f>
        <v>Chair</v>
      </c>
      <c r="M943" s="1" t="str">
        <f>VLOOKUP(orders__17[[#This Row],[Order_ID]],returns[#All],2,0)</f>
        <v>Yes</v>
      </c>
    </row>
    <row r="944" spans="1:13" x14ac:dyDescent="0.3">
      <c r="A944" s="1" t="s">
        <v>1250</v>
      </c>
      <c r="B944" s="2">
        <v>45456</v>
      </c>
      <c r="C944" s="1" t="s">
        <v>96</v>
      </c>
      <c r="D944" s="1" t="s">
        <v>727</v>
      </c>
      <c r="E944">
        <v>3</v>
      </c>
      <c r="F944" s="4">
        <v>1415.81</v>
      </c>
      <c r="G944" s="3">
        <v>0.1</v>
      </c>
      <c r="H944" s="4">
        <v>366.1</v>
      </c>
      <c r="I944" t="str">
        <f>VLOOKUP(orders__17[[#This Row],[Customer_ID]],customers__2[#All],3,0)</f>
        <v>West</v>
      </c>
      <c r="J944" t="str">
        <f>VLOOKUP(orders__17[[#This Row],[Customer_ID]],customers__2[#All],4,0)</f>
        <v>Corporate</v>
      </c>
      <c r="K944" t="str">
        <f>VLOOKUP(orders__17[[#This Row],[Product_ID]],products[#All],3,0)</f>
        <v>Furniture</v>
      </c>
      <c r="L944" s="1" t="str">
        <f>VLOOKUP(orders__17[[#This Row],[Product_ID]],products[#All],4,0)</f>
        <v>Chair</v>
      </c>
      <c r="M944" s="1" t="str">
        <f>VLOOKUP(orders__17[[#This Row],[Order_ID]],returns[#All],2,0)</f>
        <v>No</v>
      </c>
    </row>
    <row r="945" spans="1:13" x14ac:dyDescent="0.3">
      <c r="A945" s="1" t="s">
        <v>1251</v>
      </c>
      <c r="B945" s="2">
        <v>45271</v>
      </c>
      <c r="C945" s="1" t="s">
        <v>9</v>
      </c>
      <c r="D945" s="1" t="s">
        <v>127</v>
      </c>
      <c r="E945">
        <v>3</v>
      </c>
      <c r="F945" s="4">
        <v>355.43</v>
      </c>
      <c r="G945" s="3">
        <v>0.2</v>
      </c>
      <c r="H945" s="4">
        <v>69.069999999999993</v>
      </c>
      <c r="I945" t="str">
        <f>VLOOKUP(orders__17[[#This Row],[Customer_ID]],customers__2[#All],3,0)</f>
        <v>East</v>
      </c>
      <c r="J945" t="str">
        <f>VLOOKUP(orders__17[[#This Row],[Customer_ID]],customers__2[#All],4,0)</f>
        <v>Consumer</v>
      </c>
      <c r="K945" t="str">
        <f>VLOOKUP(orders__17[[#This Row],[Product_ID]],products[#All],3,0)</f>
        <v>Furniture</v>
      </c>
      <c r="L945" s="1" t="str">
        <f>VLOOKUP(orders__17[[#This Row],[Product_ID]],products[#All],4,0)</f>
        <v>Chair</v>
      </c>
      <c r="M945" s="1" t="str">
        <f>VLOOKUP(orders__17[[#This Row],[Order_ID]],returns[#All],2,0)</f>
        <v>No</v>
      </c>
    </row>
    <row r="946" spans="1:13" x14ac:dyDescent="0.3">
      <c r="A946" s="1" t="s">
        <v>1252</v>
      </c>
      <c r="B946" s="2">
        <v>44700</v>
      </c>
      <c r="C946" s="1" t="s">
        <v>394</v>
      </c>
      <c r="D946" s="1" t="s">
        <v>97</v>
      </c>
      <c r="E946">
        <v>3</v>
      </c>
      <c r="F946" s="4">
        <v>668.85</v>
      </c>
      <c r="G946" s="3">
        <v>0</v>
      </c>
      <c r="H946" s="4">
        <v>141.53</v>
      </c>
      <c r="I946" t="str">
        <f>VLOOKUP(orders__17[[#This Row],[Customer_ID]],customers__2[#All],3,0)</f>
        <v>West</v>
      </c>
      <c r="J946" t="str">
        <f>VLOOKUP(orders__17[[#This Row],[Customer_ID]],customers__2[#All],4,0)</f>
        <v>Home Office</v>
      </c>
      <c r="K946" t="str">
        <f>VLOOKUP(orders__17[[#This Row],[Product_ID]],products[#All],3,0)</f>
        <v>Technology</v>
      </c>
      <c r="L946" s="1" t="str">
        <f>VLOOKUP(orders__17[[#This Row],[Product_ID]],products[#All],4,0)</f>
        <v>Tablet</v>
      </c>
      <c r="M946" s="1" t="str">
        <f>VLOOKUP(orders__17[[#This Row],[Order_ID]],returns[#All],2,0)</f>
        <v>No</v>
      </c>
    </row>
    <row r="947" spans="1:13" x14ac:dyDescent="0.3">
      <c r="A947" s="1" t="s">
        <v>1253</v>
      </c>
      <c r="B947" s="2">
        <v>45015</v>
      </c>
      <c r="C947" s="1" t="s">
        <v>77</v>
      </c>
      <c r="D947" s="1" t="s">
        <v>455</v>
      </c>
      <c r="E947">
        <v>3</v>
      </c>
      <c r="F947" s="4">
        <v>781.56</v>
      </c>
      <c r="G947" s="3">
        <v>0.2</v>
      </c>
      <c r="H947" s="4">
        <v>128.63999999999999</v>
      </c>
      <c r="I947" t="str">
        <f>VLOOKUP(orders__17[[#This Row],[Customer_ID]],customers__2[#All],3,0)</f>
        <v>West</v>
      </c>
      <c r="J947" t="str">
        <f>VLOOKUP(orders__17[[#This Row],[Customer_ID]],customers__2[#All],4,0)</f>
        <v>Consumer</v>
      </c>
      <c r="K947" t="str">
        <f>VLOOKUP(orders__17[[#This Row],[Product_ID]],products[#All],3,0)</f>
        <v>Furniture</v>
      </c>
      <c r="L947" s="1" t="str">
        <f>VLOOKUP(orders__17[[#This Row],[Product_ID]],products[#All],4,0)</f>
        <v>Shelf</v>
      </c>
      <c r="M947" s="1" t="str">
        <f>VLOOKUP(orders__17[[#This Row],[Order_ID]],returns[#All],2,0)</f>
        <v>No</v>
      </c>
    </row>
    <row r="948" spans="1:13" x14ac:dyDescent="0.3">
      <c r="A948" s="1" t="s">
        <v>1254</v>
      </c>
      <c r="B948" s="2">
        <v>44889</v>
      </c>
      <c r="C948" s="1" t="s">
        <v>420</v>
      </c>
      <c r="D948" s="1" t="s">
        <v>201</v>
      </c>
      <c r="E948">
        <v>2</v>
      </c>
      <c r="F948" s="4">
        <v>1628.43</v>
      </c>
      <c r="G948" s="3">
        <v>0.2</v>
      </c>
      <c r="H948" s="4">
        <v>296.66000000000003</v>
      </c>
      <c r="I948" t="str">
        <f>VLOOKUP(orders__17[[#This Row],[Customer_ID]],customers__2[#All],3,0)</f>
        <v>West</v>
      </c>
      <c r="J948" t="str">
        <f>VLOOKUP(orders__17[[#This Row],[Customer_ID]],customers__2[#All],4,0)</f>
        <v>Home Office</v>
      </c>
      <c r="K948" t="str">
        <f>VLOOKUP(orders__17[[#This Row],[Product_ID]],products[#All],3,0)</f>
        <v>Office Supplies</v>
      </c>
      <c r="L948" s="1" t="str">
        <f>VLOOKUP(orders__17[[#This Row],[Product_ID]],products[#All],4,0)</f>
        <v>Paper</v>
      </c>
      <c r="M948" s="1" t="str">
        <f>VLOOKUP(orders__17[[#This Row],[Order_ID]],returns[#All],2,0)</f>
        <v>No</v>
      </c>
    </row>
    <row r="949" spans="1:13" x14ac:dyDescent="0.3">
      <c r="A949" s="1" t="s">
        <v>1255</v>
      </c>
      <c r="B949" s="2">
        <v>44625</v>
      </c>
      <c r="C949" s="1" t="s">
        <v>447</v>
      </c>
      <c r="D949" s="1" t="s">
        <v>25</v>
      </c>
      <c r="E949">
        <v>4</v>
      </c>
      <c r="F949" s="4">
        <v>629.64</v>
      </c>
      <c r="G949" s="3">
        <v>0.3</v>
      </c>
      <c r="H949" s="4">
        <v>36.89</v>
      </c>
      <c r="I949" t="str">
        <f>VLOOKUP(orders__17[[#This Row],[Customer_ID]],customers__2[#All],3,0)</f>
        <v>West</v>
      </c>
      <c r="J949" t="str">
        <f>VLOOKUP(orders__17[[#This Row],[Customer_ID]],customers__2[#All],4,0)</f>
        <v>Corporate</v>
      </c>
      <c r="K949" t="str">
        <f>VLOOKUP(orders__17[[#This Row],[Product_ID]],products[#All],3,0)</f>
        <v>Office Supplies</v>
      </c>
      <c r="L949" s="1" t="str">
        <f>VLOOKUP(orders__17[[#This Row],[Product_ID]],products[#All],4,0)</f>
        <v>Paper</v>
      </c>
      <c r="M949" s="1" t="str">
        <f>VLOOKUP(orders__17[[#This Row],[Order_ID]],returns[#All],2,0)</f>
        <v>No</v>
      </c>
    </row>
    <row r="950" spans="1:13" x14ac:dyDescent="0.3">
      <c r="A950" s="1" t="s">
        <v>1256</v>
      </c>
      <c r="B950" s="2">
        <v>45034</v>
      </c>
      <c r="C950" s="1" t="s">
        <v>169</v>
      </c>
      <c r="D950" s="1" t="s">
        <v>180</v>
      </c>
      <c r="E950">
        <v>5</v>
      </c>
      <c r="F950" s="4">
        <v>500.34</v>
      </c>
      <c r="G950" s="3">
        <v>0</v>
      </c>
      <c r="H950" s="4">
        <v>104.94</v>
      </c>
      <c r="I950" t="str">
        <f>VLOOKUP(orders__17[[#This Row],[Customer_ID]],customers__2[#All],3,0)</f>
        <v>East</v>
      </c>
      <c r="J950" t="str">
        <f>VLOOKUP(orders__17[[#This Row],[Customer_ID]],customers__2[#All],4,0)</f>
        <v>Home Office</v>
      </c>
      <c r="K950" t="str">
        <f>VLOOKUP(orders__17[[#This Row],[Product_ID]],products[#All],3,0)</f>
        <v>Furniture</v>
      </c>
      <c r="L950" s="1" t="str">
        <f>VLOOKUP(orders__17[[#This Row],[Product_ID]],products[#All],4,0)</f>
        <v>Chair</v>
      </c>
      <c r="M950" s="1" t="str">
        <f>VLOOKUP(orders__17[[#This Row],[Order_ID]],returns[#All],2,0)</f>
        <v>No</v>
      </c>
    </row>
    <row r="951" spans="1:13" x14ac:dyDescent="0.3">
      <c r="A951" s="1" t="s">
        <v>1257</v>
      </c>
      <c r="B951" s="2">
        <v>45210</v>
      </c>
      <c r="C951" s="1" t="s">
        <v>723</v>
      </c>
      <c r="D951" s="1" t="s">
        <v>314</v>
      </c>
      <c r="E951">
        <v>1</v>
      </c>
      <c r="F951" s="4">
        <v>1919.15</v>
      </c>
      <c r="G951" s="3">
        <v>0.2</v>
      </c>
      <c r="H951" s="4">
        <v>135.03</v>
      </c>
      <c r="I951" t="str">
        <f>VLOOKUP(orders__17[[#This Row],[Customer_ID]],customers__2[#All],3,0)</f>
        <v>North</v>
      </c>
      <c r="J951" t="str">
        <f>VLOOKUP(orders__17[[#This Row],[Customer_ID]],customers__2[#All],4,0)</f>
        <v>Home Office</v>
      </c>
      <c r="K951" t="str">
        <f>VLOOKUP(orders__17[[#This Row],[Product_ID]],products[#All],3,0)</f>
        <v>Office Supplies</v>
      </c>
      <c r="L951" s="1" t="str">
        <f>VLOOKUP(orders__17[[#This Row],[Product_ID]],products[#All],4,0)</f>
        <v>Paper</v>
      </c>
      <c r="M951" s="1" t="str">
        <f>VLOOKUP(orders__17[[#This Row],[Order_ID]],returns[#All],2,0)</f>
        <v>No</v>
      </c>
    </row>
    <row r="952" spans="1:13" x14ac:dyDescent="0.3">
      <c r="A952" s="1" t="s">
        <v>1258</v>
      </c>
      <c r="B952" s="2">
        <v>44812</v>
      </c>
      <c r="C952" s="1" t="s">
        <v>316</v>
      </c>
      <c r="D952" s="1" t="s">
        <v>301</v>
      </c>
      <c r="E952">
        <v>4</v>
      </c>
      <c r="F952" s="4">
        <v>116.84</v>
      </c>
      <c r="G952" s="3">
        <v>0.2</v>
      </c>
      <c r="H952" s="4">
        <v>18.55</v>
      </c>
      <c r="I952" t="str">
        <f>VLOOKUP(orders__17[[#This Row],[Customer_ID]],customers__2[#All],3,0)</f>
        <v>South</v>
      </c>
      <c r="J952" t="str">
        <f>VLOOKUP(orders__17[[#This Row],[Customer_ID]],customers__2[#All],4,0)</f>
        <v>Home Office</v>
      </c>
      <c r="K952" t="str">
        <f>VLOOKUP(orders__17[[#This Row],[Product_ID]],products[#All],3,0)</f>
        <v>Furniture</v>
      </c>
      <c r="L952" s="1" t="str">
        <f>VLOOKUP(orders__17[[#This Row],[Product_ID]],products[#All],4,0)</f>
        <v>Table</v>
      </c>
      <c r="M952" s="1" t="str">
        <f>VLOOKUP(orders__17[[#This Row],[Order_ID]],returns[#All],2,0)</f>
        <v>No</v>
      </c>
    </row>
    <row r="953" spans="1:13" x14ac:dyDescent="0.3">
      <c r="A953" s="1" t="s">
        <v>1259</v>
      </c>
      <c r="B953" s="2">
        <v>44685</v>
      </c>
      <c r="C953" s="1" t="s">
        <v>709</v>
      </c>
      <c r="D953" s="1" t="s">
        <v>372</v>
      </c>
      <c r="E953">
        <v>3</v>
      </c>
      <c r="F953" s="4">
        <v>1995.86</v>
      </c>
      <c r="G953" s="3">
        <v>0</v>
      </c>
      <c r="H953" s="4">
        <v>245.82</v>
      </c>
      <c r="I953" t="str">
        <f>VLOOKUP(orders__17[[#This Row],[Customer_ID]],customers__2[#All],3,0)</f>
        <v>East</v>
      </c>
      <c r="J953" t="str">
        <f>VLOOKUP(orders__17[[#This Row],[Customer_ID]],customers__2[#All],4,0)</f>
        <v>Home Office</v>
      </c>
      <c r="K953" t="str">
        <f>VLOOKUP(orders__17[[#This Row],[Product_ID]],products[#All],3,0)</f>
        <v>Furniture</v>
      </c>
      <c r="L953" s="1" t="str">
        <f>VLOOKUP(orders__17[[#This Row],[Product_ID]],products[#All],4,0)</f>
        <v>Shelf</v>
      </c>
      <c r="M953" s="1" t="str">
        <f>VLOOKUP(orders__17[[#This Row],[Order_ID]],returns[#All],2,0)</f>
        <v>No</v>
      </c>
    </row>
    <row r="954" spans="1:13" x14ac:dyDescent="0.3">
      <c r="A954" s="1" t="s">
        <v>1260</v>
      </c>
      <c r="B954" s="2">
        <v>44978</v>
      </c>
      <c r="C954" s="1" t="s">
        <v>683</v>
      </c>
      <c r="D954" s="1" t="s">
        <v>400</v>
      </c>
      <c r="E954">
        <v>4</v>
      </c>
      <c r="F954" s="4">
        <v>1385.96</v>
      </c>
      <c r="G954" s="3">
        <v>0.3</v>
      </c>
      <c r="H954" s="4">
        <v>258.27999999999997</v>
      </c>
      <c r="I954" t="str">
        <f>VLOOKUP(orders__17[[#This Row],[Customer_ID]],customers__2[#All],3,0)</f>
        <v>East</v>
      </c>
      <c r="J954" t="str">
        <f>VLOOKUP(orders__17[[#This Row],[Customer_ID]],customers__2[#All],4,0)</f>
        <v>Corporate</v>
      </c>
      <c r="K954" t="str">
        <f>VLOOKUP(orders__17[[#This Row],[Product_ID]],products[#All],3,0)</f>
        <v>Office Supplies</v>
      </c>
      <c r="L954" s="1" t="str">
        <f>VLOOKUP(orders__17[[#This Row],[Product_ID]],products[#All],4,0)</f>
        <v>Paper</v>
      </c>
      <c r="M954" s="1" t="str">
        <f>VLOOKUP(orders__17[[#This Row],[Order_ID]],returns[#All],2,0)</f>
        <v>Yes</v>
      </c>
    </row>
    <row r="955" spans="1:13" x14ac:dyDescent="0.3">
      <c r="A955" s="1" t="s">
        <v>1261</v>
      </c>
      <c r="B955" s="2">
        <v>44693</v>
      </c>
      <c r="C955" s="1" t="s">
        <v>338</v>
      </c>
      <c r="D955" s="1" t="s">
        <v>163</v>
      </c>
      <c r="E955">
        <v>5</v>
      </c>
      <c r="F955" s="4">
        <v>1674.09</v>
      </c>
      <c r="G955" s="3">
        <v>0.2</v>
      </c>
      <c r="H955" s="4">
        <v>139.54</v>
      </c>
      <c r="I955" t="str">
        <f>VLOOKUP(orders__17[[#This Row],[Customer_ID]],customers__2[#All],3,0)</f>
        <v>East</v>
      </c>
      <c r="J955" t="str">
        <f>VLOOKUP(orders__17[[#This Row],[Customer_ID]],customers__2[#All],4,0)</f>
        <v>Corporate</v>
      </c>
      <c r="K955" t="str">
        <f>VLOOKUP(orders__17[[#This Row],[Product_ID]],products[#All],3,0)</f>
        <v>Furniture</v>
      </c>
      <c r="L955" s="1" t="str">
        <f>VLOOKUP(orders__17[[#This Row],[Product_ID]],products[#All],4,0)</f>
        <v>Table</v>
      </c>
      <c r="M955" s="1" t="str">
        <f>VLOOKUP(orders__17[[#This Row],[Order_ID]],returns[#All],2,0)</f>
        <v>Yes</v>
      </c>
    </row>
    <row r="956" spans="1:13" x14ac:dyDescent="0.3">
      <c r="A956" s="1" t="s">
        <v>1262</v>
      </c>
      <c r="B956" s="2">
        <v>45419</v>
      </c>
      <c r="C956" s="1" t="s">
        <v>482</v>
      </c>
      <c r="D956" s="1" t="s">
        <v>341</v>
      </c>
      <c r="E956">
        <v>1</v>
      </c>
      <c r="F956" s="4">
        <v>659.78</v>
      </c>
      <c r="G956" s="3">
        <v>0.1</v>
      </c>
      <c r="H956" s="4">
        <v>147.07</v>
      </c>
      <c r="I956" t="str">
        <f>VLOOKUP(orders__17[[#This Row],[Customer_ID]],customers__2[#All],3,0)</f>
        <v>North</v>
      </c>
      <c r="J956" t="str">
        <f>VLOOKUP(orders__17[[#This Row],[Customer_ID]],customers__2[#All],4,0)</f>
        <v>Consumer</v>
      </c>
      <c r="K956" t="str">
        <f>VLOOKUP(orders__17[[#This Row],[Product_ID]],products[#All],3,0)</f>
        <v>Technology</v>
      </c>
      <c r="L956" s="1" t="str">
        <f>VLOOKUP(orders__17[[#This Row],[Product_ID]],products[#All],4,0)</f>
        <v>Phone</v>
      </c>
      <c r="M956" s="1" t="str">
        <f>VLOOKUP(orders__17[[#This Row],[Order_ID]],returns[#All],2,0)</f>
        <v>No</v>
      </c>
    </row>
    <row r="957" spans="1:13" x14ac:dyDescent="0.3">
      <c r="A957" s="1" t="s">
        <v>1263</v>
      </c>
      <c r="B957" s="2">
        <v>45186</v>
      </c>
      <c r="C957" s="1" t="s">
        <v>657</v>
      </c>
      <c r="D957" s="1" t="s">
        <v>51</v>
      </c>
      <c r="E957">
        <v>1</v>
      </c>
      <c r="F957" s="4">
        <v>127.2</v>
      </c>
      <c r="G957" s="3">
        <v>0.2</v>
      </c>
      <c r="H957" s="4">
        <v>31.64</v>
      </c>
      <c r="I957" t="str">
        <f>VLOOKUP(orders__17[[#This Row],[Customer_ID]],customers__2[#All],3,0)</f>
        <v>East</v>
      </c>
      <c r="J957" t="str">
        <f>VLOOKUP(orders__17[[#This Row],[Customer_ID]],customers__2[#All],4,0)</f>
        <v>Corporate</v>
      </c>
      <c r="K957" t="str">
        <f>VLOOKUP(orders__17[[#This Row],[Product_ID]],products[#All],3,0)</f>
        <v>Office Supplies</v>
      </c>
      <c r="L957" s="1" t="str">
        <f>VLOOKUP(orders__17[[#This Row],[Product_ID]],products[#All],4,0)</f>
        <v>Pen</v>
      </c>
      <c r="M957" s="1" t="str">
        <f>VLOOKUP(orders__17[[#This Row],[Order_ID]],returns[#All],2,0)</f>
        <v>No</v>
      </c>
    </row>
    <row r="958" spans="1:13" x14ac:dyDescent="0.3">
      <c r="A958" s="1" t="s">
        <v>1264</v>
      </c>
      <c r="B958" s="2">
        <v>45293</v>
      </c>
      <c r="C958" s="1" t="s">
        <v>542</v>
      </c>
      <c r="D958" s="1" t="s">
        <v>161</v>
      </c>
      <c r="E958">
        <v>5</v>
      </c>
      <c r="F958" s="4">
        <v>1501.95</v>
      </c>
      <c r="G958" s="3">
        <v>0.1</v>
      </c>
      <c r="H958" s="4">
        <v>136.44</v>
      </c>
      <c r="I958" t="str">
        <f>VLOOKUP(orders__17[[#This Row],[Customer_ID]],customers__2[#All],3,0)</f>
        <v>West</v>
      </c>
      <c r="J958" t="str">
        <f>VLOOKUP(orders__17[[#This Row],[Customer_ID]],customers__2[#All],4,0)</f>
        <v>Home Office</v>
      </c>
      <c r="K958" t="str">
        <f>VLOOKUP(orders__17[[#This Row],[Product_ID]],products[#All],3,0)</f>
        <v>Office Supplies</v>
      </c>
      <c r="L958" s="1" t="str">
        <f>VLOOKUP(orders__17[[#This Row],[Product_ID]],products[#All],4,0)</f>
        <v>Binder</v>
      </c>
      <c r="M958" s="1" t="str">
        <f>VLOOKUP(orders__17[[#This Row],[Order_ID]],returns[#All],2,0)</f>
        <v>No</v>
      </c>
    </row>
    <row r="959" spans="1:13" x14ac:dyDescent="0.3">
      <c r="A959" s="1" t="s">
        <v>1265</v>
      </c>
      <c r="B959" s="2">
        <v>44958</v>
      </c>
      <c r="C959" s="1" t="s">
        <v>744</v>
      </c>
      <c r="D959" s="1" t="s">
        <v>215</v>
      </c>
      <c r="E959">
        <v>5</v>
      </c>
      <c r="F959" s="4">
        <v>1684.87</v>
      </c>
      <c r="G959" s="3">
        <v>0.3</v>
      </c>
      <c r="H959" s="4">
        <v>128.18</v>
      </c>
      <c r="I959" t="str">
        <f>VLOOKUP(orders__17[[#This Row],[Customer_ID]],customers__2[#All],3,0)</f>
        <v>East</v>
      </c>
      <c r="J959" t="str">
        <f>VLOOKUP(orders__17[[#This Row],[Customer_ID]],customers__2[#All],4,0)</f>
        <v>Consumer</v>
      </c>
      <c r="K959" t="str">
        <f>VLOOKUP(orders__17[[#This Row],[Product_ID]],products[#All],3,0)</f>
        <v>Furniture</v>
      </c>
      <c r="L959" s="1" t="str">
        <f>VLOOKUP(orders__17[[#This Row],[Product_ID]],products[#All],4,0)</f>
        <v>Table</v>
      </c>
      <c r="M959" s="1" t="str">
        <f>VLOOKUP(orders__17[[#This Row],[Order_ID]],returns[#All],2,0)</f>
        <v>No</v>
      </c>
    </row>
    <row r="960" spans="1:13" x14ac:dyDescent="0.3">
      <c r="A960" s="1" t="s">
        <v>1266</v>
      </c>
      <c r="B960" s="2">
        <v>44777</v>
      </c>
      <c r="C960" s="1" t="s">
        <v>53</v>
      </c>
      <c r="D960" s="1" t="s">
        <v>51</v>
      </c>
      <c r="E960">
        <v>3</v>
      </c>
      <c r="F960" s="4">
        <v>1506.9</v>
      </c>
      <c r="G960" s="3">
        <v>0.2</v>
      </c>
      <c r="H960" s="4">
        <v>130.16</v>
      </c>
      <c r="I960" t="str">
        <f>VLOOKUP(orders__17[[#This Row],[Customer_ID]],customers__2[#All],3,0)</f>
        <v>West</v>
      </c>
      <c r="J960" t="str">
        <f>VLOOKUP(orders__17[[#This Row],[Customer_ID]],customers__2[#All],4,0)</f>
        <v>Home Office</v>
      </c>
      <c r="K960" t="str">
        <f>VLOOKUP(orders__17[[#This Row],[Product_ID]],products[#All],3,0)</f>
        <v>Office Supplies</v>
      </c>
      <c r="L960" s="1" t="str">
        <f>VLOOKUP(orders__17[[#This Row],[Product_ID]],products[#All],4,0)</f>
        <v>Pen</v>
      </c>
      <c r="M960" s="1" t="str">
        <f>VLOOKUP(orders__17[[#This Row],[Order_ID]],returns[#All],2,0)</f>
        <v>No</v>
      </c>
    </row>
    <row r="961" spans="1:13" x14ac:dyDescent="0.3">
      <c r="A961" s="1" t="s">
        <v>1267</v>
      </c>
      <c r="B961" s="2">
        <v>45067</v>
      </c>
      <c r="C961" s="1" t="s">
        <v>637</v>
      </c>
      <c r="D961" s="1" t="s">
        <v>397</v>
      </c>
      <c r="E961">
        <v>1</v>
      </c>
      <c r="F961" s="4">
        <v>371.42</v>
      </c>
      <c r="G961" s="3">
        <v>0</v>
      </c>
      <c r="H961" s="4">
        <v>100.02</v>
      </c>
      <c r="I961" t="str">
        <f>VLOOKUP(orders__17[[#This Row],[Customer_ID]],customers__2[#All],3,0)</f>
        <v>North</v>
      </c>
      <c r="J961" t="str">
        <f>VLOOKUP(orders__17[[#This Row],[Customer_ID]],customers__2[#All],4,0)</f>
        <v>Corporate</v>
      </c>
      <c r="K961" t="str">
        <f>VLOOKUP(orders__17[[#This Row],[Product_ID]],products[#All],3,0)</f>
        <v>Office Supplies</v>
      </c>
      <c r="L961" s="1" t="str">
        <f>VLOOKUP(orders__17[[#This Row],[Product_ID]],products[#All],4,0)</f>
        <v>Pen</v>
      </c>
      <c r="M961" s="1" t="str">
        <f>VLOOKUP(orders__17[[#This Row],[Order_ID]],returns[#All],2,0)</f>
        <v>No</v>
      </c>
    </row>
    <row r="962" spans="1:13" x14ac:dyDescent="0.3">
      <c r="A962" s="1" t="s">
        <v>1268</v>
      </c>
      <c r="B962" s="2">
        <v>45426</v>
      </c>
      <c r="C962" s="1" t="s">
        <v>169</v>
      </c>
      <c r="D962" s="1" t="s">
        <v>242</v>
      </c>
      <c r="E962">
        <v>4</v>
      </c>
      <c r="F962" s="4">
        <v>1531.51</v>
      </c>
      <c r="G962" s="3">
        <v>0</v>
      </c>
      <c r="H962" s="4">
        <v>278.81</v>
      </c>
      <c r="I962" t="str">
        <f>VLOOKUP(orders__17[[#This Row],[Customer_ID]],customers__2[#All],3,0)</f>
        <v>East</v>
      </c>
      <c r="J962" t="str">
        <f>VLOOKUP(orders__17[[#This Row],[Customer_ID]],customers__2[#All],4,0)</f>
        <v>Home Office</v>
      </c>
      <c r="K962" t="str">
        <f>VLOOKUP(orders__17[[#This Row],[Product_ID]],products[#All],3,0)</f>
        <v>Technology</v>
      </c>
      <c r="L962" s="1" t="str">
        <f>VLOOKUP(orders__17[[#This Row],[Product_ID]],products[#All],4,0)</f>
        <v>Phone</v>
      </c>
      <c r="M962" s="1" t="str">
        <f>VLOOKUP(orders__17[[#This Row],[Order_ID]],returns[#All],2,0)</f>
        <v>No</v>
      </c>
    </row>
    <row r="963" spans="1:13" x14ac:dyDescent="0.3">
      <c r="A963" s="1" t="s">
        <v>1269</v>
      </c>
      <c r="B963" s="2">
        <v>45261</v>
      </c>
      <c r="C963" s="1" t="s">
        <v>803</v>
      </c>
      <c r="D963" s="1" t="s">
        <v>242</v>
      </c>
      <c r="E963">
        <v>2</v>
      </c>
      <c r="F963" s="4">
        <v>1560.95</v>
      </c>
      <c r="G963" s="3">
        <v>0.2</v>
      </c>
      <c r="H963" s="4">
        <v>260.39</v>
      </c>
      <c r="I963" t="str">
        <f>VLOOKUP(orders__17[[#This Row],[Customer_ID]],customers__2[#All],3,0)</f>
        <v>South</v>
      </c>
      <c r="J963" t="str">
        <f>VLOOKUP(orders__17[[#This Row],[Customer_ID]],customers__2[#All],4,0)</f>
        <v>Consumer</v>
      </c>
      <c r="K963" t="str">
        <f>VLOOKUP(orders__17[[#This Row],[Product_ID]],products[#All],3,0)</f>
        <v>Technology</v>
      </c>
      <c r="L963" s="1" t="str">
        <f>VLOOKUP(orders__17[[#This Row],[Product_ID]],products[#All],4,0)</f>
        <v>Phone</v>
      </c>
      <c r="M963" s="1" t="str">
        <f>VLOOKUP(orders__17[[#This Row],[Order_ID]],returns[#All],2,0)</f>
        <v>No</v>
      </c>
    </row>
    <row r="964" spans="1:13" x14ac:dyDescent="0.3">
      <c r="A964" s="1" t="s">
        <v>1270</v>
      </c>
      <c r="B964" s="2">
        <v>44817</v>
      </c>
      <c r="C964" s="1" t="s">
        <v>449</v>
      </c>
      <c r="D964" s="1" t="s">
        <v>116</v>
      </c>
      <c r="E964">
        <v>2</v>
      </c>
      <c r="F964" s="4">
        <v>1351.23</v>
      </c>
      <c r="G964" s="3">
        <v>0.3</v>
      </c>
      <c r="H964" s="4">
        <v>103.61</v>
      </c>
      <c r="I964" t="str">
        <f>VLOOKUP(orders__17[[#This Row],[Customer_ID]],customers__2[#All],3,0)</f>
        <v>North</v>
      </c>
      <c r="J964" t="str">
        <f>VLOOKUP(orders__17[[#This Row],[Customer_ID]],customers__2[#All],4,0)</f>
        <v>Consumer</v>
      </c>
      <c r="K964" t="str">
        <f>VLOOKUP(orders__17[[#This Row],[Product_ID]],products[#All],3,0)</f>
        <v>Furniture</v>
      </c>
      <c r="L964" s="1" t="str">
        <f>VLOOKUP(orders__17[[#This Row],[Product_ID]],products[#All],4,0)</f>
        <v>Shelf</v>
      </c>
      <c r="M964" s="1" t="str">
        <f>VLOOKUP(orders__17[[#This Row],[Order_ID]],returns[#All],2,0)</f>
        <v>Yes</v>
      </c>
    </row>
    <row r="965" spans="1:13" x14ac:dyDescent="0.3">
      <c r="A965" s="1" t="s">
        <v>1271</v>
      </c>
      <c r="B965" s="2">
        <v>44672</v>
      </c>
      <c r="C965" s="1" t="s">
        <v>332</v>
      </c>
      <c r="D965" s="1" t="s">
        <v>188</v>
      </c>
      <c r="E965">
        <v>5</v>
      </c>
      <c r="F965" s="4">
        <v>1555.62</v>
      </c>
      <c r="G965" s="3">
        <v>0.3</v>
      </c>
      <c r="H965" s="4">
        <v>330.4</v>
      </c>
      <c r="I965" t="str">
        <f>VLOOKUP(orders__17[[#This Row],[Customer_ID]],customers__2[#All],3,0)</f>
        <v>North</v>
      </c>
      <c r="J965" t="str">
        <f>VLOOKUP(orders__17[[#This Row],[Customer_ID]],customers__2[#All],4,0)</f>
        <v>Home Office</v>
      </c>
      <c r="K965" t="str">
        <f>VLOOKUP(orders__17[[#This Row],[Product_ID]],products[#All],3,0)</f>
        <v>Technology</v>
      </c>
      <c r="L965" s="1" t="str">
        <f>VLOOKUP(orders__17[[#This Row],[Product_ID]],products[#All],4,0)</f>
        <v>Laptop</v>
      </c>
      <c r="M965" s="1" t="str">
        <f>VLOOKUP(orders__17[[#This Row],[Order_ID]],returns[#All],2,0)</f>
        <v>Yes</v>
      </c>
    </row>
    <row r="966" spans="1:13" x14ac:dyDescent="0.3">
      <c r="A966" s="1" t="s">
        <v>1272</v>
      </c>
      <c r="B966" s="2">
        <v>44643</v>
      </c>
      <c r="C966" s="1" t="s">
        <v>723</v>
      </c>
      <c r="D966" s="1" t="s">
        <v>170</v>
      </c>
      <c r="E966">
        <v>3</v>
      </c>
      <c r="F966" s="4">
        <v>1707.25</v>
      </c>
      <c r="G966" s="3">
        <v>0</v>
      </c>
      <c r="H966" s="4">
        <v>455.84</v>
      </c>
      <c r="I966" t="str">
        <f>VLOOKUP(orders__17[[#This Row],[Customer_ID]],customers__2[#All],3,0)</f>
        <v>North</v>
      </c>
      <c r="J966" t="str">
        <f>VLOOKUP(orders__17[[#This Row],[Customer_ID]],customers__2[#All],4,0)</f>
        <v>Home Office</v>
      </c>
      <c r="K966" t="str">
        <f>VLOOKUP(orders__17[[#This Row],[Product_ID]],products[#All],3,0)</f>
        <v>Furniture</v>
      </c>
      <c r="L966" s="1" t="str">
        <f>VLOOKUP(orders__17[[#This Row],[Product_ID]],products[#All],4,0)</f>
        <v>Shelf</v>
      </c>
      <c r="M966" s="1" t="str">
        <f>VLOOKUP(orders__17[[#This Row],[Order_ID]],returns[#All],2,0)</f>
        <v>No</v>
      </c>
    </row>
    <row r="967" spans="1:13" x14ac:dyDescent="0.3">
      <c r="A967" s="1" t="s">
        <v>1273</v>
      </c>
      <c r="B967" s="2">
        <v>45129</v>
      </c>
      <c r="C967" s="1" t="s">
        <v>709</v>
      </c>
      <c r="D967" s="1" t="s">
        <v>119</v>
      </c>
      <c r="E967">
        <v>2</v>
      </c>
      <c r="F967" s="4">
        <v>1265.8499999999999</v>
      </c>
      <c r="G967" s="3">
        <v>0.2</v>
      </c>
      <c r="H967" s="4">
        <v>325.38</v>
      </c>
      <c r="I967" t="str">
        <f>VLOOKUP(orders__17[[#This Row],[Customer_ID]],customers__2[#All],3,0)</f>
        <v>East</v>
      </c>
      <c r="J967" t="str">
        <f>VLOOKUP(orders__17[[#This Row],[Customer_ID]],customers__2[#All],4,0)</f>
        <v>Home Office</v>
      </c>
      <c r="K967" t="str">
        <f>VLOOKUP(orders__17[[#This Row],[Product_ID]],products[#All],3,0)</f>
        <v>Technology</v>
      </c>
      <c r="L967" s="1" t="str">
        <f>VLOOKUP(orders__17[[#This Row],[Product_ID]],products[#All],4,0)</f>
        <v>Tablet</v>
      </c>
      <c r="M967" s="1" t="str">
        <f>VLOOKUP(orders__17[[#This Row],[Order_ID]],returns[#All],2,0)</f>
        <v>No</v>
      </c>
    </row>
    <row r="968" spans="1:13" x14ac:dyDescent="0.3">
      <c r="A968" s="1" t="s">
        <v>1274</v>
      </c>
      <c r="B968" s="2">
        <v>45399</v>
      </c>
      <c r="C968" s="1" t="s">
        <v>158</v>
      </c>
      <c r="D968" s="1" t="s">
        <v>51</v>
      </c>
      <c r="E968">
        <v>1</v>
      </c>
      <c r="F968" s="4">
        <v>268.35000000000002</v>
      </c>
      <c r="G968" s="3">
        <v>0.3</v>
      </c>
      <c r="H968" s="4">
        <v>55.42</v>
      </c>
      <c r="I968" t="str">
        <f>VLOOKUP(orders__17[[#This Row],[Customer_ID]],customers__2[#All],3,0)</f>
        <v>West</v>
      </c>
      <c r="J968" t="str">
        <f>VLOOKUP(orders__17[[#This Row],[Customer_ID]],customers__2[#All],4,0)</f>
        <v>Corporate</v>
      </c>
      <c r="K968" t="str">
        <f>VLOOKUP(orders__17[[#This Row],[Product_ID]],products[#All],3,0)</f>
        <v>Office Supplies</v>
      </c>
      <c r="L968" s="1" t="str">
        <f>VLOOKUP(orders__17[[#This Row],[Product_ID]],products[#All],4,0)</f>
        <v>Pen</v>
      </c>
      <c r="M968" s="1" t="str">
        <f>VLOOKUP(orders__17[[#This Row],[Order_ID]],returns[#All],2,0)</f>
        <v>Yes</v>
      </c>
    </row>
    <row r="969" spans="1:13" x14ac:dyDescent="0.3">
      <c r="A969" s="1" t="s">
        <v>1275</v>
      </c>
      <c r="B969" s="2">
        <v>44950</v>
      </c>
      <c r="C969" s="1" t="s">
        <v>524</v>
      </c>
      <c r="D969" s="1" t="s">
        <v>54</v>
      </c>
      <c r="E969">
        <v>5</v>
      </c>
      <c r="F969" s="4">
        <v>1026.49</v>
      </c>
      <c r="G969" s="3">
        <v>0</v>
      </c>
      <c r="H969" s="4">
        <v>70.64</v>
      </c>
      <c r="I969" t="str">
        <f>VLOOKUP(orders__17[[#This Row],[Customer_ID]],customers__2[#All],3,0)</f>
        <v>East</v>
      </c>
      <c r="J969" t="str">
        <f>VLOOKUP(orders__17[[#This Row],[Customer_ID]],customers__2[#All],4,0)</f>
        <v>Corporate</v>
      </c>
      <c r="K969" t="str">
        <f>VLOOKUP(orders__17[[#This Row],[Product_ID]],products[#All],3,0)</f>
        <v>Office Supplies</v>
      </c>
      <c r="L969" s="1" t="str">
        <f>VLOOKUP(orders__17[[#This Row],[Product_ID]],products[#All],4,0)</f>
        <v>Binder</v>
      </c>
      <c r="M969" s="1" t="str">
        <f>VLOOKUP(orders__17[[#This Row],[Order_ID]],returns[#All],2,0)</f>
        <v>Yes</v>
      </c>
    </row>
    <row r="970" spans="1:13" x14ac:dyDescent="0.3">
      <c r="A970" s="1" t="s">
        <v>1276</v>
      </c>
      <c r="B970" s="2">
        <v>44584</v>
      </c>
      <c r="C970" s="1" t="s">
        <v>136</v>
      </c>
      <c r="D970" s="1" t="s">
        <v>72</v>
      </c>
      <c r="E970">
        <v>4</v>
      </c>
      <c r="F970" s="4">
        <v>247.53</v>
      </c>
      <c r="G970" s="3">
        <v>0.1</v>
      </c>
      <c r="H970" s="4">
        <v>19.329999999999998</v>
      </c>
      <c r="I970" t="str">
        <f>VLOOKUP(orders__17[[#This Row],[Customer_ID]],customers__2[#All],3,0)</f>
        <v>West</v>
      </c>
      <c r="J970" t="str">
        <f>VLOOKUP(orders__17[[#This Row],[Customer_ID]],customers__2[#All],4,0)</f>
        <v>Consumer</v>
      </c>
      <c r="K970" t="str">
        <f>VLOOKUP(orders__17[[#This Row],[Product_ID]],products[#All],3,0)</f>
        <v>Furniture</v>
      </c>
      <c r="L970" s="1" t="str">
        <f>VLOOKUP(orders__17[[#This Row],[Product_ID]],products[#All],4,0)</f>
        <v>Chair</v>
      </c>
      <c r="M970" s="1" t="str">
        <f>VLOOKUP(orders__17[[#This Row],[Order_ID]],returns[#All],2,0)</f>
        <v>No</v>
      </c>
    </row>
    <row r="971" spans="1:13" x14ac:dyDescent="0.3">
      <c r="A971" s="1" t="s">
        <v>1277</v>
      </c>
      <c r="B971" s="2">
        <v>44882</v>
      </c>
      <c r="C971" s="1" t="s">
        <v>391</v>
      </c>
      <c r="D971" s="1" t="s">
        <v>301</v>
      </c>
      <c r="E971">
        <v>5</v>
      </c>
      <c r="F971" s="4">
        <v>874.33</v>
      </c>
      <c r="G971" s="3">
        <v>0.2</v>
      </c>
      <c r="H971" s="4">
        <v>54.49</v>
      </c>
      <c r="I971" t="str">
        <f>VLOOKUP(orders__17[[#This Row],[Customer_ID]],customers__2[#All],3,0)</f>
        <v>West</v>
      </c>
      <c r="J971" t="str">
        <f>VLOOKUP(orders__17[[#This Row],[Customer_ID]],customers__2[#All],4,0)</f>
        <v>Corporate</v>
      </c>
      <c r="K971" t="str">
        <f>VLOOKUP(orders__17[[#This Row],[Product_ID]],products[#All],3,0)</f>
        <v>Furniture</v>
      </c>
      <c r="L971" s="1" t="str">
        <f>VLOOKUP(orders__17[[#This Row],[Product_ID]],products[#All],4,0)</f>
        <v>Table</v>
      </c>
      <c r="M971" s="1" t="str">
        <f>VLOOKUP(orders__17[[#This Row],[Order_ID]],returns[#All],2,0)</f>
        <v>No</v>
      </c>
    </row>
    <row r="972" spans="1:13" x14ac:dyDescent="0.3">
      <c r="A972" s="1" t="s">
        <v>1278</v>
      </c>
      <c r="B972" s="2">
        <v>45450</v>
      </c>
      <c r="C972" s="1" t="s">
        <v>330</v>
      </c>
      <c r="D972" s="1" t="s">
        <v>119</v>
      </c>
      <c r="E972">
        <v>4</v>
      </c>
      <c r="F972" s="4">
        <v>873.5</v>
      </c>
      <c r="G972" s="3">
        <v>0.1</v>
      </c>
      <c r="H972" s="4">
        <v>99.9</v>
      </c>
      <c r="I972" t="str">
        <f>VLOOKUP(orders__17[[#This Row],[Customer_ID]],customers__2[#All],3,0)</f>
        <v>South</v>
      </c>
      <c r="J972" t="str">
        <f>VLOOKUP(orders__17[[#This Row],[Customer_ID]],customers__2[#All],4,0)</f>
        <v>Consumer</v>
      </c>
      <c r="K972" t="str">
        <f>VLOOKUP(orders__17[[#This Row],[Product_ID]],products[#All],3,0)</f>
        <v>Technology</v>
      </c>
      <c r="L972" s="1" t="str">
        <f>VLOOKUP(orders__17[[#This Row],[Product_ID]],products[#All],4,0)</f>
        <v>Tablet</v>
      </c>
      <c r="M972" s="1" t="str">
        <f>VLOOKUP(orders__17[[#This Row],[Order_ID]],returns[#All],2,0)</f>
        <v>No</v>
      </c>
    </row>
    <row r="973" spans="1:13" x14ac:dyDescent="0.3">
      <c r="A973" s="1" t="s">
        <v>1279</v>
      </c>
      <c r="B973" s="2">
        <v>44687</v>
      </c>
      <c r="C973" s="1" t="s">
        <v>77</v>
      </c>
      <c r="D973" s="1" t="s">
        <v>132</v>
      </c>
      <c r="E973">
        <v>5</v>
      </c>
      <c r="F973" s="4">
        <v>225.42</v>
      </c>
      <c r="G973" s="3">
        <v>0.1</v>
      </c>
      <c r="H973" s="4">
        <v>18.920000000000002</v>
      </c>
      <c r="I973" t="str">
        <f>VLOOKUP(orders__17[[#This Row],[Customer_ID]],customers__2[#All],3,0)</f>
        <v>West</v>
      </c>
      <c r="J973" t="str">
        <f>VLOOKUP(orders__17[[#This Row],[Customer_ID]],customers__2[#All],4,0)</f>
        <v>Consumer</v>
      </c>
      <c r="K973" t="str">
        <f>VLOOKUP(orders__17[[#This Row],[Product_ID]],products[#All],3,0)</f>
        <v>Furniture</v>
      </c>
      <c r="L973" s="1" t="str">
        <f>VLOOKUP(orders__17[[#This Row],[Product_ID]],products[#All],4,0)</f>
        <v>Shelf</v>
      </c>
      <c r="M973" s="1" t="str">
        <f>VLOOKUP(orders__17[[#This Row],[Order_ID]],returns[#All],2,0)</f>
        <v>No</v>
      </c>
    </row>
    <row r="974" spans="1:13" x14ac:dyDescent="0.3">
      <c r="A974" s="1" t="s">
        <v>1280</v>
      </c>
      <c r="B974" s="2">
        <v>44753</v>
      </c>
      <c r="C974" s="1" t="s">
        <v>113</v>
      </c>
      <c r="D974" s="1" t="s">
        <v>147</v>
      </c>
      <c r="E974">
        <v>5</v>
      </c>
      <c r="F974" s="4">
        <v>762.76</v>
      </c>
      <c r="G974" s="3">
        <v>0.3</v>
      </c>
      <c r="H974" s="4">
        <v>87.73</v>
      </c>
      <c r="I974" t="str">
        <f>VLOOKUP(orders__17[[#This Row],[Customer_ID]],customers__2[#All],3,0)</f>
        <v>West</v>
      </c>
      <c r="J974" t="str">
        <f>VLOOKUP(orders__17[[#This Row],[Customer_ID]],customers__2[#All],4,0)</f>
        <v>Consumer</v>
      </c>
      <c r="K974" t="str">
        <f>VLOOKUP(orders__17[[#This Row],[Product_ID]],products[#All],3,0)</f>
        <v>Technology</v>
      </c>
      <c r="L974" s="1" t="str">
        <f>VLOOKUP(orders__17[[#This Row],[Product_ID]],products[#All],4,0)</f>
        <v>Laptop</v>
      </c>
      <c r="M974" s="1" t="str">
        <f>VLOOKUP(orders__17[[#This Row],[Order_ID]],returns[#All],2,0)</f>
        <v>No</v>
      </c>
    </row>
    <row r="975" spans="1:13" x14ac:dyDescent="0.3">
      <c r="A975" s="1" t="s">
        <v>1281</v>
      </c>
      <c r="B975" s="2">
        <v>45209</v>
      </c>
      <c r="C975" s="1" t="s">
        <v>332</v>
      </c>
      <c r="D975" s="1" t="s">
        <v>92</v>
      </c>
      <c r="E975">
        <v>5</v>
      </c>
      <c r="F975" s="4">
        <v>310.89999999999998</v>
      </c>
      <c r="G975" s="3">
        <v>0.3</v>
      </c>
      <c r="H975" s="4">
        <v>45.47</v>
      </c>
      <c r="I975" t="str">
        <f>VLOOKUP(orders__17[[#This Row],[Customer_ID]],customers__2[#All],3,0)</f>
        <v>North</v>
      </c>
      <c r="J975" t="str">
        <f>VLOOKUP(orders__17[[#This Row],[Customer_ID]],customers__2[#All],4,0)</f>
        <v>Home Office</v>
      </c>
      <c r="K975" t="str">
        <f>VLOOKUP(orders__17[[#This Row],[Product_ID]],products[#All],3,0)</f>
        <v>Furniture</v>
      </c>
      <c r="L975" s="1" t="str">
        <f>VLOOKUP(orders__17[[#This Row],[Product_ID]],products[#All],4,0)</f>
        <v>Shelf</v>
      </c>
      <c r="M975" s="1" t="str">
        <f>VLOOKUP(orders__17[[#This Row],[Order_ID]],returns[#All],2,0)</f>
        <v>No</v>
      </c>
    </row>
    <row r="976" spans="1:13" x14ac:dyDescent="0.3">
      <c r="A976" s="1" t="s">
        <v>1282</v>
      </c>
      <c r="B976" s="2">
        <v>44672</v>
      </c>
      <c r="C976" s="1" t="s">
        <v>353</v>
      </c>
      <c r="D976" s="1" t="s">
        <v>59</v>
      </c>
      <c r="E976">
        <v>4</v>
      </c>
      <c r="F976" s="4">
        <v>1635.65</v>
      </c>
      <c r="G976" s="3">
        <v>0.3</v>
      </c>
      <c r="H976" s="4">
        <v>467.38</v>
      </c>
      <c r="I976" t="str">
        <f>VLOOKUP(orders__17[[#This Row],[Customer_ID]],customers__2[#All],3,0)</f>
        <v>East</v>
      </c>
      <c r="J976" t="str">
        <f>VLOOKUP(orders__17[[#This Row],[Customer_ID]],customers__2[#All],4,0)</f>
        <v>Home Office</v>
      </c>
      <c r="K976" t="str">
        <f>VLOOKUP(orders__17[[#This Row],[Product_ID]],products[#All],3,0)</f>
        <v>Office Supplies</v>
      </c>
      <c r="L976" s="1" t="str">
        <f>VLOOKUP(orders__17[[#This Row],[Product_ID]],products[#All],4,0)</f>
        <v>Paper</v>
      </c>
      <c r="M976" s="1" t="str">
        <f>VLOOKUP(orders__17[[#This Row],[Order_ID]],returns[#All],2,0)</f>
        <v>No</v>
      </c>
    </row>
    <row r="977" spans="1:13" x14ac:dyDescent="0.3">
      <c r="A977" s="1" t="s">
        <v>1283</v>
      </c>
      <c r="B977" s="2">
        <v>45265</v>
      </c>
      <c r="C977" s="1" t="s">
        <v>466</v>
      </c>
      <c r="D977" s="1" t="s">
        <v>59</v>
      </c>
      <c r="E977">
        <v>4</v>
      </c>
      <c r="F977" s="4">
        <v>1900.61</v>
      </c>
      <c r="G977" s="3">
        <v>0.2</v>
      </c>
      <c r="H977" s="4">
        <v>385.05</v>
      </c>
      <c r="I977" t="str">
        <f>VLOOKUP(orders__17[[#This Row],[Customer_ID]],customers__2[#All],3,0)</f>
        <v>South</v>
      </c>
      <c r="J977" t="str">
        <f>VLOOKUP(orders__17[[#This Row],[Customer_ID]],customers__2[#All],4,0)</f>
        <v>Home Office</v>
      </c>
      <c r="K977" t="str">
        <f>VLOOKUP(orders__17[[#This Row],[Product_ID]],products[#All],3,0)</f>
        <v>Office Supplies</v>
      </c>
      <c r="L977" s="1" t="str">
        <f>VLOOKUP(orders__17[[#This Row],[Product_ID]],products[#All],4,0)</f>
        <v>Paper</v>
      </c>
      <c r="M977" s="1" t="str">
        <f>VLOOKUP(orders__17[[#This Row],[Order_ID]],returns[#All],2,0)</f>
        <v>No</v>
      </c>
    </row>
    <row r="978" spans="1:13" x14ac:dyDescent="0.3">
      <c r="A978" s="1" t="s">
        <v>1284</v>
      </c>
      <c r="B978" s="2">
        <v>45282</v>
      </c>
      <c r="C978" s="1" t="s">
        <v>265</v>
      </c>
      <c r="D978" s="1" t="s">
        <v>28</v>
      </c>
      <c r="E978">
        <v>5</v>
      </c>
      <c r="F978" s="4">
        <v>237.4</v>
      </c>
      <c r="G978" s="3">
        <v>0.1</v>
      </c>
      <c r="H978" s="4">
        <v>61.43</v>
      </c>
      <c r="I978" t="str">
        <f>VLOOKUP(orders__17[[#This Row],[Customer_ID]],customers__2[#All],3,0)</f>
        <v>East</v>
      </c>
      <c r="J978" t="str">
        <f>VLOOKUP(orders__17[[#This Row],[Customer_ID]],customers__2[#All],4,0)</f>
        <v>Consumer</v>
      </c>
      <c r="K978" t="str">
        <f>VLOOKUP(orders__17[[#This Row],[Product_ID]],products[#All],3,0)</f>
        <v>Office Supplies</v>
      </c>
      <c r="L978" s="1" t="str">
        <f>VLOOKUP(orders__17[[#This Row],[Product_ID]],products[#All],4,0)</f>
        <v>Storage</v>
      </c>
      <c r="M978" s="1" t="str">
        <f>VLOOKUP(orders__17[[#This Row],[Order_ID]],returns[#All],2,0)</f>
        <v>No</v>
      </c>
    </row>
    <row r="979" spans="1:13" x14ac:dyDescent="0.3">
      <c r="A979" s="1" t="s">
        <v>1285</v>
      </c>
      <c r="B979" s="2">
        <v>44877</v>
      </c>
      <c r="C979" s="1" t="s">
        <v>1043</v>
      </c>
      <c r="D979" s="1" t="s">
        <v>211</v>
      </c>
      <c r="E979">
        <v>2</v>
      </c>
      <c r="F979" s="4">
        <v>1914.72</v>
      </c>
      <c r="G979" s="3">
        <v>0.2</v>
      </c>
      <c r="H979" s="4">
        <v>435.77</v>
      </c>
      <c r="I979" t="str">
        <f>VLOOKUP(orders__17[[#This Row],[Customer_ID]],customers__2[#All],3,0)</f>
        <v>South</v>
      </c>
      <c r="J979" t="str">
        <f>VLOOKUP(orders__17[[#This Row],[Customer_ID]],customers__2[#All],4,0)</f>
        <v>Corporate</v>
      </c>
      <c r="K979" t="str">
        <f>VLOOKUP(orders__17[[#This Row],[Product_ID]],products[#All],3,0)</f>
        <v>Office Supplies</v>
      </c>
      <c r="L979" s="1" t="str">
        <f>VLOOKUP(orders__17[[#This Row],[Product_ID]],products[#All],4,0)</f>
        <v>Binder</v>
      </c>
      <c r="M979" s="1" t="str">
        <f>VLOOKUP(orders__17[[#This Row],[Order_ID]],returns[#All],2,0)</f>
        <v>No</v>
      </c>
    </row>
    <row r="980" spans="1:13" x14ac:dyDescent="0.3">
      <c r="A980" s="1" t="s">
        <v>1286</v>
      </c>
      <c r="B980" s="2">
        <v>45362</v>
      </c>
      <c r="C980" s="1" t="s">
        <v>622</v>
      </c>
      <c r="D980" s="1" t="s">
        <v>127</v>
      </c>
      <c r="E980">
        <v>3</v>
      </c>
      <c r="F980" s="4">
        <v>1092.9000000000001</v>
      </c>
      <c r="G980" s="3">
        <v>0.3</v>
      </c>
      <c r="H980" s="4">
        <v>85.38</v>
      </c>
      <c r="I980" t="str">
        <f>VLOOKUP(orders__17[[#This Row],[Customer_ID]],customers__2[#All],3,0)</f>
        <v>South</v>
      </c>
      <c r="J980" t="str">
        <f>VLOOKUP(orders__17[[#This Row],[Customer_ID]],customers__2[#All],4,0)</f>
        <v>Home Office</v>
      </c>
      <c r="K980" t="str">
        <f>VLOOKUP(orders__17[[#This Row],[Product_ID]],products[#All],3,0)</f>
        <v>Furniture</v>
      </c>
      <c r="L980" s="1" t="str">
        <f>VLOOKUP(orders__17[[#This Row],[Product_ID]],products[#All],4,0)</f>
        <v>Chair</v>
      </c>
      <c r="M980" s="1" t="str">
        <f>VLOOKUP(orders__17[[#This Row],[Order_ID]],returns[#All],2,0)</f>
        <v>Yes</v>
      </c>
    </row>
    <row r="981" spans="1:13" x14ac:dyDescent="0.3">
      <c r="A981" s="1" t="s">
        <v>1287</v>
      </c>
      <c r="B981" s="2">
        <v>45417</v>
      </c>
      <c r="C981" s="1" t="s">
        <v>285</v>
      </c>
      <c r="D981" s="1" t="s">
        <v>51</v>
      </c>
      <c r="E981">
        <v>3</v>
      </c>
      <c r="F981" s="4">
        <v>669.17</v>
      </c>
      <c r="G981" s="3">
        <v>0.1</v>
      </c>
      <c r="H981" s="4">
        <v>156.57</v>
      </c>
      <c r="I981" t="str">
        <f>VLOOKUP(orders__17[[#This Row],[Customer_ID]],customers__2[#All],3,0)</f>
        <v>South</v>
      </c>
      <c r="J981" t="str">
        <f>VLOOKUP(orders__17[[#This Row],[Customer_ID]],customers__2[#All],4,0)</f>
        <v>Corporate</v>
      </c>
      <c r="K981" t="str">
        <f>VLOOKUP(orders__17[[#This Row],[Product_ID]],products[#All],3,0)</f>
        <v>Office Supplies</v>
      </c>
      <c r="L981" s="1" t="str">
        <f>VLOOKUP(orders__17[[#This Row],[Product_ID]],products[#All],4,0)</f>
        <v>Pen</v>
      </c>
      <c r="M981" s="1" t="str">
        <f>VLOOKUP(orders__17[[#This Row],[Order_ID]],returns[#All],2,0)</f>
        <v>No</v>
      </c>
    </row>
    <row r="982" spans="1:13" x14ac:dyDescent="0.3">
      <c r="A982" s="1" t="s">
        <v>1288</v>
      </c>
      <c r="B982" s="2">
        <v>45317</v>
      </c>
      <c r="C982" s="1" t="s">
        <v>69</v>
      </c>
      <c r="D982" s="1" t="s">
        <v>364</v>
      </c>
      <c r="E982">
        <v>3</v>
      </c>
      <c r="F982" s="4">
        <v>246.04</v>
      </c>
      <c r="G982" s="3">
        <v>0.2</v>
      </c>
      <c r="H982" s="4">
        <v>29.22</v>
      </c>
      <c r="I982" t="str">
        <f>VLOOKUP(orders__17[[#This Row],[Customer_ID]],customers__2[#All],3,0)</f>
        <v>West</v>
      </c>
      <c r="J982" t="str">
        <f>VLOOKUP(orders__17[[#This Row],[Customer_ID]],customers__2[#All],4,0)</f>
        <v>Corporate</v>
      </c>
      <c r="K982" t="str">
        <f>VLOOKUP(orders__17[[#This Row],[Product_ID]],products[#All],3,0)</f>
        <v>Technology</v>
      </c>
      <c r="L982" s="1" t="str">
        <f>VLOOKUP(orders__17[[#This Row],[Product_ID]],products[#All],4,0)</f>
        <v>Accessories</v>
      </c>
      <c r="M982" s="1" t="str">
        <f>VLOOKUP(orders__17[[#This Row],[Order_ID]],returns[#All],2,0)</f>
        <v>No</v>
      </c>
    </row>
    <row r="983" spans="1:13" x14ac:dyDescent="0.3">
      <c r="A983" s="1" t="s">
        <v>1289</v>
      </c>
      <c r="B983" s="2">
        <v>44949</v>
      </c>
      <c r="C983" s="1" t="s">
        <v>138</v>
      </c>
      <c r="D983" s="1" t="s">
        <v>283</v>
      </c>
      <c r="E983">
        <v>4</v>
      </c>
      <c r="F983" s="4">
        <v>1051.19</v>
      </c>
      <c r="G983" s="3">
        <v>0.2</v>
      </c>
      <c r="H983" s="4">
        <v>220.52</v>
      </c>
      <c r="I983" t="str">
        <f>VLOOKUP(orders__17[[#This Row],[Customer_ID]],customers__2[#All],3,0)</f>
        <v>West</v>
      </c>
      <c r="J983" t="str">
        <f>VLOOKUP(orders__17[[#This Row],[Customer_ID]],customers__2[#All],4,0)</f>
        <v>Consumer</v>
      </c>
      <c r="K983" t="str">
        <f>VLOOKUP(orders__17[[#This Row],[Product_ID]],products[#All],3,0)</f>
        <v>Furniture</v>
      </c>
      <c r="L983" s="1" t="str">
        <f>VLOOKUP(orders__17[[#This Row],[Product_ID]],products[#All],4,0)</f>
        <v>Chair</v>
      </c>
      <c r="M983" s="1" t="str">
        <f>VLOOKUP(orders__17[[#This Row],[Order_ID]],returns[#All],2,0)</f>
        <v>No</v>
      </c>
    </row>
    <row r="984" spans="1:13" x14ac:dyDescent="0.3">
      <c r="A984" s="1" t="s">
        <v>1290</v>
      </c>
      <c r="B984" s="2">
        <v>44654</v>
      </c>
      <c r="C984" s="1" t="s">
        <v>353</v>
      </c>
      <c r="D984" s="1" t="s">
        <v>603</v>
      </c>
      <c r="E984">
        <v>4</v>
      </c>
      <c r="F984" s="4">
        <v>1609.58</v>
      </c>
      <c r="G984" s="3">
        <v>0</v>
      </c>
      <c r="H984" s="4">
        <v>217.68</v>
      </c>
      <c r="I984" t="str">
        <f>VLOOKUP(orders__17[[#This Row],[Customer_ID]],customers__2[#All],3,0)</f>
        <v>East</v>
      </c>
      <c r="J984" t="str">
        <f>VLOOKUP(orders__17[[#This Row],[Customer_ID]],customers__2[#All],4,0)</f>
        <v>Home Office</v>
      </c>
      <c r="K984" t="str">
        <f>VLOOKUP(orders__17[[#This Row],[Product_ID]],products[#All],3,0)</f>
        <v>Technology</v>
      </c>
      <c r="L984" s="1" t="str">
        <f>VLOOKUP(orders__17[[#This Row],[Product_ID]],products[#All],4,0)</f>
        <v>Accessories</v>
      </c>
      <c r="M984" s="1" t="str">
        <f>VLOOKUP(orders__17[[#This Row],[Order_ID]],returns[#All],2,0)</f>
        <v>No</v>
      </c>
    </row>
    <row r="985" spans="1:13" x14ac:dyDescent="0.3">
      <c r="A985" s="1" t="s">
        <v>1291</v>
      </c>
      <c r="B985" s="2">
        <v>44808</v>
      </c>
      <c r="C985" s="1" t="s">
        <v>182</v>
      </c>
      <c r="D985" s="1" t="s">
        <v>122</v>
      </c>
      <c r="E985">
        <v>2</v>
      </c>
      <c r="F985" s="4">
        <v>1443.46</v>
      </c>
      <c r="G985" s="3">
        <v>0.2</v>
      </c>
      <c r="H985" s="4">
        <v>432.2</v>
      </c>
      <c r="I985" t="str">
        <f>VLOOKUP(orders__17[[#This Row],[Customer_ID]],customers__2[#All],3,0)</f>
        <v>South</v>
      </c>
      <c r="J985" t="str">
        <f>VLOOKUP(orders__17[[#This Row],[Customer_ID]],customers__2[#All],4,0)</f>
        <v>Consumer</v>
      </c>
      <c r="K985" t="str">
        <f>VLOOKUP(orders__17[[#This Row],[Product_ID]],products[#All],3,0)</f>
        <v>Office Supplies</v>
      </c>
      <c r="L985" s="1" t="str">
        <f>VLOOKUP(orders__17[[#This Row],[Product_ID]],products[#All],4,0)</f>
        <v>Storage</v>
      </c>
      <c r="M985" s="1" t="str">
        <f>VLOOKUP(orders__17[[#This Row],[Order_ID]],returns[#All],2,0)</f>
        <v>No</v>
      </c>
    </row>
    <row r="986" spans="1:13" x14ac:dyDescent="0.3">
      <c r="A986" s="1" t="s">
        <v>1292</v>
      </c>
      <c r="B986" s="2">
        <v>45412</v>
      </c>
      <c r="C986" s="1" t="s">
        <v>292</v>
      </c>
      <c r="D986" s="1" t="s">
        <v>304</v>
      </c>
      <c r="E986">
        <v>3</v>
      </c>
      <c r="F986" s="4">
        <v>195.43</v>
      </c>
      <c r="G986" s="3">
        <v>0.3</v>
      </c>
      <c r="H986" s="4">
        <v>22.65</v>
      </c>
      <c r="I986" t="str">
        <f>VLOOKUP(orders__17[[#This Row],[Customer_ID]],customers__2[#All],3,0)</f>
        <v>North</v>
      </c>
      <c r="J986" t="str">
        <f>VLOOKUP(orders__17[[#This Row],[Customer_ID]],customers__2[#All],4,0)</f>
        <v>Consumer</v>
      </c>
      <c r="K986" t="str">
        <f>VLOOKUP(orders__17[[#This Row],[Product_ID]],products[#All],3,0)</f>
        <v>Technology</v>
      </c>
      <c r="L986" s="1" t="str">
        <f>VLOOKUP(orders__17[[#This Row],[Product_ID]],products[#All],4,0)</f>
        <v>Accessories</v>
      </c>
      <c r="M986" s="1" t="str">
        <f>VLOOKUP(orders__17[[#This Row],[Order_ID]],returns[#All],2,0)</f>
        <v>Yes</v>
      </c>
    </row>
    <row r="987" spans="1:13" x14ac:dyDescent="0.3">
      <c r="A987" s="1" t="s">
        <v>1293</v>
      </c>
      <c r="B987" s="2">
        <v>44698</v>
      </c>
      <c r="C987" s="1" t="s">
        <v>391</v>
      </c>
      <c r="D987" s="1" t="s">
        <v>97</v>
      </c>
      <c r="E987">
        <v>3</v>
      </c>
      <c r="F987" s="4">
        <v>238.51</v>
      </c>
      <c r="G987" s="3">
        <v>0.2</v>
      </c>
      <c r="H987" s="4">
        <v>28.57</v>
      </c>
      <c r="I987" t="str">
        <f>VLOOKUP(orders__17[[#This Row],[Customer_ID]],customers__2[#All],3,0)</f>
        <v>West</v>
      </c>
      <c r="J987" t="str">
        <f>VLOOKUP(orders__17[[#This Row],[Customer_ID]],customers__2[#All],4,0)</f>
        <v>Corporate</v>
      </c>
      <c r="K987" t="str">
        <f>VLOOKUP(orders__17[[#This Row],[Product_ID]],products[#All],3,0)</f>
        <v>Technology</v>
      </c>
      <c r="L987" s="1" t="str">
        <f>VLOOKUP(orders__17[[#This Row],[Product_ID]],products[#All],4,0)</f>
        <v>Tablet</v>
      </c>
      <c r="M987" s="1" t="str">
        <f>VLOOKUP(orders__17[[#This Row],[Order_ID]],returns[#All],2,0)</f>
        <v>No</v>
      </c>
    </row>
    <row r="988" spans="1:13" x14ac:dyDescent="0.3">
      <c r="A988" s="1" t="s">
        <v>1294</v>
      </c>
      <c r="B988" s="2">
        <v>45278</v>
      </c>
      <c r="C988" s="1" t="s">
        <v>287</v>
      </c>
      <c r="D988" s="1" t="s">
        <v>263</v>
      </c>
      <c r="E988">
        <v>5</v>
      </c>
      <c r="F988" s="4">
        <v>865.46</v>
      </c>
      <c r="G988" s="3">
        <v>0.1</v>
      </c>
      <c r="H988" s="4">
        <v>244.64</v>
      </c>
      <c r="I988" t="str">
        <f>VLOOKUP(orders__17[[#This Row],[Customer_ID]],customers__2[#All],3,0)</f>
        <v>South</v>
      </c>
      <c r="J988" t="str">
        <f>VLOOKUP(orders__17[[#This Row],[Customer_ID]],customers__2[#All],4,0)</f>
        <v>Consumer</v>
      </c>
      <c r="K988" t="str">
        <f>VLOOKUP(orders__17[[#This Row],[Product_ID]],products[#All],3,0)</f>
        <v>Office Supplies</v>
      </c>
      <c r="L988" s="1" t="str">
        <f>VLOOKUP(orders__17[[#This Row],[Product_ID]],products[#All],4,0)</f>
        <v>Storage</v>
      </c>
      <c r="M988" s="1" t="str">
        <f>VLOOKUP(orders__17[[#This Row],[Order_ID]],returns[#All],2,0)</f>
        <v>No</v>
      </c>
    </row>
    <row r="989" spans="1:13" x14ac:dyDescent="0.3">
      <c r="A989" s="1" t="s">
        <v>1295</v>
      </c>
      <c r="B989" s="2">
        <v>44894</v>
      </c>
      <c r="C989" s="1" t="s">
        <v>158</v>
      </c>
      <c r="D989" s="1" t="s">
        <v>34</v>
      </c>
      <c r="E989">
        <v>4</v>
      </c>
      <c r="F989" s="4">
        <v>661.05</v>
      </c>
      <c r="G989" s="3">
        <v>0.2</v>
      </c>
      <c r="H989" s="4">
        <v>37.130000000000003</v>
      </c>
      <c r="I989" t="str">
        <f>VLOOKUP(orders__17[[#This Row],[Customer_ID]],customers__2[#All],3,0)</f>
        <v>West</v>
      </c>
      <c r="J989" t="str">
        <f>VLOOKUP(orders__17[[#This Row],[Customer_ID]],customers__2[#All],4,0)</f>
        <v>Corporate</v>
      </c>
      <c r="K989" t="str">
        <f>VLOOKUP(orders__17[[#This Row],[Product_ID]],products[#All],3,0)</f>
        <v>Furniture</v>
      </c>
      <c r="L989" s="1" t="str">
        <f>VLOOKUP(orders__17[[#This Row],[Product_ID]],products[#All],4,0)</f>
        <v>Table</v>
      </c>
      <c r="M989" s="1" t="str">
        <f>VLOOKUP(orders__17[[#This Row],[Order_ID]],returns[#All],2,0)</f>
        <v>No</v>
      </c>
    </row>
    <row r="990" spans="1:13" x14ac:dyDescent="0.3">
      <c r="A990" s="1" t="s">
        <v>1296</v>
      </c>
      <c r="B990" s="2">
        <v>45394</v>
      </c>
      <c r="C990" s="1" t="s">
        <v>85</v>
      </c>
      <c r="D990" s="1" t="s">
        <v>369</v>
      </c>
      <c r="E990">
        <v>3</v>
      </c>
      <c r="F990" s="4">
        <v>541.53</v>
      </c>
      <c r="G990" s="3">
        <v>0</v>
      </c>
      <c r="H990" s="4">
        <v>121.4</v>
      </c>
      <c r="I990" t="str">
        <f>VLOOKUP(orders__17[[#This Row],[Customer_ID]],customers__2[#All],3,0)</f>
        <v>East</v>
      </c>
      <c r="J990" t="str">
        <f>VLOOKUP(orders__17[[#This Row],[Customer_ID]],customers__2[#All],4,0)</f>
        <v>Corporate</v>
      </c>
      <c r="K990" t="str">
        <f>VLOOKUP(orders__17[[#This Row],[Product_ID]],products[#All],3,0)</f>
        <v>Technology</v>
      </c>
      <c r="L990" s="1" t="str">
        <f>VLOOKUP(orders__17[[#This Row],[Product_ID]],products[#All],4,0)</f>
        <v>Phone</v>
      </c>
      <c r="M990" s="1" t="str">
        <f>VLOOKUP(orders__17[[#This Row],[Order_ID]],returns[#All],2,0)</f>
        <v>No</v>
      </c>
    </row>
    <row r="991" spans="1:13" x14ac:dyDescent="0.3">
      <c r="A991" s="1" t="s">
        <v>1297</v>
      </c>
      <c r="B991" s="2">
        <v>44745</v>
      </c>
      <c r="C991" s="1" t="s">
        <v>605</v>
      </c>
      <c r="D991" s="1" t="s">
        <v>451</v>
      </c>
      <c r="E991">
        <v>2</v>
      </c>
      <c r="F991" s="4">
        <v>633.91</v>
      </c>
      <c r="G991" s="3">
        <v>0.1</v>
      </c>
      <c r="H991" s="4">
        <v>146.63999999999999</v>
      </c>
      <c r="I991" t="str">
        <f>VLOOKUP(orders__17[[#This Row],[Customer_ID]],customers__2[#All],3,0)</f>
        <v>West</v>
      </c>
      <c r="J991" t="str">
        <f>VLOOKUP(orders__17[[#This Row],[Customer_ID]],customers__2[#All],4,0)</f>
        <v>Corporate</v>
      </c>
      <c r="K991" t="str">
        <f>VLOOKUP(orders__17[[#This Row],[Product_ID]],products[#All],3,0)</f>
        <v>Technology</v>
      </c>
      <c r="L991" s="1" t="str">
        <f>VLOOKUP(orders__17[[#This Row],[Product_ID]],products[#All],4,0)</f>
        <v>Laptop</v>
      </c>
      <c r="M991" s="1" t="str">
        <f>VLOOKUP(orders__17[[#This Row],[Order_ID]],returns[#All],2,0)</f>
        <v>Yes</v>
      </c>
    </row>
    <row r="992" spans="1:13" x14ac:dyDescent="0.3">
      <c r="A992" s="1" t="s">
        <v>1298</v>
      </c>
      <c r="B992" s="2">
        <v>45058</v>
      </c>
      <c r="C992" s="1" t="s">
        <v>69</v>
      </c>
      <c r="D992" s="1" t="s">
        <v>48</v>
      </c>
      <c r="E992">
        <v>2</v>
      </c>
      <c r="F992" s="4">
        <v>1626.62</v>
      </c>
      <c r="G992" s="3">
        <v>0.1</v>
      </c>
      <c r="H992" s="4">
        <v>421.45</v>
      </c>
      <c r="I992" t="str">
        <f>VLOOKUP(orders__17[[#This Row],[Customer_ID]],customers__2[#All],3,0)</f>
        <v>West</v>
      </c>
      <c r="J992" t="str">
        <f>VLOOKUP(orders__17[[#This Row],[Customer_ID]],customers__2[#All],4,0)</f>
        <v>Corporate</v>
      </c>
      <c r="K992" t="str">
        <f>VLOOKUP(orders__17[[#This Row],[Product_ID]],products[#All],3,0)</f>
        <v>Office Supplies</v>
      </c>
      <c r="L992" s="1" t="str">
        <f>VLOOKUP(orders__17[[#This Row],[Product_ID]],products[#All],4,0)</f>
        <v>Pen</v>
      </c>
      <c r="M992" s="1" t="str">
        <f>VLOOKUP(orders__17[[#This Row],[Order_ID]],returns[#All],2,0)</f>
        <v>No</v>
      </c>
    </row>
    <row r="993" spans="1:13" x14ac:dyDescent="0.3">
      <c r="A993" s="1" t="s">
        <v>1299</v>
      </c>
      <c r="B993" s="2">
        <v>44854</v>
      </c>
      <c r="C993" s="1" t="s">
        <v>223</v>
      </c>
      <c r="D993" s="1" t="s">
        <v>22</v>
      </c>
      <c r="E993">
        <v>3</v>
      </c>
      <c r="F993" s="4">
        <v>1865.53</v>
      </c>
      <c r="G993" s="3">
        <v>0</v>
      </c>
      <c r="H993" s="4">
        <v>547.74</v>
      </c>
      <c r="I993" t="str">
        <f>VLOOKUP(orders__17[[#This Row],[Customer_ID]],customers__2[#All],3,0)</f>
        <v>East</v>
      </c>
      <c r="J993" t="str">
        <f>VLOOKUP(orders__17[[#This Row],[Customer_ID]],customers__2[#All],4,0)</f>
        <v>Home Office</v>
      </c>
      <c r="K993" t="str">
        <f>VLOOKUP(orders__17[[#This Row],[Product_ID]],products[#All],3,0)</f>
        <v>Furniture</v>
      </c>
      <c r="L993" s="1" t="str">
        <f>VLOOKUP(orders__17[[#This Row],[Product_ID]],products[#All],4,0)</f>
        <v>Chair</v>
      </c>
      <c r="M993" s="1" t="str">
        <f>VLOOKUP(orders__17[[#This Row],[Order_ID]],returns[#All],2,0)</f>
        <v>Yes</v>
      </c>
    </row>
    <row r="994" spans="1:13" x14ac:dyDescent="0.3">
      <c r="A994" s="1" t="s">
        <v>1300</v>
      </c>
      <c r="B994" s="2">
        <v>44722</v>
      </c>
      <c r="C994" s="1" t="s">
        <v>113</v>
      </c>
      <c r="D994" s="1" t="s">
        <v>116</v>
      </c>
      <c r="E994">
        <v>4</v>
      </c>
      <c r="F994" s="4">
        <v>869.7</v>
      </c>
      <c r="G994" s="3">
        <v>0.3</v>
      </c>
      <c r="H994" s="4">
        <v>255.61</v>
      </c>
      <c r="I994" t="str">
        <f>VLOOKUP(orders__17[[#This Row],[Customer_ID]],customers__2[#All],3,0)</f>
        <v>West</v>
      </c>
      <c r="J994" t="str">
        <f>VLOOKUP(orders__17[[#This Row],[Customer_ID]],customers__2[#All],4,0)</f>
        <v>Consumer</v>
      </c>
      <c r="K994" t="str">
        <f>VLOOKUP(orders__17[[#This Row],[Product_ID]],products[#All],3,0)</f>
        <v>Furniture</v>
      </c>
      <c r="L994" s="1" t="str">
        <f>VLOOKUP(orders__17[[#This Row],[Product_ID]],products[#All],4,0)</f>
        <v>Shelf</v>
      </c>
      <c r="M994" s="1" t="str">
        <f>VLOOKUP(orders__17[[#This Row],[Order_ID]],returns[#All],2,0)</f>
        <v>No</v>
      </c>
    </row>
    <row r="995" spans="1:13" x14ac:dyDescent="0.3">
      <c r="A995" s="1" t="s">
        <v>1301</v>
      </c>
      <c r="B995" s="2">
        <v>45280</v>
      </c>
      <c r="C995" s="1" t="s">
        <v>74</v>
      </c>
      <c r="D995" s="1" t="s">
        <v>294</v>
      </c>
      <c r="E995">
        <v>2</v>
      </c>
      <c r="F995" s="4">
        <v>1821.61</v>
      </c>
      <c r="G995" s="3">
        <v>0.1</v>
      </c>
      <c r="H995" s="4">
        <v>120.81</v>
      </c>
      <c r="I995" t="str">
        <f>VLOOKUP(orders__17[[#This Row],[Customer_ID]],customers__2[#All],3,0)</f>
        <v>North</v>
      </c>
      <c r="J995" t="str">
        <f>VLOOKUP(orders__17[[#This Row],[Customer_ID]],customers__2[#All],4,0)</f>
        <v>Consumer</v>
      </c>
      <c r="K995" t="str">
        <f>VLOOKUP(orders__17[[#This Row],[Product_ID]],products[#All],3,0)</f>
        <v>Technology</v>
      </c>
      <c r="L995" s="1" t="str">
        <f>VLOOKUP(orders__17[[#This Row],[Product_ID]],products[#All],4,0)</f>
        <v>Tablet</v>
      </c>
      <c r="M995" s="1" t="str">
        <f>VLOOKUP(orders__17[[#This Row],[Order_ID]],returns[#All],2,0)</f>
        <v>No</v>
      </c>
    </row>
    <row r="996" spans="1:13" x14ac:dyDescent="0.3">
      <c r="A996" s="1" t="s">
        <v>1302</v>
      </c>
      <c r="B996" s="2">
        <v>44970</v>
      </c>
      <c r="C996" s="1" t="s">
        <v>786</v>
      </c>
      <c r="D996" s="1" t="s">
        <v>364</v>
      </c>
      <c r="E996">
        <v>5</v>
      </c>
      <c r="F996" s="4">
        <v>710.84</v>
      </c>
      <c r="G996" s="3">
        <v>0.3</v>
      </c>
      <c r="H996" s="4">
        <v>181.59</v>
      </c>
      <c r="I996" t="str">
        <f>VLOOKUP(orders__17[[#This Row],[Customer_ID]],customers__2[#All],3,0)</f>
        <v>East</v>
      </c>
      <c r="J996" t="str">
        <f>VLOOKUP(orders__17[[#This Row],[Customer_ID]],customers__2[#All],4,0)</f>
        <v>Corporate</v>
      </c>
      <c r="K996" t="str">
        <f>VLOOKUP(orders__17[[#This Row],[Product_ID]],products[#All],3,0)</f>
        <v>Technology</v>
      </c>
      <c r="L996" s="1" t="str">
        <f>VLOOKUP(orders__17[[#This Row],[Product_ID]],products[#All],4,0)</f>
        <v>Accessories</v>
      </c>
      <c r="M996" s="1" t="str">
        <f>VLOOKUP(orders__17[[#This Row],[Order_ID]],returns[#All],2,0)</f>
        <v>Yes</v>
      </c>
    </row>
    <row r="997" spans="1:13" x14ac:dyDescent="0.3">
      <c r="A997" s="1" t="s">
        <v>1303</v>
      </c>
      <c r="B997" s="2">
        <v>45025</v>
      </c>
      <c r="C997" s="1" t="s">
        <v>260</v>
      </c>
      <c r="D997" s="1" t="s">
        <v>288</v>
      </c>
      <c r="E997">
        <v>2</v>
      </c>
      <c r="F997" s="4">
        <v>1005.23</v>
      </c>
      <c r="G997" s="3">
        <v>0.1</v>
      </c>
      <c r="H997" s="4">
        <v>212.68</v>
      </c>
      <c r="I997" t="str">
        <f>VLOOKUP(orders__17[[#This Row],[Customer_ID]],customers__2[#All],3,0)</f>
        <v>East</v>
      </c>
      <c r="J997" t="str">
        <f>VLOOKUP(orders__17[[#This Row],[Customer_ID]],customers__2[#All],4,0)</f>
        <v>Consumer</v>
      </c>
      <c r="K997" t="str">
        <f>VLOOKUP(orders__17[[#This Row],[Product_ID]],products[#All],3,0)</f>
        <v>Furniture</v>
      </c>
      <c r="L997" s="1" t="str">
        <f>VLOOKUP(orders__17[[#This Row],[Product_ID]],products[#All],4,0)</f>
        <v>Chair</v>
      </c>
      <c r="M997" s="1" t="str">
        <f>VLOOKUP(orders__17[[#This Row],[Order_ID]],returns[#All],2,0)</f>
        <v>No</v>
      </c>
    </row>
    <row r="998" spans="1:13" x14ac:dyDescent="0.3">
      <c r="A998" s="1" t="s">
        <v>1304</v>
      </c>
      <c r="B998" s="2">
        <v>45169</v>
      </c>
      <c r="C998" s="1" t="s">
        <v>442</v>
      </c>
      <c r="D998" s="1" t="s">
        <v>253</v>
      </c>
      <c r="E998">
        <v>1</v>
      </c>
      <c r="F998" s="4">
        <v>529.46</v>
      </c>
      <c r="G998" s="3">
        <v>0.1</v>
      </c>
      <c r="H998" s="4">
        <v>112.16</v>
      </c>
      <c r="I998" t="str">
        <f>VLOOKUP(orders__17[[#This Row],[Customer_ID]],customers__2[#All],3,0)</f>
        <v>North</v>
      </c>
      <c r="J998" t="str">
        <f>VLOOKUP(orders__17[[#This Row],[Customer_ID]],customers__2[#All],4,0)</f>
        <v>Consumer</v>
      </c>
      <c r="K998" t="str">
        <f>VLOOKUP(orders__17[[#This Row],[Product_ID]],products[#All],3,0)</f>
        <v>Technology</v>
      </c>
      <c r="L998" s="1" t="str">
        <f>VLOOKUP(orders__17[[#This Row],[Product_ID]],products[#All],4,0)</f>
        <v>Accessories</v>
      </c>
      <c r="M998" s="1" t="str">
        <f>VLOOKUP(orders__17[[#This Row],[Order_ID]],returns[#All],2,0)</f>
        <v>Yes</v>
      </c>
    </row>
    <row r="999" spans="1:13" x14ac:dyDescent="0.3">
      <c r="A999" s="1" t="s">
        <v>1305</v>
      </c>
      <c r="B999" s="2">
        <v>44767</v>
      </c>
      <c r="C999" s="1" t="s">
        <v>200</v>
      </c>
      <c r="D999" s="1" t="s">
        <v>143</v>
      </c>
      <c r="E999">
        <v>1</v>
      </c>
      <c r="F999" s="4">
        <v>1316.9</v>
      </c>
      <c r="G999" s="3">
        <v>0.3</v>
      </c>
      <c r="H999" s="4">
        <v>108.1</v>
      </c>
      <c r="I999" t="str">
        <f>VLOOKUP(orders__17[[#This Row],[Customer_ID]],customers__2[#All],3,0)</f>
        <v>East</v>
      </c>
      <c r="J999" t="str">
        <f>VLOOKUP(orders__17[[#This Row],[Customer_ID]],customers__2[#All],4,0)</f>
        <v>Consumer</v>
      </c>
      <c r="K999" t="str">
        <f>VLOOKUP(orders__17[[#This Row],[Product_ID]],products[#All],3,0)</f>
        <v>Furniture</v>
      </c>
      <c r="L999" s="1" t="str">
        <f>VLOOKUP(orders__17[[#This Row],[Product_ID]],products[#All],4,0)</f>
        <v>Shelf</v>
      </c>
      <c r="M999" s="1" t="str">
        <f>VLOOKUP(orders__17[[#This Row],[Order_ID]],returns[#All],2,0)</f>
        <v>Yes</v>
      </c>
    </row>
    <row r="1000" spans="1:13" x14ac:dyDescent="0.3">
      <c r="A1000" s="1" t="s">
        <v>1306</v>
      </c>
      <c r="B1000" s="2">
        <v>45335</v>
      </c>
      <c r="C1000" s="1" t="s">
        <v>422</v>
      </c>
      <c r="D1000" s="1" t="s">
        <v>211</v>
      </c>
      <c r="E1000">
        <v>4</v>
      </c>
      <c r="F1000" s="4">
        <v>1960.06</v>
      </c>
      <c r="G1000" s="3">
        <v>0.1</v>
      </c>
      <c r="H1000" s="4">
        <v>416.6</v>
      </c>
      <c r="I1000" t="str">
        <f>VLOOKUP(orders__17[[#This Row],[Customer_ID]],customers__2[#All],3,0)</f>
        <v>East</v>
      </c>
      <c r="J1000" t="str">
        <f>VLOOKUP(orders__17[[#This Row],[Customer_ID]],customers__2[#All],4,0)</f>
        <v>Home Office</v>
      </c>
      <c r="K1000" t="str">
        <f>VLOOKUP(orders__17[[#This Row],[Product_ID]],products[#All],3,0)</f>
        <v>Office Supplies</v>
      </c>
      <c r="L1000" s="1" t="str">
        <f>VLOOKUP(orders__17[[#This Row],[Product_ID]],products[#All],4,0)</f>
        <v>Binder</v>
      </c>
      <c r="M1000" s="1" t="str">
        <f>VLOOKUP(orders__17[[#This Row],[Order_ID]],returns[#All],2,0)</f>
        <v>No</v>
      </c>
    </row>
    <row r="1001" spans="1:13" x14ac:dyDescent="0.3">
      <c r="A1001" s="1" t="s">
        <v>1307</v>
      </c>
      <c r="B1001" s="2">
        <v>44807</v>
      </c>
      <c r="C1001" s="1" t="s">
        <v>406</v>
      </c>
      <c r="D1001" s="1" t="s">
        <v>177</v>
      </c>
      <c r="E1001">
        <v>3</v>
      </c>
      <c r="F1001" s="4">
        <v>1246.6400000000001</v>
      </c>
      <c r="G1001" s="3">
        <v>0.3</v>
      </c>
      <c r="H1001" s="4">
        <v>368.53</v>
      </c>
      <c r="I1001" t="str">
        <f>VLOOKUP(orders__17[[#This Row],[Customer_ID]],customers__2[#All],3,0)</f>
        <v>East</v>
      </c>
      <c r="J1001" t="str">
        <f>VLOOKUP(orders__17[[#This Row],[Customer_ID]],customers__2[#All],4,0)</f>
        <v>Home Office</v>
      </c>
      <c r="K1001" t="str">
        <f>VLOOKUP(orders__17[[#This Row],[Product_ID]],products[#All],3,0)</f>
        <v>Furniture</v>
      </c>
      <c r="L1001" s="1" t="str">
        <f>VLOOKUP(orders__17[[#This Row],[Product_ID]],products[#All],4,0)</f>
        <v>Table</v>
      </c>
      <c r="M1001" s="1" t="str">
        <f>VLOOKUP(orders__17[[#This Row],[Order_ID]],returns[#All],2,0)</f>
        <v>No</v>
      </c>
    </row>
    <row r="1002" spans="1:13" x14ac:dyDescent="0.3">
      <c r="A1002" s="1" t="s">
        <v>1308</v>
      </c>
      <c r="B1002" s="2">
        <v>45187</v>
      </c>
      <c r="C1002" s="1" t="s">
        <v>53</v>
      </c>
      <c r="D1002" s="1" t="s">
        <v>143</v>
      </c>
      <c r="E1002">
        <v>4</v>
      </c>
      <c r="F1002" s="4">
        <v>779.85</v>
      </c>
      <c r="G1002" s="3">
        <v>0</v>
      </c>
      <c r="H1002" s="4">
        <v>216.76</v>
      </c>
      <c r="I1002" t="str">
        <f>VLOOKUP(orders__17[[#This Row],[Customer_ID]],customers__2[#All],3,0)</f>
        <v>West</v>
      </c>
      <c r="J1002" t="str">
        <f>VLOOKUP(orders__17[[#This Row],[Customer_ID]],customers__2[#All],4,0)</f>
        <v>Home Office</v>
      </c>
      <c r="K1002" t="str">
        <f>VLOOKUP(orders__17[[#This Row],[Product_ID]],products[#All],3,0)</f>
        <v>Furniture</v>
      </c>
      <c r="L1002" s="1" t="str">
        <f>VLOOKUP(orders__17[[#This Row],[Product_ID]],products[#All],4,0)</f>
        <v>Shelf</v>
      </c>
      <c r="M1002" s="1" t="str">
        <f>VLOOKUP(orders__17[[#This Row],[Order_ID]],returns[#All],2,0)</f>
        <v>No</v>
      </c>
    </row>
    <row r="1003" spans="1:13" x14ac:dyDescent="0.3">
      <c r="A1003" s="1" t="s">
        <v>1309</v>
      </c>
      <c r="B1003" s="2">
        <v>44880</v>
      </c>
      <c r="C1003" s="1" t="s">
        <v>280</v>
      </c>
      <c r="D1003" s="1" t="s">
        <v>127</v>
      </c>
      <c r="E1003">
        <v>4</v>
      </c>
      <c r="F1003" s="4">
        <v>1330.85</v>
      </c>
      <c r="G1003" s="3">
        <v>0.3</v>
      </c>
      <c r="H1003" s="4">
        <v>212.65</v>
      </c>
      <c r="I1003" t="str">
        <f>VLOOKUP(orders__17[[#This Row],[Customer_ID]],customers__2[#All],3,0)</f>
        <v>East</v>
      </c>
      <c r="J1003" t="str">
        <f>VLOOKUP(orders__17[[#This Row],[Customer_ID]],customers__2[#All],4,0)</f>
        <v>Corporate</v>
      </c>
      <c r="K1003" t="str">
        <f>VLOOKUP(orders__17[[#This Row],[Product_ID]],products[#All],3,0)</f>
        <v>Furniture</v>
      </c>
      <c r="L1003" s="1" t="str">
        <f>VLOOKUP(orders__17[[#This Row],[Product_ID]],products[#All],4,0)</f>
        <v>Chair</v>
      </c>
      <c r="M1003" s="1" t="str">
        <f>VLOOKUP(orders__17[[#This Row],[Order_ID]],returns[#All],2,0)</f>
        <v>No</v>
      </c>
    </row>
    <row r="1004" spans="1:13" x14ac:dyDescent="0.3">
      <c r="A1004" s="1" t="s">
        <v>1310</v>
      </c>
      <c r="B1004" s="2">
        <v>45196</v>
      </c>
      <c r="C1004" s="1" t="s">
        <v>21</v>
      </c>
      <c r="D1004" s="1" t="s">
        <v>269</v>
      </c>
      <c r="E1004">
        <v>4</v>
      </c>
      <c r="F1004" s="4">
        <v>333.55</v>
      </c>
      <c r="G1004" s="3">
        <v>0</v>
      </c>
      <c r="H1004" s="4">
        <v>20.010000000000002</v>
      </c>
      <c r="I1004" t="str">
        <f>VLOOKUP(orders__17[[#This Row],[Customer_ID]],customers__2[#All],3,0)</f>
        <v>West</v>
      </c>
      <c r="J1004" t="str">
        <f>VLOOKUP(orders__17[[#This Row],[Customer_ID]],customers__2[#All],4,0)</f>
        <v>Corporate</v>
      </c>
      <c r="K1004" t="str">
        <f>VLOOKUP(orders__17[[#This Row],[Product_ID]],products[#All],3,0)</f>
        <v>Office Supplies</v>
      </c>
      <c r="L1004" s="1" t="str">
        <f>VLOOKUP(orders__17[[#This Row],[Product_ID]],products[#All],4,0)</f>
        <v>Pen</v>
      </c>
      <c r="M1004" s="1" t="str">
        <f>VLOOKUP(orders__17[[#This Row],[Order_ID]],returns[#All],2,0)</f>
        <v>No</v>
      </c>
    </row>
    <row r="1005" spans="1:13" x14ac:dyDescent="0.3">
      <c r="A1005" s="1" t="s">
        <v>1311</v>
      </c>
      <c r="B1005" s="2">
        <v>44822</v>
      </c>
      <c r="C1005" s="1" t="s">
        <v>685</v>
      </c>
      <c r="D1005" s="1" t="s">
        <v>70</v>
      </c>
      <c r="E1005">
        <v>4</v>
      </c>
      <c r="F1005" s="4">
        <v>1788.45</v>
      </c>
      <c r="G1005" s="3">
        <v>0.1</v>
      </c>
      <c r="H1005" s="4">
        <v>251.41</v>
      </c>
      <c r="I1005" t="str">
        <f>VLOOKUP(orders__17[[#This Row],[Customer_ID]],customers__2[#All],3,0)</f>
        <v>East</v>
      </c>
      <c r="J1005" t="str">
        <f>VLOOKUP(orders__17[[#This Row],[Customer_ID]],customers__2[#All],4,0)</f>
        <v>Home Office</v>
      </c>
      <c r="K1005" t="str">
        <f>VLOOKUP(orders__17[[#This Row],[Product_ID]],products[#All],3,0)</f>
        <v>Office Supplies</v>
      </c>
      <c r="L1005" s="1" t="str">
        <f>VLOOKUP(orders__17[[#This Row],[Product_ID]],products[#All],4,0)</f>
        <v>Paper</v>
      </c>
      <c r="M1005" s="1" t="str">
        <f>VLOOKUP(orders__17[[#This Row],[Order_ID]],returns[#All],2,0)</f>
        <v>No</v>
      </c>
    </row>
    <row r="1006" spans="1:13" x14ac:dyDescent="0.3">
      <c r="A1006" s="1" t="s">
        <v>1312</v>
      </c>
      <c r="B1006" s="2">
        <v>44592</v>
      </c>
      <c r="C1006" s="1" t="s">
        <v>482</v>
      </c>
      <c r="D1006" s="1" t="s">
        <v>170</v>
      </c>
      <c r="E1006">
        <v>5</v>
      </c>
      <c r="F1006" s="4">
        <v>1055.8599999999999</v>
      </c>
      <c r="G1006" s="3">
        <v>0.3</v>
      </c>
      <c r="H1006" s="4">
        <v>270.93</v>
      </c>
      <c r="I1006" t="str">
        <f>VLOOKUP(orders__17[[#This Row],[Customer_ID]],customers__2[#All],3,0)</f>
        <v>North</v>
      </c>
      <c r="J1006" t="str">
        <f>VLOOKUP(orders__17[[#This Row],[Customer_ID]],customers__2[#All],4,0)</f>
        <v>Consumer</v>
      </c>
      <c r="K1006" t="str">
        <f>VLOOKUP(orders__17[[#This Row],[Product_ID]],products[#All],3,0)</f>
        <v>Furniture</v>
      </c>
      <c r="L1006" s="1" t="str">
        <f>VLOOKUP(orders__17[[#This Row],[Product_ID]],products[#All],4,0)</f>
        <v>Shelf</v>
      </c>
      <c r="M1006" s="1" t="str">
        <f>VLOOKUP(orders__17[[#This Row],[Order_ID]],returns[#All],2,0)</f>
        <v>Yes</v>
      </c>
    </row>
    <row r="1007" spans="1:13" x14ac:dyDescent="0.3">
      <c r="A1007" s="1" t="s">
        <v>1313</v>
      </c>
      <c r="B1007" s="2">
        <v>44851</v>
      </c>
      <c r="C1007" s="1" t="s">
        <v>172</v>
      </c>
      <c r="D1007" s="1" t="s">
        <v>455</v>
      </c>
      <c r="E1007">
        <v>5</v>
      </c>
      <c r="F1007" s="4">
        <v>953.76</v>
      </c>
      <c r="G1007" s="3">
        <v>0.1</v>
      </c>
      <c r="H1007" s="4">
        <v>214.95</v>
      </c>
      <c r="I1007" t="str">
        <f>VLOOKUP(orders__17[[#This Row],[Customer_ID]],customers__2[#All],3,0)</f>
        <v>East</v>
      </c>
      <c r="J1007" t="str">
        <f>VLOOKUP(orders__17[[#This Row],[Customer_ID]],customers__2[#All],4,0)</f>
        <v>Home Office</v>
      </c>
      <c r="K1007" t="str">
        <f>VLOOKUP(orders__17[[#This Row],[Product_ID]],products[#All],3,0)</f>
        <v>Furniture</v>
      </c>
      <c r="L1007" s="1" t="str">
        <f>VLOOKUP(orders__17[[#This Row],[Product_ID]],products[#All],4,0)</f>
        <v>Shelf</v>
      </c>
      <c r="M1007" s="1" t="str">
        <f>VLOOKUP(orders__17[[#This Row],[Order_ID]],returns[#All],2,0)</f>
        <v>Yes</v>
      </c>
    </row>
    <row r="1008" spans="1:13" x14ac:dyDescent="0.3">
      <c r="A1008" s="1" t="s">
        <v>1314</v>
      </c>
      <c r="B1008" s="2">
        <v>44887</v>
      </c>
      <c r="C1008" s="1" t="s">
        <v>360</v>
      </c>
      <c r="D1008" s="1" t="s">
        <v>603</v>
      </c>
      <c r="E1008">
        <v>2</v>
      </c>
      <c r="F1008" s="4">
        <v>1213.1400000000001</v>
      </c>
      <c r="G1008" s="3">
        <v>0.3</v>
      </c>
      <c r="H1008" s="4">
        <v>199.97</v>
      </c>
      <c r="I1008" t="str">
        <f>VLOOKUP(orders__17[[#This Row],[Customer_ID]],customers__2[#All],3,0)</f>
        <v>South</v>
      </c>
      <c r="J1008" t="str">
        <f>VLOOKUP(orders__17[[#This Row],[Customer_ID]],customers__2[#All],4,0)</f>
        <v>Home Office</v>
      </c>
      <c r="K1008" t="str">
        <f>VLOOKUP(orders__17[[#This Row],[Product_ID]],products[#All],3,0)</f>
        <v>Technology</v>
      </c>
      <c r="L1008" s="1" t="str">
        <f>VLOOKUP(orders__17[[#This Row],[Product_ID]],products[#All],4,0)</f>
        <v>Accessories</v>
      </c>
      <c r="M1008" s="1" t="str">
        <f>VLOOKUP(orders__17[[#This Row],[Order_ID]],returns[#All],2,0)</f>
        <v>No</v>
      </c>
    </row>
    <row r="1009" spans="1:13" x14ac:dyDescent="0.3">
      <c r="A1009" s="1" t="s">
        <v>1315</v>
      </c>
      <c r="B1009" s="2">
        <v>45223</v>
      </c>
      <c r="C1009" s="1" t="s">
        <v>282</v>
      </c>
      <c r="D1009" s="1" t="s">
        <v>61</v>
      </c>
      <c r="E1009">
        <v>1</v>
      </c>
      <c r="F1009" s="4">
        <v>1287.0899999999999</v>
      </c>
      <c r="G1009" s="3">
        <v>0</v>
      </c>
      <c r="H1009" s="4">
        <v>82.08</v>
      </c>
      <c r="I1009" t="str">
        <f>VLOOKUP(orders__17[[#This Row],[Customer_ID]],customers__2[#All],3,0)</f>
        <v>South</v>
      </c>
      <c r="J1009" t="str">
        <f>VLOOKUP(orders__17[[#This Row],[Customer_ID]],customers__2[#All],4,0)</f>
        <v>Home Office</v>
      </c>
      <c r="K1009" t="str">
        <f>VLOOKUP(orders__17[[#This Row],[Product_ID]],products[#All],3,0)</f>
        <v>Office Supplies</v>
      </c>
      <c r="L1009" s="1" t="str">
        <f>VLOOKUP(orders__17[[#This Row],[Product_ID]],products[#All],4,0)</f>
        <v>Binder</v>
      </c>
      <c r="M1009" s="1" t="str">
        <f>VLOOKUP(orders__17[[#This Row],[Order_ID]],returns[#All],2,0)</f>
        <v>No</v>
      </c>
    </row>
    <row r="1010" spans="1:13" x14ac:dyDescent="0.3">
      <c r="A1010" s="1" t="s">
        <v>1316</v>
      </c>
      <c r="B1010" s="2">
        <v>45191</v>
      </c>
      <c r="C1010" s="1" t="s">
        <v>265</v>
      </c>
      <c r="D1010" s="1" t="s">
        <v>180</v>
      </c>
      <c r="E1010">
        <v>4</v>
      </c>
      <c r="F1010" s="4">
        <v>236.37</v>
      </c>
      <c r="G1010" s="3">
        <v>0</v>
      </c>
      <c r="H1010" s="4">
        <v>37.04</v>
      </c>
      <c r="I1010" t="str">
        <f>VLOOKUP(orders__17[[#This Row],[Customer_ID]],customers__2[#All],3,0)</f>
        <v>East</v>
      </c>
      <c r="J1010" t="str">
        <f>VLOOKUP(orders__17[[#This Row],[Customer_ID]],customers__2[#All],4,0)</f>
        <v>Consumer</v>
      </c>
      <c r="K1010" t="str">
        <f>VLOOKUP(orders__17[[#This Row],[Product_ID]],products[#All],3,0)</f>
        <v>Furniture</v>
      </c>
      <c r="L1010" s="1" t="str">
        <f>VLOOKUP(orders__17[[#This Row],[Product_ID]],products[#All],4,0)</f>
        <v>Chair</v>
      </c>
      <c r="M1010" s="1" t="str">
        <f>VLOOKUP(orders__17[[#This Row],[Order_ID]],returns[#All],2,0)</f>
        <v>No</v>
      </c>
    </row>
    <row r="1011" spans="1:13" x14ac:dyDescent="0.3">
      <c r="A1011" s="1" t="s">
        <v>1317</v>
      </c>
      <c r="B1011" s="2">
        <v>45366</v>
      </c>
      <c r="C1011" s="1" t="s">
        <v>174</v>
      </c>
      <c r="D1011" s="1" t="s">
        <v>177</v>
      </c>
      <c r="E1011">
        <v>2</v>
      </c>
      <c r="F1011" s="4">
        <v>1396.97</v>
      </c>
      <c r="G1011" s="3">
        <v>0.3</v>
      </c>
      <c r="H1011" s="4">
        <v>233.65</v>
      </c>
      <c r="I1011" t="str">
        <f>VLOOKUP(orders__17[[#This Row],[Customer_ID]],customers__2[#All],3,0)</f>
        <v>East</v>
      </c>
      <c r="J1011" t="str">
        <f>VLOOKUP(orders__17[[#This Row],[Customer_ID]],customers__2[#All],4,0)</f>
        <v>Consumer</v>
      </c>
      <c r="K1011" t="str">
        <f>VLOOKUP(orders__17[[#This Row],[Product_ID]],products[#All],3,0)</f>
        <v>Furniture</v>
      </c>
      <c r="L1011" s="1" t="str">
        <f>VLOOKUP(orders__17[[#This Row],[Product_ID]],products[#All],4,0)</f>
        <v>Table</v>
      </c>
      <c r="M1011" s="1" t="str">
        <f>VLOOKUP(orders__17[[#This Row],[Order_ID]],returns[#All],2,0)</f>
        <v>No</v>
      </c>
    </row>
    <row r="1012" spans="1:13" x14ac:dyDescent="0.3">
      <c r="A1012" s="1" t="s">
        <v>1318</v>
      </c>
      <c r="B1012" s="2">
        <v>45183</v>
      </c>
      <c r="C1012" s="1" t="s">
        <v>179</v>
      </c>
      <c r="D1012" s="1" t="s">
        <v>309</v>
      </c>
      <c r="E1012">
        <v>1</v>
      </c>
      <c r="F1012" s="4">
        <v>559.66999999999996</v>
      </c>
      <c r="G1012" s="3">
        <v>0</v>
      </c>
      <c r="H1012" s="4">
        <v>157.9</v>
      </c>
      <c r="I1012" t="str">
        <f>VLOOKUP(orders__17[[#This Row],[Customer_ID]],customers__2[#All],3,0)</f>
        <v>North</v>
      </c>
      <c r="J1012" t="str">
        <f>VLOOKUP(orders__17[[#This Row],[Customer_ID]],customers__2[#All],4,0)</f>
        <v>Consumer</v>
      </c>
      <c r="K1012" t="str">
        <f>VLOOKUP(orders__17[[#This Row],[Product_ID]],products[#All],3,0)</f>
        <v>Office Supplies</v>
      </c>
      <c r="L1012" s="1" t="str">
        <f>VLOOKUP(orders__17[[#This Row],[Product_ID]],products[#All],4,0)</f>
        <v>Pen</v>
      </c>
      <c r="M1012" s="1" t="str">
        <f>VLOOKUP(orders__17[[#This Row],[Order_ID]],returns[#All],2,0)</f>
        <v>No</v>
      </c>
    </row>
    <row r="1013" spans="1:13" x14ac:dyDescent="0.3">
      <c r="A1013" s="1" t="s">
        <v>1319</v>
      </c>
      <c r="B1013" s="2">
        <v>45285</v>
      </c>
      <c r="C1013" s="1" t="s">
        <v>1143</v>
      </c>
      <c r="D1013" s="1" t="s">
        <v>100</v>
      </c>
      <c r="E1013">
        <v>3</v>
      </c>
      <c r="F1013" s="4">
        <v>1456.51</v>
      </c>
      <c r="G1013" s="3">
        <v>0.1</v>
      </c>
      <c r="H1013" s="4">
        <v>306.26</v>
      </c>
      <c r="I1013" t="str">
        <f>VLOOKUP(orders__17[[#This Row],[Customer_ID]],customers__2[#All],3,0)</f>
        <v>West</v>
      </c>
      <c r="J1013" t="str">
        <f>VLOOKUP(orders__17[[#This Row],[Customer_ID]],customers__2[#All],4,0)</f>
        <v>Corporate</v>
      </c>
      <c r="K1013" t="str">
        <f>VLOOKUP(orders__17[[#This Row],[Product_ID]],products[#All],3,0)</f>
        <v>Technology</v>
      </c>
      <c r="L1013" s="1" t="str">
        <f>VLOOKUP(orders__17[[#This Row],[Product_ID]],products[#All],4,0)</f>
        <v>Laptop</v>
      </c>
      <c r="M1013" s="1" t="str">
        <f>VLOOKUP(orders__17[[#This Row],[Order_ID]],returns[#All],2,0)</f>
        <v>Yes</v>
      </c>
    </row>
    <row r="1014" spans="1:13" x14ac:dyDescent="0.3">
      <c r="A1014" s="1" t="s">
        <v>1320</v>
      </c>
      <c r="B1014" s="2">
        <v>45188</v>
      </c>
      <c r="C1014" s="1" t="s">
        <v>678</v>
      </c>
      <c r="D1014" s="1" t="s">
        <v>209</v>
      </c>
      <c r="E1014">
        <v>5</v>
      </c>
      <c r="F1014" s="4">
        <v>1662.82</v>
      </c>
      <c r="G1014" s="3">
        <v>0.1</v>
      </c>
      <c r="H1014" s="4">
        <v>212.7</v>
      </c>
      <c r="I1014" t="str">
        <f>VLOOKUP(orders__17[[#This Row],[Customer_ID]],customers__2[#All],3,0)</f>
        <v>West</v>
      </c>
      <c r="J1014" t="str">
        <f>VLOOKUP(orders__17[[#This Row],[Customer_ID]],customers__2[#All],4,0)</f>
        <v>Consumer</v>
      </c>
      <c r="K1014" t="str">
        <f>VLOOKUP(orders__17[[#This Row],[Product_ID]],products[#All],3,0)</f>
        <v>Office Supplies</v>
      </c>
      <c r="L1014" s="1" t="str">
        <f>VLOOKUP(orders__17[[#This Row],[Product_ID]],products[#All],4,0)</f>
        <v>Paper</v>
      </c>
      <c r="M1014" s="1" t="str">
        <f>VLOOKUP(orders__17[[#This Row],[Order_ID]],returns[#All],2,0)</f>
        <v>Yes</v>
      </c>
    </row>
    <row r="1015" spans="1:13" x14ac:dyDescent="0.3">
      <c r="A1015" s="1" t="s">
        <v>1321</v>
      </c>
      <c r="B1015" s="2">
        <v>44946</v>
      </c>
      <c r="C1015" s="1" t="s">
        <v>77</v>
      </c>
      <c r="D1015" s="1" t="s">
        <v>147</v>
      </c>
      <c r="E1015">
        <v>1</v>
      </c>
      <c r="F1015" s="4">
        <v>1627.52</v>
      </c>
      <c r="G1015" s="3">
        <v>0.2</v>
      </c>
      <c r="H1015" s="4">
        <v>295.12</v>
      </c>
      <c r="I1015" t="str">
        <f>VLOOKUP(orders__17[[#This Row],[Customer_ID]],customers__2[#All],3,0)</f>
        <v>West</v>
      </c>
      <c r="J1015" t="str">
        <f>VLOOKUP(orders__17[[#This Row],[Customer_ID]],customers__2[#All],4,0)</f>
        <v>Consumer</v>
      </c>
      <c r="K1015" t="str">
        <f>VLOOKUP(orders__17[[#This Row],[Product_ID]],products[#All],3,0)</f>
        <v>Technology</v>
      </c>
      <c r="L1015" s="1" t="str">
        <f>VLOOKUP(orders__17[[#This Row],[Product_ID]],products[#All],4,0)</f>
        <v>Laptop</v>
      </c>
      <c r="M1015" s="1" t="str">
        <f>VLOOKUP(orders__17[[#This Row],[Order_ID]],returns[#All],2,0)</f>
        <v>No</v>
      </c>
    </row>
    <row r="1016" spans="1:13" x14ac:dyDescent="0.3">
      <c r="A1016" s="1" t="s">
        <v>1322</v>
      </c>
      <c r="B1016" s="2">
        <v>45150</v>
      </c>
      <c r="C1016" s="1" t="s">
        <v>380</v>
      </c>
      <c r="D1016" s="1" t="s">
        <v>757</v>
      </c>
      <c r="E1016">
        <v>3</v>
      </c>
      <c r="F1016" s="4">
        <v>1149.75</v>
      </c>
      <c r="G1016" s="3">
        <v>0</v>
      </c>
      <c r="H1016" s="4">
        <v>76.47</v>
      </c>
      <c r="I1016" t="str">
        <f>VLOOKUP(orders__17[[#This Row],[Customer_ID]],customers__2[#All],3,0)</f>
        <v>South</v>
      </c>
      <c r="J1016" t="str">
        <f>VLOOKUP(orders__17[[#This Row],[Customer_ID]],customers__2[#All],4,0)</f>
        <v>Home Office</v>
      </c>
      <c r="K1016" t="str">
        <f>VLOOKUP(orders__17[[#This Row],[Product_ID]],products[#All],3,0)</f>
        <v>Office Supplies</v>
      </c>
      <c r="L1016" s="1" t="str">
        <f>VLOOKUP(orders__17[[#This Row],[Product_ID]],products[#All],4,0)</f>
        <v>Pen</v>
      </c>
      <c r="M1016" s="1" t="str">
        <f>VLOOKUP(orders__17[[#This Row],[Order_ID]],returns[#All],2,0)</f>
        <v>No</v>
      </c>
    </row>
    <row r="1017" spans="1:13" x14ac:dyDescent="0.3">
      <c r="A1017" s="1" t="s">
        <v>1323</v>
      </c>
      <c r="B1017" s="2">
        <v>44642</v>
      </c>
      <c r="C1017" s="1" t="s">
        <v>176</v>
      </c>
      <c r="D1017" s="1" t="s">
        <v>201</v>
      </c>
      <c r="E1017">
        <v>1</v>
      </c>
      <c r="F1017" s="4">
        <v>1088.32</v>
      </c>
      <c r="G1017" s="3">
        <v>0.1</v>
      </c>
      <c r="H1017" s="4">
        <v>319.02999999999997</v>
      </c>
      <c r="I1017" t="str">
        <f>VLOOKUP(orders__17[[#This Row],[Customer_ID]],customers__2[#All],3,0)</f>
        <v>South</v>
      </c>
      <c r="J1017" t="str">
        <f>VLOOKUP(orders__17[[#This Row],[Customer_ID]],customers__2[#All],4,0)</f>
        <v>Home Office</v>
      </c>
      <c r="K1017" t="str">
        <f>VLOOKUP(orders__17[[#This Row],[Product_ID]],products[#All],3,0)</f>
        <v>Office Supplies</v>
      </c>
      <c r="L1017" s="1" t="str">
        <f>VLOOKUP(orders__17[[#This Row],[Product_ID]],products[#All],4,0)</f>
        <v>Paper</v>
      </c>
      <c r="M1017" s="1" t="str">
        <f>VLOOKUP(orders__17[[#This Row],[Order_ID]],returns[#All],2,0)</f>
        <v>No</v>
      </c>
    </row>
    <row r="1018" spans="1:13" x14ac:dyDescent="0.3">
      <c r="A1018" s="1" t="s">
        <v>1324</v>
      </c>
      <c r="B1018" s="2">
        <v>45279</v>
      </c>
      <c r="C1018" s="1" t="s">
        <v>306</v>
      </c>
      <c r="D1018" s="1" t="s">
        <v>54</v>
      </c>
      <c r="E1018">
        <v>5</v>
      </c>
      <c r="F1018" s="4">
        <v>371.46</v>
      </c>
      <c r="G1018" s="3">
        <v>0.3</v>
      </c>
      <c r="H1018" s="4">
        <v>52.01</v>
      </c>
      <c r="I1018" t="str">
        <f>VLOOKUP(orders__17[[#This Row],[Customer_ID]],customers__2[#All],3,0)</f>
        <v>North</v>
      </c>
      <c r="J1018" t="str">
        <f>VLOOKUP(orders__17[[#This Row],[Customer_ID]],customers__2[#All],4,0)</f>
        <v>Consumer</v>
      </c>
      <c r="K1018" t="str">
        <f>VLOOKUP(orders__17[[#This Row],[Product_ID]],products[#All],3,0)</f>
        <v>Office Supplies</v>
      </c>
      <c r="L1018" s="1" t="str">
        <f>VLOOKUP(orders__17[[#This Row],[Product_ID]],products[#All],4,0)</f>
        <v>Binder</v>
      </c>
      <c r="M1018" s="1" t="str">
        <f>VLOOKUP(orders__17[[#This Row],[Order_ID]],returns[#All],2,0)</f>
        <v>Yes</v>
      </c>
    </row>
    <row r="1019" spans="1:13" x14ac:dyDescent="0.3">
      <c r="A1019" s="1" t="s">
        <v>1325</v>
      </c>
      <c r="B1019" s="2">
        <v>44925</v>
      </c>
      <c r="C1019" s="1" t="s">
        <v>50</v>
      </c>
      <c r="D1019" s="1" t="s">
        <v>163</v>
      </c>
      <c r="E1019">
        <v>5</v>
      </c>
      <c r="F1019" s="4">
        <v>1573.16</v>
      </c>
      <c r="G1019" s="3">
        <v>0</v>
      </c>
      <c r="H1019" s="4">
        <v>266.60000000000002</v>
      </c>
      <c r="I1019" t="str">
        <f>VLOOKUP(orders__17[[#This Row],[Customer_ID]],customers__2[#All],3,0)</f>
        <v>East</v>
      </c>
      <c r="J1019" t="str">
        <f>VLOOKUP(orders__17[[#This Row],[Customer_ID]],customers__2[#All],4,0)</f>
        <v>Corporate</v>
      </c>
      <c r="K1019" t="str">
        <f>VLOOKUP(orders__17[[#This Row],[Product_ID]],products[#All],3,0)</f>
        <v>Furniture</v>
      </c>
      <c r="L1019" s="1" t="str">
        <f>VLOOKUP(orders__17[[#This Row],[Product_ID]],products[#All],4,0)</f>
        <v>Table</v>
      </c>
      <c r="M1019" s="1" t="str">
        <f>VLOOKUP(orders__17[[#This Row],[Order_ID]],returns[#All],2,0)</f>
        <v>No</v>
      </c>
    </row>
    <row r="1020" spans="1:13" x14ac:dyDescent="0.3">
      <c r="A1020" s="1" t="s">
        <v>1326</v>
      </c>
      <c r="B1020" s="2">
        <v>44661</v>
      </c>
      <c r="C1020" s="1" t="s">
        <v>350</v>
      </c>
      <c r="D1020" s="1" t="s">
        <v>111</v>
      </c>
      <c r="E1020">
        <v>2</v>
      </c>
      <c r="F1020" s="4">
        <v>615.67999999999995</v>
      </c>
      <c r="G1020" s="3">
        <v>0.1</v>
      </c>
      <c r="H1020" s="4">
        <v>85.47</v>
      </c>
      <c r="I1020" t="str">
        <f>VLOOKUP(orders__17[[#This Row],[Customer_ID]],customers__2[#All],3,0)</f>
        <v>West</v>
      </c>
      <c r="J1020" t="str">
        <f>VLOOKUP(orders__17[[#This Row],[Customer_ID]],customers__2[#All],4,0)</f>
        <v>Corporate</v>
      </c>
      <c r="K1020" t="str">
        <f>VLOOKUP(orders__17[[#This Row],[Product_ID]],products[#All],3,0)</f>
        <v>Technology</v>
      </c>
      <c r="L1020" s="1" t="str">
        <f>VLOOKUP(orders__17[[#This Row],[Product_ID]],products[#All],4,0)</f>
        <v>Accessories</v>
      </c>
      <c r="M1020" s="1" t="str">
        <f>VLOOKUP(orders__17[[#This Row],[Order_ID]],returns[#All],2,0)</f>
        <v>No</v>
      </c>
    </row>
    <row r="1021" spans="1:13" x14ac:dyDescent="0.3">
      <c r="A1021" s="1" t="s">
        <v>1327</v>
      </c>
      <c r="B1021" s="2">
        <v>44948</v>
      </c>
      <c r="C1021" s="1" t="s">
        <v>167</v>
      </c>
      <c r="D1021" s="1" t="s">
        <v>141</v>
      </c>
      <c r="E1021">
        <v>4</v>
      </c>
      <c r="F1021" s="4">
        <v>1043.72</v>
      </c>
      <c r="G1021" s="3">
        <v>0</v>
      </c>
      <c r="H1021" s="4">
        <v>230.27</v>
      </c>
      <c r="I1021" t="str">
        <f>VLOOKUP(orders__17[[#This Row],[Customer_ID]],customers__2[#All],3,0)</f>
        <v>East</v>
      </c>
      <c r="J1021" t="str">
        <f>VLOOKUP(orders__17[[#This Row],[Customer_ID]],customers__2[#All],4,0)</f>
        <v>Corporate</v>
      </c>
      <c r="K1021" t="str">
        <f>VLOOKUP(orders__17[[#This Row],[Product_ID]],products[#All],3,0)</f>
        <v>Technology</v>
      </c>
      <c r="L1021" s="1" t="str">
        <f>VLOOKUP(orders__17[[#This Row],[Product_ID]],products[#All],4,0)</f>
        <v>Phone</v>
      </c>
      <c r="M1021" s="1" t="str">
        <f>VLOOKUP(orders__17[[#This Row],[Order_ID]],returns[#All],2,0)</f>
        <v>Yes</v>
      </c>
    </row>
    <row r="1022" spans="1:13" x14ac:dyDescent="0.3">
      <c r="A1022" s="1" t="s">
        <v>1328</v>
      </c>
      <c r="B1022" s="2">
        <v>45367</v>
      </c>
      <c r="C1022" s="1" t="s">
        <v>384</v>
      </c>
      <c r="D1022" s="1" t="s">
        <v>603</v>
      </c>
      <c r="E1022">
        <v>1</v>
      </c>
      <c r="F1022" s="4">
        <v>640.12</v>
      </c>
      <c r="G1022" s="3">
        <v>0.3</v>
      </c>
      <c r="H1022" s="4">
        <v>137.97999999999999</v>
      </c>
      <c r="I1022" t="str">
        <f>VLOOKUP(orders__17[[#This Row],[Customer_ID]],customers__2[#All],3,0)</f>
        <v>East</v>
      </c>
      <c r="J1022" t="str">
        <f>VLOOKUP(orders__17[[#This Row],[Customer_ID]],customers__2[#All],4,0)</f>
        <v>Corporate</v>
      </c>
      <c r="K1022" t="str">
        <f>VLOOKUP(orders__17[[#This Row],[Product_ID]],products[#All],3,0)</f>
        <v>Technology</v>
      </c>
      <c r="L1022" s="1" t="str">
        <f>VLOOKUP(orders__17[[#This Row],[Product_ID]],products[#All],4,0)</f>
        <v>Accessories</v>
      </c>
      <c r="M1022" s="1" t="str">
        <f>VLOOKUP(orders__17[[#This Row],[Order_ID]],returns[#All],2,0)</f>
        <v>No</v>
      </c>
    </row>
    <row r="1023" spans="1:13" x14ac:dyDescent="0.3">
      <c r="A1023" s="1" t="s">
        <v>1329</v>
      </c>
      <c r="B1023" s="2">
        <v>44586</v>
      </c>
      <c r="C1023" s="1" t="s">
        <v>248</v>
      </c>
      <c r="D1023" s="1" t="s">
        <v>269</v>
      </c>
      <c r="E1023">
        <v>1</v>
      </c>
      <c r="F1023" s="4">
        <v>354.27</v>
      </c>
      <c r="G1023" s="3">
        <v>0.1</v>
      </c>
      <c r="H1023" s="4">
        <v>81.069999999999993</v>
      </c>
      <c r="I1023" t="str">
        <f>VLOOKUP(orders__17[[#This Row],[Customer_ID]],customers__2[#All],3,0)</f>
        <v>East</v>
      </c>
      <c r="J1023" t="str">
        <f>VLOOKUP(orders__17[[#This Row],[Customer_ID]],customers__2[#All],4,0)</f>
        <v>Corporate</v>
      </c>
      <c r="K1023" t="str">
        <f>VLOOKUP(orders__17[[#This Row],[Product_ID]],products[#All],3,0)</f>
        <v>Office Supplies</v>
      </c>
      <c r="L1023" s="1" t="str">
        <f>VLOOKUP(orders__17[[#This Row],[Product_ID]],products[#All],4,0)</f>
        <v>Pen</v>
      </c>
      <c r="M1023" s="1" t="str">
        <f>VLOOKUP(orders__17[[#This Row],[Order_ID]],returns[#All],2,0)</f>
        <v>No</v>
      </c>
    </row>
    <row r="1024" spans="1:13" x14ac:dyDescent="0.3">
      <c r="A1024" s="1" t="s">
        <v>1330</v>
      </c>
      <c r="B1024" s="2">
        <v>44831</v>
      </c>
      <c r="C1024" s="1" t="s">
        <v>190</v>
      </c>
      <c r="D1024" s="1" t="s">
        <v>61</v>
      </c>
      <c r="E1024">
        <v>3</v>
      </c>
      <c r="F1024" s="4">
        <v>1296.1600000000001</v>
      </c>
      <c r="G1024" s="3">
        <v>0.2</v>
      </c>
      <c r="H1024" s="4">
        <v>151.69999999999999</v>
      </c>
      <c r="I1024" t="str">
        <f>VLOOKUP(orders__17[[#This Row],[Customer_ID]],customers__2[#All],3,0)</f>
        <v>East</v>
      </c>
      <c r="J1024" t="str">
        <f>VLOOKUP(orders__17[[#This Row],[Customer_ID]],customers__2[#All],4,0)</f>
        <v>Home Office</v>
      </c>
      <c r="K1024" t="str">
        <f>VLOOKUP(orders__17[[#This Row],[Product_ID]],products[#All],3,0)</f>
        <v>Office Supplies</v>
      </c>
      <c r="L1024" s="1" t="str">
        <f>VLOOKUP(orders__17[[#This Row],[Product_ID]],products[#All],4,0)</f>
        <v>Binder</v>
      </c>
      <c r="M1024" s="1" t="str">
        <f>VLOOKUP(orders__17[[#This Row],[Order_ID]],returns[#All],2,0)</f>
        <v>No</v>
      </c>
    </row>
    <row r="1025" spans="1:13" x14ac:dyDescent="0.3">
      <c r="A1025" s="1" t="s">
        <v>1331</v>
      </c>
      <c r="B1025" s="2">
        <v>45005</v>
      </c>
      <c r="C1025" s="1" t="s">
        <v>671</v>
      </c>
      <c r="D1025" s="1" t="s">
        <v>78</v>
      </c>
      <c r="E1025">
        <v>5</v>
      </c>
      <c r="F1025" s="4">
        <v>203.23</v>
      </c>
      <c r="G1025" s="3">
        <v>0.2</v>
      </c>
      <c r="H1025" s="4">
        <v>26.2</v>
      </c>
      <c r="I1025" t="str">
        <f>VLOOKUP(orders__17[[#This Row],[Customer_ID]],customers__2[#All],3,0)</f>
        <v>North</v>
      </c>
      <c r="J1025" t="str">
        <f>VLOOKUP(orders__17[[#This Row],[Customer_ID]],customers__2[#All],4,0)</f>
        <v>Corporate</v>
      </c>
      <c r="K1025" t="str">
        <f>VLOOKUP(orders__17[[#This Row],[Product_ID]],products[#All],3,0)</f>
        <v>Technology</v>
      </c>
      <c r="L1025" s="1" t="str">
        <f>VLOOKUP(orders__17[[#This Row],[Product_ID]],products[#All],4,0)</f>
        <v>Accessories</v>
      </c>
      <c r="M1025" s="1" t="str">
        <f>VLOOKUP(orders__17[[#This Row],[Order_ID]],returns[#All],2,0)</f>
        <v>Yes</v>
      </c>
    </row>
    <row r="1026" spans="1:13" x14ac:dyDescent="0.3">
      <c r="A1026" s="1" t="s">
        <v>1332</v>
      </c>
      <c r="B1026" s="2">
        <v>44660</v>
      </c>
      <c r="C1026" s="1" t="s">
        <v>1056</v>
      </c>
      <c r="D1026" s="1" t="s">
        <v>67</v>
      </c>
      <c r="E1026">
        <v>1</v>
      </c>
      <c r="F1026" s="4">
        <v>1522.43</v>
      </c>
      <c r="G1026" s="3">
        <v>0</v>
      </c>
      <c r="H1026" s="4">
        <v>123.79</v>
      </c>
      <c r="I1026" t="str">
        <f>VLOOKUP(orders__17[[#This Row],[Customer_ID]],customers__2[#All],3,0)</f>
        <v>North</v>
      </c>
      <c r="J1026" t="str">
        <f>VLOOKUP(orders__17[[#This Row],[Customer_ID]],customers__2[#All],4,0)</f>
        <v>Corporate</v>
      </c>
      <c r="K1026" t="str">
        <f>VLOOKUP(orders__17[[#This Row],[Product_ID]],products[#All],3,0)</f>
        <v>Furniture</v>
      </c>
      <c r="L1026" s="1" t="str">
        <f>VLOOKUP(orders__17[[#This Row],[Product_ID]],products[#All],4,0)</f>
        <v>Chair</v>
      </c>
      <c r="M1026" s="1" t="str">
        <f>VLOOKUP(orders__17[[#This Row],[Order_ID]],returns[#All],2,0)</f>
        <v>No</v>
      </c>
    </row>
    <row r="1027" spans="1:13" x14ac:dyDescent="0.3">
      <c r="A1027" s="1" t="s">
        <v>1333</v>
      </c>
      <c r="B1027" s="2">
        <v>45375</v>
      </c>
      <c r="C1027" s="1" t="s">
        <v>598</v>
      </c>
      <c r="D1027" s="1" t="s">
        <v>139</v>
      </c>
      <c r="E1027">
        <v>5</v>
      </c>
      <c r="F1027" s="4">
        <v>703.41</v>
      </c>
      <c r="G1027" s="3">
        <v>0.3</v>
      </c>
      <c r="H1027" s="4">
        <v>150.44</v>
      </c>
      <c r="I1027" t="str">
        <f>VLOOKUP(orders__17[[#This Row],[Customer_ID]],customers__2[#All],3,0)</f>
        <v>South</v>
      </c>
      <c r="J1027" t="str">
        <f>VLOOKUP(orders__17[[#This Row],[Customer_ID]],customers__2[#All],4,0)</f>
        <v>Home Office</v>
      </c>
      <c r="K1027" t="str">
        <f>VLOOKUP(orders__17[[#This Row],[Product_ID]],products[#All],3,0)</f>
        <v>Furniture</v>
      </c>
      <c r="L1027" s="1" t="str">
        <f>VLOOKUP(orders__17[[#This Row],[Product_ID]],products[#All],4,0)</f>
        <v>Table</v>
      </c>
      <c r="M1027" s="1" t="str">
        <f>VLOOKUP(orders__17[[#This Row],[Order_ID]],returns[#All],2,0)</f>
        <v>No</v>
      </c>
    </row>
    <row r="1028" spans="1:13" x14ac:dyDescent="0.3">
      <c r="A1028" s="1" t="s">
        <v>1334</v>
      </c>
      <c r="B1028" s="2">
        <v>44697</v>
      </c>
      <c r="C1028" s="1" t="s">
        <v>657</v>
      </c>
      <c r="D1028" s="1" t="s">
        <v>372</v>
      </c>
      <c r="E1028">
        <v>1</v>
      </c>
      <c r="F1028" s="4">
        <v>100.26</v>
      </c>
      <c r="G1028" s="3">
        <v>0.1</v>
      </c>
      <c r="H1028" s="4">
        <v>6.01</v>
      </c>
      <c r="I1028" t="str">
        <f>VLOOKUP(orders__17[[#This Row],[Customer_ID]],customers__2[#All],3,0)</f>
        <v>East</v>
      </c>
      <c r="J1028" t="str">
        <f>VLOOKUP(orders__17[[#This Row],[Customer_ID]],customers__2[#All],4,0)</f>
        <v>Corporate</v>
      </c>
      <c r="K1028" t="str">
        <f>VLOOKUP(orders__17[[#This Row],[Product_ID]],products[#All],3,0)</f>
        <v>Furniture</v>
      </c>
      <c r="L1028" s="1" t="str">
        <f>VLOOKUP(orders__17[[#This Row],[Product_ID]],products[#All],4,0)</f>
        <v>Shelf</v>
      </c>
      <c r="M1028" s="1" t="str">
        <f>VLOOKUP(orders__17[[#This Row],[Order_ID]],returns[#All],2,0)</f>
        <v>No</v>
      </c>
    </row>
    <row r="1029" spans="1:13" x14ac:dyDescent="0.3">
      <c r="A1029" s="1" t="s">
        <v>1335</v>
      </c>
      <c r="B1029" s="2">
        <v>45140</v>
      </c>
      <c r="C1029" s="1" t="s">
        <v>273</v>
      </c>
      <c r="D1029" s="1" t="s">
        <v>660</v>
      </c>
      <c r="E1029">
        <v>2</v>
      </c>
      <c r="F1029" s="4">
        <v>1071.1500000000001</v>
      </c>
      <c r="G1029" s="3">
        <v>0.3</v>
      </c>
      <c r="H1029" s="4">
        <v>213.61</v>
      </c>
      <c r="I1029" t="str">
        <f>VLOOKUP(orders__17[[#This Row],[Customer_ID]],customers__2[#All],3,0)</f>
        <v>North</v>
      </c>
      <c r="J1029" t="str">
        <f>VLOOKUP(orders__17[[#This Row],[Customer_ID]],customers__2[#All],4,0)</f>
        <v>Corporate</v>
      </c>
      <c r="K1029" t="str">
        <f>VLOOKUP(orders__17[[#This Row],[Product_ID]],products[#All],3,0)</f>
        <v>Office Supplies</v>
      </c>
      <c r="L1029" s="1" t="str">
        <f>VLOOKUP(orders__17[[#This Row],[Product_ID]],products[#All],4,0)</f>
        <v>Storage</v>
      </c>
      <c r="M1029" s="1" t="str">
        <f>VLOOKUP(orders__17[[#This Row],[Order_ID]],returns[#All],2,0)</f>
        <v>No</v>
      </c>
    </row>
    <row r="1030" spans="1:13" x14ac:dyDescent="0.3">
      <c r="A1030" s="1" t="s">
        <v>1336</v>
      </c>
      <c r="B1030" s="2">
        <v>44984</v>
      </c>
      <c r="C1030" s="1" t="s">
        <v>300</v>
      </c>
      <c r="D1030" s="1" t="s">
        <v>51</v>
      </c>
      <c r="E1030">
        <v>4</v>
      </c>
      <c r="F1030" s="4">
        <v>189.02</v>
      </c>
      <c r="G1030" s="3">
        <v>0.1</v>
      </c>
      <c r="H1030" s="4">
        <v>50.55</v>
      </c>
      <c r="I1030" t="str">
        <f>VLOOKUP(orders__17[[#This Row],[Customer_ID]],customers__2[#All],3,0)</f>
        <v>East</v>
      </c>
      <c r="J1030" t="str">
        <f>VLOOKUP(orders__17[[#This Row],[Customer_ID]],customers__2[#All],4,0)</f>
        <v>Home Office</v>
      </c>
      <c r="K1030" t="str">
        <f>VLOOKUP(orders__17[[#This Row],[Product_ID]],products[#All],3,0)</f>
        <v>Office Supplies</v>
      </c>
      <c r="L1030" s="1" t="str">
        <f>VLOOKUP(orders__17[[#This Row],[Product_ID]],products[#All],4,0)</f>
        <v>Pen</v>
      </c>
      <c r="M1030" s="1" t="str">
        <f>VLOOKUP(orders__17[[#This Row],[Order_ID]],returns[#All],2,0)</f>
        <v>Yes</v>
      </c>
    </row>
    <row r="1031" spans="1:13" x14ac:dyDescent="0.3">
      <c r="A1031" s="1" t="s">
        <v>1337</v>
      </c>
      <c r="B1031" s="2">
        <v>45417</v>
      </c>
      <c r="C1031" s="1" t="s">
        <v>1143</v>
      </c>
      <c r="D1031" s="1" t="s">
        <v>364</v>
      </c>
      <c r="E1031">
        <v>1</v>
      </c>
      <c r="F1031" s="4">
        <v>624.72</v>
      </c>
      <c r="G1031" s="3">
        <v>0</v>
      </c>
      <c r="H1031" s="4">
        <v>170.37</v>
      </c>
      <c r="I1031" t="str">
        <f>VLOOKUP(orders__17[[#This Row],[Customer_ID]],customers__2[#All],3,0)</f>
        <v>West</v>
      </c>
      <c r="J1031" t="str">
        <f>VLOOKUP(orders__17[[#This Row],[Customer_ID]],customers__2[#All],4,0)</f>
        <v>Corporate</v>
      </c>
      <c r="K1031" t="str">
        <f>VLOOKUP(orders__17[[#This Row],[Product_ID]],products[#All],3,0)</f>
        <v>Technology</v>
      </c>
      <c r="L1031" s="1" t="str">
        <f>VLOOKUP(orders__17[[#This Row],[Product_ID]],products[#All],4,0)</f>
        <v>Accessories</v>
      </c>
      <c r="M1031" s="1" t="str">
        <f>VLOOKUP(orders__17[[#This Row],[Order_ID]],returns[#All],2,0)</f>
        <v>No</v>
      </c>
    </row>
    <row r="1032" spans="1:13" x14ac:dyDescent="0.3">
      <c r="A1032" s="1" t="s">
        <v>1338</v>
      </c>
      <c r="B1032" s="2">
        <v>45401</v>
      </c>
      <c r="C1032" s="1" t="s">
        <v>91</v>
      </c>
      <c r="D1032" s="1" t="s">
        <v>294</v>
      </c>
      <c r="E1032">
        <v>5</v>
      </c>
      <c r="F1032" s="4">
        <v>1443.26</v>
      </c>
      <c r="G1032" s="3">
        <v>0.1</v>
      </c>
      <c r="H1032" s="4">
        <v>234.18</v>
      </c>
      <c r="I1032" t="str">
        <f>VLOOKUP(orders__17[[#This Row],[Customer_ID]],customers__2[#All],3,0)</f>
        <v>South</v>
      </c>
      <c r="J1032" t="str">
        <f>VLOOKUP(orders__17[[#This Row],[Customer_ID]],customers__2[#All],4,0)</f>
        <v>Home Office</v>
      </c>
      <c r="K1032" t="str">
        <f>VLOOKUP(orders__17[[#This Row],[Product_ID]],products[#All],3,0)</f>
        <v>Technology</v>
      </c>
      <c r="L1032" s="1" t="str">
        <f>VLOOKUP(orders__17[[#This Row],[Product_ID]],products[#All],4,0)</f>
        <v>Tablet</v>
      </c>
      <c r="M1032" s="1" t="str">
        <f>VLOOKUP(orders__17[[#This Row],[Order_ID]],returns[#All],2,0)</f>
        <v>No</v>
      </c>
    </row>
    <row r="1033" spans="1:13" x14ac:dyDescent="0.3">
      <c r="A1033" s="1" t="s">
        <v>1339</v>
      </c>
      <c r="B1033" s="2">
        <v>45192</v>
      </c>
      <c r="C1033" s="1" t="s">
        <v>82</v>
      </c>
      <c r="D1033" s="1" t="s">
        <v>278</v>
      </c>
      <c r="E1033">
        <v>2</v>
      </c>
      <c r="F1033" s="4">
        <v>219.11</v>
      </c>
      <c r="G1033" s="3">
        <v>0.3</v>
      </c>
      <c r="H1033" s="4">
        <v>36.119999999999997</v>
      </c>
      <c r="I1033" t="str">
        <f>VLOOKUP(orders__17[[#This Row],[Customer_ID]],customers__2[#All],3,0)</f>
        <v>East</v>
      </c>
      <c r="J1033" t="str">
        <f>VLOOKUP(orders__17[[#This Row],[Customer_ID]],customers__2[#All],4,0)</f>
        <v>Corporate</v>
      </c>
      <c r="K1033" t="str">
        <f>VLOOKUP(orders__17[[#This Row],[Product_ID]],products[#All],3,0)</f>
        <v>Office Supplies</v>
      </c>
      <c r="L1033" s="1" t="str">
        <f>VLOOKUP(orders__17[[#This Row],[Product_ID]],products[#All],4,0)</f>
        <v>Pen</v>
      </c>
      <c r="M1033" s="1" t="str">
        <f>VLOOKUP(orders__17[[#This Row],[Order_ID]],returns[#All],2,0)</f>
        <v>No</v>
      </c>
    </row>
    <row r="1034" spans="1:13" x14ac:dyDescent="0.3">
      <c r="A1034" s="1" t="s">
        <v>1340</v>
      </c>
      <c r="B1034" s="2">
        <v>45033</v>
      </c>
      <c r="C1034" s="1" t="s">
        <v>85</v>
      </c>
      <c r="D1034" s="1" t="s">
        <v>226</v>
      </c>
      <c r="E1034">
        <v>1</v>
      </c>
      <c r="F1034" s="4">
        <v>1694.74</v>
      </c>
      <c r="G1034" s="3">
        <v>0.3</v>
      </c>
      <c r="H1034" s="4">
        <v>117.35</v>
      </c>
      <c r="I1034" t="str">
        <f>VLOOKUP(orders__17[[#This Row],[Customer_ID]],customers__2[#All],3,0)</f>
        <v>East</v>
      </c>
      <c r="J1034" t="str">
        <f>VLOOKUP(orders__17[[#This Row],[Customer_ID]],customers__2[#All],4,0)</f>
        <v>Corporate</v>
      </c>
      <c r="K1034" t="str">
        <f>VLOOKUP(orders__17[[#This Row],[Product_ID]],products[#All],3,0)</f>
        <v>Technology</v>
      </c>
      <c r="L1034" s="1" t="str">
        <f>VLOOKUP(orders__17[[#This Row],[Product_ID]],products[#All],4,0)</f>
        <v>Laptop</v>
      </c>
      <c r="M1034" s="1" t="str">
        <f>VLOOKUP(orders__17[[#This Row],[Order_ID]],returns[#All],2,0)</f>
        <v>No</v>
      </c>
    </row>
    <row r="1035" spans="1:13" x14ac:dyDescent="0.3">
      <c r="A1035" s="1" t="s">
        <v>1341</v>
      </c>
      <c r="B1035" s="2">
        <v>45037</v>
      </c>
      <c r="C1035" s="1" t="s">
        <v>228</v>
      </c>
      <c r="D1035" s="1" t="s">
        <v>59</v>
      </c>
      <c r="E1035">
        <v>3</v>
      </c>
      <c r="F1035" s="4">
        <v>107.26</v>
      </c>
      <c r="G1035" s="3">
        <v>0</v>
      </c>
      <c r="H1035" s="4">
        <v>23.35</v>
      </c>
      <c r="I1035" t="str">
        <f>VLOOKUP(orders__17[[#This Row],[Customer_ID]],customers__2[#All],3,0)</f>
        <v>North</v>
      </c>
      <c r="J1035" t="str">
        <f>VLOOKUP(orders__17[[#This Row],[Customer_ID]],customers__2[#All],4,0)</f>
        <v>Consumer</v>
      </c>
      <c r="K1035" t="str">
        <f>VLOOKUP(orders__17[[#This Row],[Product_ID]],products[#All],3,0)</f>
        <v>Office Supplies</v>
      </c>
      <c r="L1035" s="1" t="str">
        <f>VLOOKUP(orders__17[[#This Row],[Product_ID]],products[#All],4,0)</f>
        <v>Paper</v>
      </c>
      <c r="M1035" s="1" t="str">
        <f>VLOOKUP(orders__17[[#This Row],[Order_ID]],returns[#All],2,0)</f>
        <v>Yes</v>
      </c>
    </row>
    <row r="1036" spans="1:13" x14ac:dyDescent="0.3">
      <c r="A1036" s="1" t="s">
        <v>1342</v>
      </c>
      <c r="B1036" s="2">
        <v>45352</v>
      </c>
      <c r="C1036" s="1" t="s">
        <v>978</v>
      </c>
      <c r="D1036" s="1" t="s">
        <v>269</v>
      </c>
      <c r="E1036">
        <v>4</v>
      </c>
      <c r="F1036" s="4">
        <v>568.97</v>
      </c>
      <c r="G1036" s="3">
        <v>0.3</v>
      </c>
      <c r="H1036" s="4">
        <v>145.27000000000001</v>
      </c>
      <c r="I1036" t="str">
        <f>VLOOKUP(orders__17[[#This Row],[Customer_ID]],customers__2[#All],3,0)</f>
        <v>North</v>
      </c>
      <c r="J1036" t="str">
        <f>VLOOKUP(orders__17[[#This Row],[Customer_ID]],customers__2[#All],4,0)</f>
        <v>Home Office</v>
      </c>
      <c r="K1036" t="str">
        <f>VLOOKUP(orders__17[[#This Row],[Product_ID]],products[#All],3,0)</f>
        <v>Office Supplies</v>
      </c>
      <c r="L1036" s="1" t="str">
        <f>VLOOKUP(orders__17[[#This Row],[Product_ID]],products[#All],4,0)</f>
        <v>Pen</v>
      </c>
      <c r="M1036" s="1" t="str">
        <f>VLOOKUP(orders__17[[#This Row],[Order_ID]],returns[#All],2,0)</f>
        <v>No</v>
      </c>
    </row>
    <row r="1037" spans="1:13" x14ac:dyDescent="0.3">
      <c r="A1037" s="1" t="s">
        <v>1343</v>
      </c>
      <c r="B1037" s="2">
        <v>45267</v>
      </c>
      <c r="C1037" s="1" t="s">
        <v>233</v>
      </c>
      <c r="D1037" s="1" t="s">
        <v>304</v>
      </c>
      <c r="E1037">
        <v>1</v>
      </c>
      <c r="F1037" s="4">
        <v>1507.72</v>
      </c>
      <c r="G1037" s="3">
        <v>0.1</v>
      </c>
      <c r="H1037" s="4">
        <v>167.6</v>
      </c>
      <c r="I1037" t="str">
        <f>VLOOKUP(orders__17[[#This Row],[Customer_ID]],customers__2[#All],3,0)</f>
        <v>South</v>
      </c>
      <c r="J1037" t="str">
        <f>VLOOKUP(orders__17[[#This Row],[Customer_ID]],customers__2[#All],4,0)</f>
        <v>Home Office</v>
      </c>
      <c r="K1037" t="str">
        <f>VLOOKUP(orders__17[[#This Row],[Product_ID]],products[#All],3,0)</f>
        <v>Technology</v>
      </c>
      <c r="L1037" s="1" t="str">
        <f>VLOOKUP(orders__17[[#This Row],[Product_ID]],products[#All],4,0)</f>
        <v>Accessories</v>
      </c>
      <c r="M1037" s="1" t="str">
        <f>VLOOKUP(orders__17[[#This Row],[Order_ID]],returns[#All],2,0)</f>
        <v>No</v>
      </c>
    </row>
    <row r="1038" spans="1:13" x14ac:dyDescent="0.3">
      <c r="A1038" s="1" t="s">
        <v>1344</v>
      </c>
      <c r="B1038" s="2">
        <v>45008</v>
      </c>
      <c r="C1038" s="1" t="s">
        <v>300</v>
      </c>
      <c r="D1038" s="1" t="s">
        <v>323</v>
      </c>
      <c r="E1038">
        <v>2</v>
      </c>
      <c r="F1038" s="4">
        <v>700.91</v>
      </c>
      <c r="G1038" s="3">
        <v>0</v>
      </c>
      <c r="H1038" s="4">
        <v>108.87</v>
      </c>
      <c r="I1038" t="str">
        <f>VLOOKUP(orders__17[[#This Row],[Customer_ID]],customers__2[#All],3,0)</f>
        <v>East</v>
      </c>
      <c r="J1038" t="str">
        <f>VLOOKUP(orders__17[[#This Row],[Customer_ID]],customers__2[#All],4,0)</f>
        <v>Home Office</v>
      </c>
      <c r="K1038" t="str">
        <f>VLOOKUP(orders__17[[#This Row],[Product_ID]],products[#All],3,0)</f>
        <v>Technology</v>
      </c>
      <c r="L1038" s="1" t="str">
        <f>VLOOKUP(orders__17[[#This Row],[Product_ID]],products[#All],4,0)</f>
        <v>Tablet</v>
      </c>
      <c r="M1038" s="1" t="str">
        <f>VLOOKUP(orders__17[[#This Row],[Order_ID]],returns[#All],2,0)</f>
        <v>No</v>
      </c>
    </row>
    <row r="1039" spans="1:13" x14ac:dyDescent="0.3">
      <c r="A1039" s="1" t="s">
        <v>1345</v>
      </c>
      <c r="B1039" s="2">
        <v>45303</v>
      </c>
      <c r="C1039" s="1" t="s">
        <v>80</v>
      </c>
      <c r="D1039" s="1" t="s">
        <v>16</v>
      </c>
      <c r="E1039">
        <v>3</v>
      </c>
      <c r="F1039" s="4">
        <v>293.60000000000002</v>
      </c>
      <c r="G1039" s="3">
        <v>0.1</v>
      </c>
      <c r="H1039" s="4">
        <v>76.25</v>
      </c>
      <c r="I1039" t="str">
        <f>VLOOKUP(orders__17[[#This Row],[Customer_ID]],customers__2[#All],3,0)</f>
        <v>East</v>
      </c>
      <c r="J1039" t="str">
        <f>VLOOKUP(orders__17[[#This Row],[Customer_ID]],customers__2[#All],4,0)</f>
        <v>Home Office</v>
      </c>
      <c r="K1039" t="str">
        <f>VLOOKUP(orders__17[[#This Row],[Product_ID]],products[#All],3,0)</f>
        <v>Technology</v>
      </c>
      <c r="L1039" s="1" t="str">
        <f>VLOOKUP(orders__17[[#This Row],[Product_ID]],products[#All],4,0)</f>
        <v>Laptop</v>
      </c>
      <c r="M1039" s="1" t="str">
        <f>VLOOKUP(orders__17[[#This Row],[Order_ID]],returns[#All],2,0)</f>
        <v>No</v>
      </c>
    </row>
    <row r="1040" spans="1:13" x14ac:dyDescent="0.3">
      <c r="A1040" s="1" t="s">
        <v>1346</v>
      </c>
      <c r="B1040" s="2">
        <v>45321</v>
      </c>
      <c r="C1040" s="1" t="s">
        <v>200</v>
      </c>
      <c r="D1040" s="1" t="s">
        <v>170</v>
      </c>
      <c r="E1040">
        <v>2</v>
      </c>
      <c r="F1040" s="4">
        <v>784.44</v>
      </c>
      <c r="G1040" s="3">
        <v>0.3</v>
      </c>
      <c r="H1040" s="4">
        <v>211.23</v>
      </c>
      <c r="I1040" t="str">
        <f>VLOOKUP(orders__17[[#This Row],[Customer_ID]],customers__2[#All],3,0)</f>
        <v>East</v>
      </c>
      <c r="J1040" t="str">
        <f>VLOOKUP(orders__17[[#This Row],[Customer_ID]],customers__2[#All],4,0)</f>
        <v>Consumer</v>
      </c>
      <c r="K1040" t="str">
        <f>VLOOKUP(orders__17[[#This Row],[Product_ID]],products[#All],3,0)</f>
        <v>Furniture</v>
      </c>
      <c r="L1040" s="1" t="str">
        <f>VLOOKUP(orders__17[[#This Row],[Product_ID]],products[#All],4,0)</f>
        <v>Shelf</v>
      </c>
      <c r="M1040" s="1" t="str">
        <f>VLOOKUP(orders__17[[#This Row],[Order_ID]],returns[#All],2,0)</f>
        <v>No</v>
      </c>
    </row>
    <row r="1041" spans="1:13" x14ac:dyDescent="0.3">
      <c r="A1041" s="1" t="s">
        <v>1347</v>
      </c>
      <c r="B1041" s="2">
        <v>45105</v>
      </c>
      <c r="C1041" s="1" t="s">
        <v>729</v>
      </c>
      <c r="D1041" s="1" t="s">
        <v>67</v>
      </c>
      <c r="E1041">
        <v>2</v>
      </c>
      <c r="F1041" s="4">
        <v>613.75</v>
      </c>
      <c r="G1041" s="3">
        <v>0</v>
      </c>
      <c r="H1041" s="4">
        <v>68</v>
      </c>
      <c r="I1041" t="str">
        <f>VLOOKUP(orders__17[[#This Row],[Customer_ID]],customers__2[#All],3,0)</f>
        <v>North</v>
      </c>
      <c r="J1041" t="str">
        <f>VLOOKUP(orders__17[[#This Row],[Customer_ID]],customers__2[#All],4,0)</f>
        <v>Home Office</v>
      </c>
      <c r="K1041" t="str">
        <f>VLOOKUP(orders__17[[#This Row],[Product_ID]],products[#All],3,0)</f>
        <v>Furniture</v>
      </c>
      <c r="L1041" s="1" t="str">
        <f>VLOOKUP(orders__17[[#This Row],[Product_ID]],products[#All],4,0)</f>
        <v>Chair</v>
      </c>
      <c r="M1041" s="1" t="str">
        <f>VLOOKUP(orders__17[[#This Row],[Order_ID]],returns[#All],2,0)</f>
        <v>No</v>
      </c>
    </row>
    <row r="1042" spans="1:13" x14ac:dyDescent="0.3">
      <c r="A1042" s="1" t="s">
        <v>1348</v>
      </c>
      <c r="B1042" s="2">
        <v>44677</v>
      </c>
      <c r="C1042" s="1" t="s">
        <v>579</v>
      </c>
      <c r="D1042" s="1" t="s">
        <v>109</v>
      </c>
      <c r="E1042">
        <v>3</v>
      </c>
      <c r="F1042" s="4">
        <v>1701.15</v>
      </c>
      <c r="G1042" s="3">
        <v>0.1</v>
      </c>
      <c r="H1042" s="4">
        <v>319.20999999999998</v>
      </c>
      <c r="I1042" t="str">
        <f>VLOOKUP(orders__17[[#This Row],[Customer_ID]],customers__2[#All],3,0)</f>
        <v>West</v>
      </c>
      <c r="J1042" t="str">
        <f>VLOOKUP(orders__17[[#This Row],[Customer_ID]],customers__2[#All],4,0)</f>
        <v>Corporate</v>
      </c>
      <c r="K1042" t="str">
        <f>VLOOKUP(orders__17[[#This Row],[Product_ID]],products[#All],3,0)</f>
        <v>Furniture</v>
      </c>
      <c r="L1042" s="1" t="str">
        <f>VLOOKUP(orders__17[[#This Row],[Product_ID]],products[#All],4,0)</f>
        <v>Chair</v>
      </c>
      <c r="M1042" s="1" t="str">
        <f>VLOOKUP(orders__17[[#This Row],[Order_ID]],returns[#All],2,0)</f>
        <v>No</v>
      </c>
    </row>
    <row r="1043" spans="1:13" x14ac:dyDescent="0.3">
      <c r="A1043" s="1" t="s">
        <v>1349</v>
      </c>
      <c r="B1043" s="2">
        <v>44888</v>
      </c>
      <c r="C1043" s="1" t="s">
        <v>442</v>
      </c>
      <c r="D1043" s="1" t="s">
        <v>156</v>
      </c>
      <c r="E1043">
        <v>2</v>
      </c>
      <c r="F1043" s="4">
        <v>695.36</v>
      </c>
      <c r="G1043" s="3">
        <v>0.3</v>
      </c>
      <c r="H1043" s="4">
        <v>68.23</v>
      </c>
      <c r="I1043" t="str">
        <f>VLOOKUP(orders__17[[#This Row],[Customer_ID]],customers__2[#All],3,0)</f>
        <v>North</v>
      </c>
      <c r="J1043" t="str">
        <f>VLOOKUP(orders__17[[#This Row],[Customer_ID]],customers__2[#All],4,0)</f>
        <v>Consumer</v>
      </c>
      <c r="K1043" t="str">
        <f>VLOOKUP(orders__17[[#This Row],[Product_ID]],products[#All],3,0)</f>
        <v>Furniture</v>
      </c>
      <c r="L1043" s="1" t="str">
        <f>VLOOKUP(orders__17[[#This Row],[Product_ID]],products[#All],4,0)</f>
        <v>Desk</v>
      </c>
      <c r="M1043" s="1" t="str">
        <f>VLOOKUP(orders__17[[#This Row],[Order_ID]],returns[#All],2,0)</f>
        <v>No</v>
      </c>
    </row>
    <row r="1044" spans="1:13" x14ac:dyDescent="0.3">
      <c r="A1044" s="1" t="s">
        <v>1350</v>
      </c>
      <c r="B1044" s="2">
        <v>44857</v>
      </c>
      <c r="C1044" s="1" t="s">
        <v>192</v>
      </c>
      <c r="D1044" s="1" t="s">
        <v>378</v>
      </c>
      <c r="E1044">
        <v>3</v>
      </c>
      <c r="F1044" s="4">
        <v>1598.97</v>
      </c>
      <c r="G1044" s="3">
        <v>0.3</v>
      </c>
      <c r="H1044" s="4">
        <v>120.67</v>
      </c>
      <c r="I1044" t="str">
        <f>VLOOKUP(orders__17[[#This Row],[Customer_ID]],customers__2[#All],3,0)</f>
        <v>South</v>
      </c>
      <c r="J1044" t="str">
        <f>VLOOKUP(orders__17[[#This Row],[Customer_ID]],customers__2[#All],4,0)</f>
        <v>Corporate</v>
      </c>
      <c r="K1044" t="str">
        <f>VLOOKUP(orders__17[[#This Row],[Product_ID]],products[#All],3,0)</f>
        <v>Office Supplies</v>
      </c>
      <c r="L1044" s="1" t="str">
        <f>VLOOKUP(orders__17[[#This Row],[Product_ID]],products[#All],4,0)</f>
        <v>Paper</v>
      </c>
      <c r="M1044" s="1" t="str">
        <f>VLOOKUP(orders__17[[#This Row],[Order_ID]],returns[#All],2,0)</f>
        <v>No</v>
      </c>
    </row>
    <row r="1045" spans="1:13" x14ac:dyDescent="0.3">
      <c r="A1045" s="1" t="s">
        <v>1351</v>
      </c>
      <c r="B1045" s="2">
        <v>44586</v>
      </c>
      <c r="C1045" s="1" t="s">
        <v>334</v>
      </c>
      <c r="D1045" s="1" t="s">
        <v>288</v>
      </c>
      <c r="E1045">
        <v>1</v>
      </c>
      <c r="F1045" s="4">
        <v>1794.56</v>
      </c>
      <c r="G1045" s="3">
        <v>0.2</v>
      </c>
      <c r="H1045" s="4">
        <v>498.49</v>
      </c>
      <c r="I1045" t="str">
        <f>VLOOKUP(orders__17[[#This Row],[Customer_ID]],customers__2[#All],3,0)</f>
        <v>East</v>
      </c>
      <c r="J1045" t="str">
        <f>VLOOKUP(orders__17[[#This Row],[Customer_ID]],customers__2[#All],4,0)</f>
        <v>Consumer</v>
      </c>
      <c r="K1045" t="str">
        <f>VLOOKUP(orders__17[[#This Row],[Product_ID]],products[#All],3,0)</f>
        <v>Furniture</v>
      </c>
      <c r="L1045" s="1" t="str">
        <f>VLOOKUP(orders__17[[#This Row],[Product_ID]],products[#All],4,0)</f>
        <v>Chair</v>
      </c>
      <c r="M1045" s="1" t="str">
        <f>VLOOKUP(orders__17[[#This Row],[Order_ID]],returns[#All],2,0)</f>
        <v>No</v>
      </c>
    </row>
    <row r="1046" spans="1:13" x14ac:dyDescent="0.3">
      <c r="A1046" s="1" t="s">
        <v>1352</v>
      </c>
      <c r="B1046" s="2">
        <v>45461</v>
      </c>
      <c r="C1046" s="1" t="s">
        <v>102</v>
      </c>
      <c r="D1046" s="1" t="s">
        <v>111</v>
      </c>
      <c r="E1046">
        <v>3</v>
      </c>
      <c r="F1046" s="4">
        <v>924.25</v>
      </c>
      <c r="G1046" s="3">
        <v>0.3</v>
      </c>
      <c r="H1046" s="4">
        <v>235.8</v>
      </c>
      <c r="I1046" t="str">
        <f>VLOOKUP(orders__17[[#This Row],[Customer_ID]],customers__2[#All],3,0)</f>
        <v>West</v>
      </c>
      <c r="J1046" t="str">
        <f>VLOOKUP(orders__17[[#This Row],[Customer_ID]],customers__2[#All],4,0)</f>
        <v>Corporate</v>
      </c>
      <c r="K1046" t="str">
        <f>VLOOKUP(orders__17[[#This Row],[Product_ID]],products[#All],3,0)</f>
        <v>Technology</v>
      </c>
      <c r="L1046" s="1" t="str">
        <f>VLOOKUP(orders__17[[#This Row],[Product_ID]],products[#All],4,0)</f>
        <v>Accessories</v>
      </c>
      <c r="M1046" s="1" t="str">
        <f>VLOOKUP(orders__17[[#This Row],[Order_ID]],returns[#All],2,0)</f>
        <v>Yes</v>
      </c>
    </row>
    <row r="1047" spans="1:13" x14ac:dyDescent="0.3">
      <c r="A1047" s="1" t="s">
        <v>1353</v>
      </c>
      <c r="B1047" s="2">
        <v>45065</v>
      </c>
      <c r="C1047" s="1" t="s">
        <v>53</v>
      </c>
      <c r="D1047" s="1" t="s">
        <v>170</v>
      </c>
      <c r="E1047">
        <v>3</v>
      </c>
      <c r="F1047" s="4">
        <v>1828.89</v>
      </c>
      <c r="G1047" s="3">
        <v>0.1</v>
      </c>
      <c r="H1047" s="4">
        <v>438.95</v>
      </c>
      <c r="I1047" t="str">
        <f>VLOOKUP(orders__17[[#This Row],[Customer_ID]],customers__2[#All],3,0)</f>
        <v>West</v>
      </c>
      <c r="J1047" t="str">
        <f>VLOOKUP(orders__17[[#This Row],[Customer_ID]],customers__2[#All],4,0)</f>
        <v>Home Office</v>
      </c>
      <c r="K1047" t="str">
        <f>VLOOKUP(orders__17[[#This Row],[Product_ID]],products[#All],3,0)</f>
        <v>Furniture</v>
      </c>
      <c r="L1047" s="1" t="str">
        <f>VLOOKUP(orders__17[[#This Row],[Product_ID]],products[#All],4,0)</f>
        <v>Shelf</v>
      </c>
      <c r="M1047" s="1" t="str">
        <f>VLOOKUP(orders__17[[#This Row],[Order_ID]],returns[#All],2,0)</f>
        <v>No</v>
      </c>
    </row>
    <row r="1048" spans="1:13" x14ac:dyDescent="0.3">
      <c r="A1048" s="1" t="s">
        <v>1354</v>
      </c>
      <c r="B1048" s="2">
        <v>44922</v>
      </c>
      <c r="C1048" s="1" t="s">
        <v>205</v>
      </c>
      <c r="D1048" s="1" t="s">
        <v>13</v>
      </c>
      <c r="E1048">
        <v>4</v>
      </c>
      <c r="F1048" s="4">
        <v>816.9</v>
      </c>
      <c r="G1048" s="3">
        <v>0</v>
      </c>
      <c r="H1048" s="4">
        <v>50.8</v>
      </c>
      <c r="I1048" t="str">
        <f>VLOOKUP(orders__17[[#This Row],[Customer_ID]],customers__2[#All],3,0)</f>
        <v>North</v>
      </c>
      <c r="J1048" t="str">
        <f>VLOOKUP(orders__17[[#This Row],[Customer_ID]],customers__2[#All],4,0)</f>
        <v>Consumer</v>
      </c>
      <c r="K1048" t="str">
        <f>VLOOKUP(orders__17[[#This Row],[Product_ID]],products[#All],3,0)</f>
        <v>Furniture</v>
      </c>
      <c r="L1048" s="1" t="str">
        <f>VLOOKUP(orders__17[[#This Row],[Product_ID]],products[#All],4,0)</f>
        <v>Desk</v>
      </c>
      <c r="M1048" s="1" t="str">
        <f>VLOOKUP(orders__17[[#This Row],[Order_ID]],returns[#All],2,0)</f>
        <v>No</v>
      </c>
    </row>
    <row r="1049" spans="1:13" x14ac:dyDescent="0.3">
      <c r="A1049" s="1" t="s">
        <v>1355</v>
      </c>
      <c r="B1049" s="2">
        <v>44888</v>
      </c>
      <c r="C1049" s="1" t="s">
        <v>50</v>
      </c>
      <c r="D1049" s="1" t="s">
        <v>51</v>
      </c>
      <c r="E1049">
        <v>3</v>
      </c>
      <c r="F1049" s="4">
        <v>1931.75</v>
      </c>
      <c r="G1049" s="3">
        <v>0.2</v>
      </c>
      <c r="H1049" s="4">
        <v>504.06</v>
      </c>
      <c r="I1049" t="str">
        <f>VLOOKUP(orders__17[[#This Row],[Customer_ID]],customers__2[#All],3,0)</f>
        <v>East</v>
      </c>
      <c r="J1049" t="str">
        <f>VLOOKUP(orders__17[[#This Row],[Customer_ID]],customers__2[#All],4,0)</f>
        <v>Corporate</v>
      </c>
      <c r="K1049" t="str">
        <f>VLOOKUP(orders__17[[#This Row],[Product_ID]],products[#All],3,0)</f>
        <v>Office Supplies</v>
      </c>
      <c r="L1049" s="1" t="str">
        <f>VLOOKUP(orders__17[[#This Row],[Product_ID]],products[#All],4,0)</f>
        <v>Pen</v>
      </c>
      <c r="M1049" s="1" t="str">
        <f>VLOOKUP(orders__17[[#This Row],[Order_ID]],returns[#All],2,0)</f>
        <v>No</v>
      </c>
    </row>
    <row r="1050" spans="1:13" x14ac:dyDescent="0.3">
      <c r="A1050" s="1" t="s">
        <v>1356</v>
      </c>
      <c r="B1050" s="2">
        <v>44998</v>
      </c>
      <c r="C1050" s="1" t="s">
        <v>691</v>
      </c>
      <c r="D1050" s="1" t="s">
        <v>218</v>
      </c>
      <c r="E1050">
        <v>3</v>
      </c>
      <c r="F1050" s="4">
        <v>269.64999999999998</v>
      </c>
      <c r="G1050" s="3">
        <v>0.3</v>
      </c>
      <c r="H1050" s="4">
        <v>43.01</v>
      </c>
      <c r="I1050" t="str">
        <f>VLOOKUP(orders__17[[#This Row],[Customer_ID]],customers__2[#All],3,0)</f>
        <v>West</v>
      </c>
      <c r="J1050" t="str">
        <f>VLOOKUP(orders__17[[#This Row],[Customer_ID]],customers__2[#All],4,0)</f>
        <v>Corporate</v>
      </c>
      <c r="K1050" t="str">
        <f>VLOOKUP(orders__17[[#This Row],[Product_ID]],products[#All],3,0)</f>
        <v>Office Supplies</v>
      </c>
      <c r="L1050" s="1" t="str">
        <f>VLOOKUP(orders__17[[#This Row],[Product_ID]],products[#All],4,0)</f>
        <v>Storage</v>
      </c>
      <c r="M1050" s="1" t="str">
        <f>VLOOKUP(orders__17[[#This Row],[Order_ID]],returns[#All],2,0)</f>
        <v>No</v>
      </c>
    </row>
    <row r="1051" spans="1:13" x14ac:dyDescent="0.3">
      <c r="A1051" s="1" t="s">
        <v>1357</v>
      </c>
      <c r="B1051" s="2">
        <v>44749</v>
      </c>
      <c r="C1051" s="1" t="s">
        <v>902</v>
      </c>
      <c r="D1051" s="1" t="s">
        <v>180</v>
      </c>
      <c r="E1051">
        <v>1</v>
      </c>
      <c r="F1051" s="4">
        <v>1405.34</v>
      </c>
      <c r="G1051" s="3">
        <v>0.3</v>
      </c>
      <c r="H1051" s="4">
        <v>190.56</v>
      </c>
      <c r="I1051" t="str">
        <f>VLOOKUP(orders__17[[#This Row],[Customer_ID]],customers__2[#All],3,0)</f>
        <v>West</v>
      </c>
      <c r="J1051" t="str">
        <f>VLOOKUP(orders__17[[#This Row],[Customer_ID]],customers__2[#All],4,0)</f>
        <v>Home Office</v>
      </c>
      <c r="K1051" t="str">
        <f>VLOOKUP(orders__17[[#This Row],[Product_ID]],products[#All],3,0)</f>
        <v>Furniture</v>
      </c>
      <c r="L1051" s="1" t="str">
        <f>VLOOKUP(orders__17[[#This Row],[Product_ID]],products[#All],4,0)</f>
        <v>Chair</v>
      </c>
      <c r="M1051" s="1" t="str">
        <f>VLOOKUP(orders__17[[#This Row],[Order_ID]],returns[#All],2,0)</f>
        <v>No</v>
      </c>
    </row>
    <row r="1052" spans="1:13" x14ac:dyDescent="0.3">
      <c r="A1052" s="1" t="s">
        <v>1358</v>
      </c>
      <c r="B1052" s="2">
        <v>45225</v>
      </c>
      <c r="C1052" s="1" t="s">
        <v>436</v>
      </c>
      <c r="D1052" s="1" t="s">
        <v>242</v>
      </c>
      <c r="E1052">
        <v>4</v>
      </c>
      <c r="F1052" s="4">
        <v>1038.25</v>
      </c>
      <c r="G1052" s="3">
        <v>0.3</v>
      </c>
      <c r="H1052" s="4">
        <v>193.76</v>
      </c>
      <c r="I1052" t="str">
        <f>VLOOKUP(orders__17[[#This Row],[Customer_ID]],customers__2[#All],3,0)</f>
        <v>East</v>
      </c>
      <c r="J1052" t="str">
        <f>VLOOKUP(orders__17[[#This Row],[Customer_ID]],customers__2[#All],4,0)</f>
        <v>Consumer</v>
      </c>
      <c r="K1052" t="str">
        <f>VLOOKUP(orders__17[[#This Row],[Product_ID]],products[#All],3,0)</f>
        <v>Technology</v>
      </c>
      <c r="L1052" s="1" t="str">
        <f>VLOOKUP(orders__17[[#This Row],[Product_ID]],products[#All],4,0)</f>
        <v>Phone</v>
      </c>
      <c r="M1052" s="1" t="str">
        <f>VLOOKUP(orders__17[[#This Row],[Order_ID]],returns[#All],2,0)</f>
        <v>No</v>
      </c>
    </row>
    <row r="1053" spans="1:13" x14ac:dyDescent="0.3">
      <c r="A1053" s="1" t="s">
        <v>1359</v>
      </c>
      <c r="B1053" s="2">
        <v>45126</v>
      </c>
      <c r="C1053" s="1" t="s">
        <v>115</v>
      </c>
      <c r="D1053" s="1" t="s">
        <v>109</v>
      </c>
      <c r="E1053">
        <v>5</v>
      </c>
      <c r="F1053" s="4">
        <v>836.53</v>
      </c>
      <c r="G1053" s="3">
        <v>0.1</v>
      </c>
      <c r="H1053" s="4">
        <v>60.93</v>
      </c>
      <c r="I1053" t="str">
        <f>VLOOKUP(orders__17[[#This Row],[Customer_ID]],customers__2[#All],3,0)</f>
        <v>South</v>
      </c>
      <c r="J1053" t="str">
        <f>VLOOKUP(orders__17[[#This Row],[Customer_ID]],customers__2[#All],4,0)</f>
        <v>Consumer</v>
      </c>
      <c r="K1053" t="str">
        <f>VLOOKUP(orders__17[[#This Row],[Product_ID]],products[#All],3,0)</f>
        <v>Furniture</v>
      </c>
      <c r="L1053" s="1" t="str">
        <f>VLOOKUP(orders__17[[#This Row],[Product_ID]],products[#All],4,0)</f>
        <v>Chair</v>
      </c>
      <c r="M1053" s="1" t="str">
        <f>VLOOKUP(orders__17[[#This Row],[Order_ID]],returns[#All],2,0)</f>
        <v>No</v>
      </c>
    </row>
    <row r="1054" spans="1:13" x14ac:dyDescent="0.3">
      <c r="A1054" s="1" t="s">
        <v>1360</v>
      </c>
      <c r="B1054" s="2">
        <v>45376</v>
      </c>
      <c r="C1054" s="1" t="s">
        <v>262</v>
      </c>
      <c r="D1054" s="1" t="s">
        <v>186</v>
      </c>
      <c r="E1054">
        <v>1</v>
      </c>
      <c r="F1054" s="4">
        <v>1302.1500000000001</v>
      </c>
      <c r="G1054" s="3">
        <v>0.2</v>
      </c>
      <c r="H1054" s="4">
        <v>311.42</v>
      </c>
      <c r="I1054" t="str">
        <f>VLOOKUP(orders__17[[#This Row],[Customer_ID]],customers__2[#All],3,0)</f>
        <v>South</v>
      </c>
      <c r="J1054" t="str">
        <f>VLOOKUP(orders__17[[#This Row],[Customer_ID]],customers__2[#All],4,0)</f>
        <v>Corporate</v>
      </c>
      <c r="K1054" t="str">
        <f>VLOOKUP(orders__17[[#This Row],[Product_ID]],products[#All],3,0)</f>
        <v>Technology</v>
      </c>
      <c r="L1054" s="1" t="str">
        <f>VLOOKUP(orders__17[[#This Row],[Product_ID]],products[#All],4,0)</f>
        <v>Laptop</v>
      </c>
      <c r="M1054" s="1" t="str">
        <f>VLOOKUP(orders__17[[#This Row],[Order_ID]],returns[#All],2,0)</f>
        <v>No</v>
      </c>
    </row>
    <row r="1055" spans="1:13" x14ac:dyDescent="0.3">
      <c r="A1055" s="1" t="s">
        <v>1361</v>
      </c>
      <c r="B1055" s="2">
        <v>45217</v>
      </c>
      <c r="C1055" s="1" t="s">
        <v>436</v>
      </c>
      <c r="D1055" s="1" t="s">
        <v>25</v>
      </c>
      <c r="E1055">
        <v>1</v>
      </c>
      <c r="F1055" s="4">
        <v>1437.33</v>
      </c>
      <c r="G1055" s="3">
        <v>0.1</v>
      </c>
      <c r="H1055" s="4">
        <v>281.14999999999998</v>
      </c>
      <c r="I1055" t="str">
        <f>VLOOKUP(orders__17[[#This Row],[Customer_ID]],customers__2[#All],3,0)</f>
        <v>East</v>
      </c>
      <c r="J1055" t="str">
        <f>VLOOKUP(orders__17[[#This Row],[Customer_ID]],customers__2[#All],4,0)</f>
        <v>Consumer</v>
      </c>
      <c r="K1055" t="str">
        <f>VLOOKUP(orders__17[[#This Row],[Product_ID]],products[#All],3,0)</f>
        <v>Office Supplies</v>
      </c>
      <c r="L1055" s="1" t="str">
        <f>VLOOKUP(orders__17[[#This Row],[Product_ID]],products[#All],4,0)</f>
        <v>Paper</v>
      </c>
      <c r="M1055" s="1" t="str">
        <f>VLOOKUP(orders__17[[#This Row],[Order_ID]],returns[#All],2,0)</f>
        <v>No</v>
      </c>
    </row>
    <row r="1056" spans="1:13" x14ac:dyDescent="0.3">
      <c r="A1056" s="1" t="s">
        <v>1362</v>
      </c>
      <c r="B1056" s="2">
        <v>44649</v>
      </c>
      <c r="C1056" s="1" t="s">
        <v>53</v>
      </c>
      <c r="D1056" s="1" t="s">
        <v>258</v>
      </c>
      <c r="E1056">
        <v>5</v>
      </c>
      <c r="F1056" s="4">
        <v>108.29</v>
      </c>
      <c r="G1056" s="3">
        <v>0.2</v>
      </c>
      <c r="H1056" s="4">
        <v>10.47</v>
      </c>
      <c r="I1056" t="str">
        <f>VLOOKUP(orders__17[[#This Row],[Customer_ID]],customers__2[#All],3,0)</f>
        <v>West</v>
      </c>
      <c r="J1056" t="str">
        <f>VLOOKUP(orders__17[[#This Row],[Customer_ID]],customers__2[#All],4,0)</f>
        <v>Home Office</v>
      </c>
      <c r="K1056" t="str">
        <f>VLOOKUP(orders__17[[#This Row],[Product_ID]],products[#All],3,0)</f>
        <v>Technology</v>
      </c>
      <c r="L1056" s="1" t="str">
        <f>VLOOKUP(orders__17[[#This Row],[Product_ID]],products[#All],4,0)</f>
        <v>Phone</v>
      </c>
      <c r="M1056" s="1" t="str">
        <f>VLOOKUP(orders__17[[#This Row],[Order_ID]],returns[#All],2,0)</f>
        <v>No</v>
      </c>
    </row>
    <row r="1057" spans="1:13" x14ac:dyDescent="0.3">
      <c r="A1057" s="1" t="s">
        <v>1363</v>
      </c>
      <c r="B1057" s="2">
        <v>44632</v>
      </c>
      <c r="C1057" s="1" t="s">
        <v>505</v>
      </c>
      <c r="D1057" s="1" t="s">
        <v>22</v>
      </c>
      <c r="E1057">
        <v>3</v>
      </c>
      <c r="F1057" s="4">
        <v>417.21</v>
      </c>
      <c r="G1057" s="3">
        <v>0</v>
      </c>
      <c r="H1057" s="4">
        <v>40.49</v>
      </c>
      <c r="I1057" t="str">
        <f>VLOOKUP(orders__17[[#This Row],[Customer_ID]],customers__2[#All],3,0)</f>
        <v>North</v>
      </c>
      <c r="J1057" t="str">
        <f>VLOOKUP(orders__17[[#This Row],[Customer_ID]],customers__2[#All],4,0)</f>
        <v>Consumer</v>
      </c>
      <c r="K1057" t="str">
        <f>VLOOKUP(orders__17[[#This Row],[Product_ID]],products[#All],3,0)</f>
        <v>Furniture</v>
      </c>
      <c r="L1057" s="1" t="str">
        <f>VLOOKUP(orders__17[[#This Row],[Product_ID]],products[#All],4,0)</f>
        <v>Chair</v>
      </c>
      <c r="M1057" s="1" t="str">
        <f>VLOOKUP(orders__17[[#This Row],[Order_ID]],returns[#All],2,0)</f>
        <v>No</v>
      </c>
    </row>
    <row r="1058" spans="1:13" x14ac:dyDescent="0.3">
      <c r="A1058" s="1" t="s">
        <v>1364</v>
      </c>
      <c r="B1058" s="2">
        <v>44707</v>
      </c>
      <c r="C1058" s="1" t="s">
        <v>42</v>
      </c>
      <c r="D1058" s="1" t="s">
        <v>603</v>
      </c>
      <c r="E1058">
        <v>2</v>
      </c>
      <c r="F1058" s="4">
        <v>1454.79</v>
      </c>
      <c r="G1058" s="3">
        <v>0.1</v>
      </c>
      <c r="H1058" s="4">
        <v>139.75</v>
      </c>
      <c r="I1058" t="str">
        <f>VLOOKUP(orders__17[[#This Row],[Customer_ID]],customers__2[#All],3,0)</f>
        <v>North</v>
      </c>
      <c r="J1058" t="str">
        <f>VLOOKUP(orders__17[[#This Row],[Customer_ID]],customers__2[#All],4,0)</f>
        <v>Corporate</v>
      </c>
      <c r="K1058" t="str">
        <f>VLOOKUP(orders__17[[#This Row],[Product_ID]],products[#All],3,0)</f>
        <v>Technology</v>
      </c>
      <c r="L1058" s="1" t="str">
        <f>VLOOKUP(orders__17[[#This Row],[Product_ID]],products[#All],4,0)</f>
        <v>Accessories</v>
      </c>
      <c r="M1058" s="1" t="str">
        <f>VLOOKUP(orders__17[[#This Row],[Order_ID]],returns[#All],2,0)</f>
        <v>No</v>
      </c>
    </row>
    <row r="1059" spans="1:13" x14ac:dyDescent="0.3">
      <c r="A1059" s="1" t="s">
        <v>1365</v>
      </c>
      <c r="B1059" s="2">
        <v>45297</v>
      </c>
      <c r="C1059" s="1" t="s">
        <v>290</v>
      </c>
      <c r="D1059" s="1" t="s">
        <v>83</v>
      </c>
      <c r="E1059">
        <v>4</v>
      </c>
      <c r="F1059" s="4">
        <v>1366.13</v>
      </c>
      <c r="G1059" s="3">
        <v>0.1</v>
      </c>
      <c r="H1059" s="4">
        <v>87.77</v>
      </c>
      <c r="I1059" t="str">
        <f>VLOOKUP(orders__17[[#This Row],[Customer_ID]],customers__2[#All],3,0)</f>
        <v>East</v>
      </c>
      <c r="J1059" t="str">
        <f>VLOOKUP(orders__17[[#This Row],[Customer_ID]],customers__2[#All],4,0)</f>
        <v>Home Office</v>
      </c>
      <c r="K1059" t="str">
        <f>VLOOKUP(orders__17[[#This Row],[Product_ID]],products[#All],3,0)</f>
        <v>Furniture</v>
      </c>
      <c r="L1059" s="1" t="str">
        <f>VLOOKUP(orders__17[[#This Row],[Product_ID]],products[#All],4,0)</f>
        <v>Table</v>
      </c>
      <c r="M1059" s="1" t="str">
        <f>VLOOKUP(orders__17[[#This Row],[Order_ID]],returns[#All],2,0)</f>
        <v>Yes</v>
      </c>
    </row>
    <row r="1060" spans="1:13" x14ac:dyDescent="0.3">
      <c r="A1060" s="1" t="s">
        <v>1366</v>
      </c>
      <c r="B1060" s="2">
        <v>45030</v>
      </c>
      <c r="C1060" s="1" t="s">
        <v>1093</v>
      </c>
      <c r="D1060" s="1" t="s">
        <v>263</v>
      </c>
      <c r="E1060">
        <v>2</v>
      </c>
      <c r="F1060" s="4">
        <v>1935.49</v>
      </c>
      <c r="G1060" s="3">
        <v>0</v>
      </c>
      <c r="H1060" s="4">
        <v>381.19</v>
      </c>
      <c r="I1060" t="str">
        <f>VLOOKUP(orders__17[[#This Row],[Customer_ID]],customers__2[#All],3,0)</f>
        <v>West</v>
      </c>
      <c r="J1060" t="str">
        <f>VLOOKUP(orders__17[[#This Row],[Customer_ID]],customers__2[#All],4,0)</f>
        <v>Home Office</v>
      </c>
      <c r="K1060" t="str">
        <f>VLOOKUP(orders__17[[#This Row],[Product_ID]],products[#All],3,0)</f>
        <v>Office Supplies</v>
      </c>
      <c r="L1060" s="1" t="str">
        <f>VLOOKUP(orders__17[[#This Row],[Product_ID]],products[#All],4,0)</f>
        <v>Storage</v>
      </c>
      <c r="M1060" s="1" t="str">
        <f>VLOOKUP(orders__17[[#This Row],[Order_ID]],returns[#All],2,0)</f>
        <v>No</v>
      </c>
    </row>
    <row r="1061" spans="1:13" x14ac:dyDescent="0.3">
      <c r="A1061" s="1" t="s">
        <v>1367</v>
      </c>
      <c r="B1061" s="2">
        <v>45311</v>
      </c>
      <c r="C1061" s="1" t="s">
        <v>607</v>
      </c>
      <c r="D1061" s="1" t="s">
        <v>100</v>
      </c>
      <c r="E1061">
        <v>5</v>
      </c>
      <c r="F1061" s="4">
        <v>1545.97</v>
      </c>
      <c r="G1061" s="3">
        <v>0.2</v>
      </c>
      <c r="H1061" s="4">
        <v>402.09</v>
      </c>
      <c r="I1061" t="str">
        <f>VLOOKUP(orders__17[[#This Row],[Customer_ID]],customers__2[#All],3,0)</f>
        <v>East</v>
      </c>
      <c r="J1061" t="str">
        <f>VLOOKUP(orders__17[[#This Row],[Customer_ID]],customers__2[#All],4,0)</f>
        <v>Consumer</v>
      </c>
      <c r="K1061" t="str">
        <f>VLOOKUP(orders__17[[#This Row],[Product_ID]],products[#All],3,0)</f>
        <v>Technology</v>
      </c>
      <c r="L1061" s="1" t="str">
        <f>VLOOKUP(orders__17[[#This Row],[Product_ID]],products[#All],4,0)</f>
        <v>Laptop</v>
      </c>
      <c r="M1061" s="1" t="str">
        <f>VLOOKUP(orders__17[[#This Row],[Order_ID]],returns[#All],2,0)</f>
        <v>No</v>
      </c>
    </row>
    <row r="1062" spans="1:13" x14ac:dyDescent="0.3">
      <c r="A1062" s="1" t="s">
        <v>1368</v>
      </c>
      <c r="B1062" s="2">
        <v>44590</v>
      </c>
      <c r="C1062" s="1" t="s">
        <v>138</v>
      </c>
      <c r="D1062" s="1" t="s">
        <v>147</v>
      </c>
      <c r="E1062">
        <v>1</v>
      </c>
      <c r="F1062" s="4">
        <v>1906.47</v>
      </c>
      <c r="G1062" s="3">
        <v>0.3</v>
      </c>
      <c r="H1062" s="4">
        <v>103.66</v>
      </c>
      <c r="I1062" t="str">
        <f>VLOOKUP(orders__17[[#This Row],[Customer_ID]],customers__2[#All],3,0)</f>
        <v>West</v>
      </c>
      <c r="J1062" t="str">
        <f>VLOOKUP(orders__17[[#This Row],[Customer_ID]],customers__2[#All],4,0)</f>
        <v>Consumer</v>
      </c>
      <c r="K1062" t="str">
        <f>VLOOKUP(orders__17[[#This Row],[Product_ID]],products[#All],3,0)</f>
        <v>Technology</v>
      </c>
      <c r="L1062" s="1" t="str">
        <f>VLOOKUP(orders__17[[#This Row],[Product_ID]],products[#All],4,0)</f>
        <v>Laptop</v>
      </c>
      <c r="M1062" s="1" t="str">
        <f>VLOOKUP(orders__17[[#This Row],[Order_ID]],returns[#All],2,0)</f>
        <v>Yes</v>
      </c>
    </row>
    <row r="1063" spans="1:13" x14ac:dyDescent="0.3">
      <c r="A1063" s="1" t="s">
        <v>1369</v>
      </c>
      <c r="B1063" s="2">
        <v>44844</v>
      </c>
      <c r="C1063" s="1" t="s">
        <v>744</v>
      </c>
      <c r="D1063" s="1" t="s">
        <v>669</v>
      </c>
      <c r="E1063">
        <v>1</v>
      </c>
      <c r="F1063" s="4">
        <v>1434.83</v>
      </c>
      <c r="G1063" s="3">
        <v>0</v>
      </c>
      <c r="H1063" s="4">
        <v>89.32</v>
      </c>
      <c r="I1063" t="str">
        <f>VLOOKUP(orders__17[[#This Row],[Customer_ID]],customers__2[#All],3,0)</f>
        <v>East</v>
      </c>
      <c r="J1063" t="str">
        <f>VLOOKUP(orders__17[[#This Row],[Customer_ID]],customers__2[#All],4,0)</f>
        <v>Consumer</v>
      </c>
      <c r="K1063" t="str">
        <f>VLOOKUP(orders__17[[#This Row],[Product_ID]],products[#All],3,0)</f>
        <v>Office Supplies</v>
      </c>
      <c r="L1063" s="1" t="str">
        <f>VLOOKUP(orders__17[[#This Row],[Product_ID]],products[#All],4,0)</f>
        <v>Pen</v>
      </c>
      <c r="M1063" s="1" t="str">
        <f>VLOOKUP(orders__17[[#This Row],[Order_ID]],returns[#All],2,0)</f>
        <v>Yes</v>
      </c>
    </row>
    <row r="1064" spans="1:13" x14ac:dyDescent="0.3">
      <c r="A1064" s="1" t="s">
        <v>1370</v>
      </c>
      <c r="B1064" s="2">
        <v>45168</v>
      </c>
      <c r="C1064" s="1" t="s">
        <v>313</v>
      </c>
      <c r="D1064" s="1" t="s">
        <v>323</v>
      </c>
      <c r="E1064">
        <v>4</v>
      </c>
      <c r="F1064" s="4">
        <v>666.3</v>
      </c>
      <c r="G1064" s="3">
        <v>0.3</v>
      </c>
      <c r="H1064" s="4">
        <v>128.72</v>
      </c>
      <c r="I1064" t="str">
        <f>VLOOKUP(orders__17[[#This Row],[Customer_ID]],customers__2[#All],3,0)</f>
        <v>West</v>
      </c>
      <c r="J1064" t="str">
        <f>VLOOKUP(orders__17[[#This Row],[Customer_ID]],customers__2[#All],4,0)</f>
        <v>Home Office</v>
      </c>
      <c r="K1064" t="str">
        <f>VLOOKUP(orders__17[[#This Row],[Product_ID]],products[#All],3,0)</f>
        <v>Technology</v>
      </c>
      <c r="L1064" s="1" t="str">
        <f>VLOOKUP(orders__17[[#This Row],[Product_ID]],products[#All],4,0)</f>
        <v>Tablet</v>
      </c>
      <c r="M1064" s="1" t="str">
        <f>VLOOKUP(orders__17[[#This Row],[Order_ID]],returns[#All],2,0)</f>
        <v>No</v>
      </c>
    </row>
    <row r="1065" spans="1:13" x14ac:dyDescent="0.3">
      <c r="A1065" s="1" t="s">
        <v>1371</v>
      </c>
      <c r="B1065" s="2">
        <v>45014</v>
      </c>
      <c r="C1065" s="1" t="s">
        <v>328</v>
      </c>
      <c r="D1065" s="1" t="s">
        <v>195</v>
      </c>
      <c r="E1065">
        <v>1</v>
      </c>
      <c r="F1065" s="4">
        <v>300.19</v>
      </c>
      <c r="G1065" s="3">
        <v>0.3</v>
      </c>
      <c r="H1065" s="4">
        <v>76.510000000000005</v>
      </c>
      <c r="I1065" t="str">
        <f>VLOOKUP(orders__17[[#This Row],[Customer_ID]],customers__2[#All],3,0)</f>
        <v>South</v>
      </c>
      <c r="J1065" t="str">
        <f>VLOOKUP(orders__17[[#This Row],[Customer_ID]],customers__2[#All],4,0)</f>
        <v>Corporate</v>
      </c>
      <c r="K1065" t="str">
        <f>VLOOKUP(orders__17[[#This Row],[Product_ID]],products[#All],3,0)</f>
        <v>Furniture</v>
      </c>
      <c r="L1065" s="1" t="str">
        <f>VLOOKUP(orders__17[[#This Row],[Product_ID]],products[#All],4,0)</f>
        <v>Chair</v>
      </c>
      <c r="M1065" s="1" t="str">
        <f>VLOOKUP(orders__17[[#This Row],[Order_ID]],returns[#All],2,0)</f>
        <v>No</v>
      </c>
    </row>
    <row r="1066" spans="1:13" x14ac:dyDescent="0.3">
      <c r="A1066" s="1" t="s">
        <v>1372</v>
      </c>
      <c r="B1066" s="2">
        <v>45232</v>
      </c>
      <c r="C1066" s="1" t="s">
        <v>167</v>
      </c>
      <c r="D1066" s="1" t="s">
        <v>218</v>
      </c>
      <c r="E1066">
        <v>1</v>
      </c>
      <c r="F1066" s="4">
        <v>1585.47</v>
      </c>
      <c r="G1066" s="3">
        <v>0</v>
      </c>
      <c r="H1066" s="4">
        <v>208.78</v>
      </c>
      <c r="I1066" t="str">
        <f>VLOOKUP(orders__17[[#This Row],[Customer_ID]],customers__2[#All],3,0)</f>
        <v>East</v>
      </c>
      <c r="J1066" t="str">
        <f>VLOOKUP(orders__17[[#This Row],[Customer_ID]],customers__2[#All],4,0)</f>
        <v>Corporate</v>
      </c>
      <c r="K1066" t="str">
        <f>VLOOKUP(orders__17[[#This Row],[Product_ID]],products[#All],3,0)</f>
        <v>Office Supplies</v>
      </c>
      <c r="L1066" s="1" t="str">
        <f>VLOOKUP(orders__17[[#This Row],[Product_ID]],products[#All],4,0)</f>
        <v>Storage</v>
      </c>
      <c r="M1066" s="1" t="str">
        <f>VLOOKUP(orders__17[[#This Row],[Order_ID]],returns[#All],2,0)</f>
        <v>No</v>
      </c>
    </row>
    <row r="1067" spans="1:13" x14ac:dyDescent="0.3">
      <c r="A1067" s="1" t="s">
        <v>1373</v>
      </c>
      <c r="B1067" s="2">
        <v>45388</v>
      </c>
      <c r="C1067" s="1" t="s">
        <v>355</v>
      </c>
      <c r="D1067" s="1" t="s">
        <v>263</v>
      </c>
      <c r="E1067">
        <v>4</v>
      </c>
      <c r="F1067" s="4">
        <v>1323.88</v>
      </c>
      <c r="G1067" s="3">
        <v>0.2</v>
      </c>
      <c r="H1067" s="4">
        <v>181.91</v>
      </c>
      <c r="I1067" t="str">
        <f>VLOOKUP(orders__17[[#This Row],[Customer_ID]],customers__2[#All],3,0)</f>
        <v>South</v>
      </c>
      <c r="J1067" t="str">
        <f>VLOOKUP(orders__17[[#This Row],[Customer_ID]],customers__2[#All],4,0)</f>
        <v>Home Office</v>
      </c>
      <c r="K1067" t="str">
        <f>VLOOKUP(orders__17[[#This Row],[Product_ID]],products[#All],3,0)</f>
        <v>Office Supplies</v>
      </c>
      <c r="L1067" s="1" t="str">
        <f>VLOOKUP(orders__17[[#This Row],[Product_ID]],products[#All],4,0)</f>
        <v>Storage</v>
      </c>
      <c r="M1067" s="1" t="str">
        <f>VLOOKUP(orders__17[[#This Row],[Order_ID]],returns[#All],2,0)</f>
        <v>No</v>
      </c>
    </row>
    <row r="1068" spans="1:13" x14ac:dyDescent="0.3">
      <c r="A1068" s="1" t="s">
        <v>1374</v>
      </c>
      <c r="B1068" s="2">
        <v>45220</v>
      </c>
      <c r="C1068" s="1" t="s">
        <v>353</v>
      </c>
      <c r="D1068" s="1" t="s">
        <v>361</v>
      </c>
      <c r="E1068">
        <v>4</v>
      </c>
      <c r="F1068" s="4">
        <v>191.55</v>
      </c>
      <c r="G1068" s="3">
        <v>0.3</v>
      </c>
      <c r="H1068" s="4">
        <v>38.14</v>
      </c>
      <c r="I1068" t="str">
        <f>VLOOKUP(orders__17[[#This Row],[Customer_ID]],customers__2[#All],3,0)</f>
        <v>East</v>
      </c>
      <c r="J1068" t="str">
        <f>VLOOKUP(orders__17[[#This Row],[Customer_ID]],customers__2[#All],4,0)</f>
        <v>Home Office</v>
      </c>
      <c r="K1068" t="str">
        <f>VLOOKUP(orders__17[[#This Row],[Product_ID]],products[#All],3,0)</f>
        <v>Furniture</v>
      </c>
      <c r="L1068" s="1" t="str">
        <f>VLOOKUP(orders__17[[#This Row],[Product_ID]],products[#All],4,0)</f>
        <v>Shelf</v>
      </c>
      <c r="M1068" s="1" t="str">
        <f>VLOOKUP(orders__17[[#This Row],[Order_ID]],returns[#All],2,0)</f>
        <v>Yes</v>
      </c>
    </row>
    <row r="1069" spans="1:13" x14ac:dyDescent="0.3">
      <c r="A1069" s="1" t="s">
        <v>1375</v>
      </c>
      <c r="B1069" s="2">
        <v>45158</v>
      </c>
      <c r="C1069" s="1" t="s">
        <v>434</v>
      </c>
      <c r="D1069" s="1" t="s">
        <v>603</v>
      </c>
      <c r="E1069">
        <v>5</v>
      </c>
      <c r="F1069" s="4">
        <v>784.1</v>
      </c>
      <c r="G1069" s="3">
        <v>0</v>
      </c>
      <c r="H1069" s="4">
        <v>92.96</v>
      </c>
      <c r="I1069" t="str">
        <f>VLOOKUP(orders__17[[#This Row],[Customer_ID]],customers__2[#All],3,0)</f>
        <v>North</v>
      </c>
      <c r="J1069" t="str">
        <f>VLOOKUP(orders__17[[#This Row],[Customer_ID]],customers__2[#All],4,0)</f>
        <v>Corporate</v>
      </c>
      <c r="K1069" t="str">
        <f>VLOOKUP(orders__17[[#This Row],[Product_ID]],products[#All],3,0)</f>
        <v>Technology</v>
      </c>
      <c r="L1069" s="1" t="str">
        <f>VLOOKUP(orders__17[[#This Row],[Product_ID]],products[#All],4,0)</f>
        <v>Accessories</v>
      </c>
      <c r="M1069" s="1" t="str">
        <f>VLOOKUP(orders__17[[#This Row],[Order_ID]],returns[#All],2,0)</f>
        <v>No</v>
      </c>
    </row>
    <row r="1070" spans="1:13" x14ac:dyDescent="0.3">
      <c r="A1070" s="1" t="s">
        <v>1376</v>
      </c>
      <c r="B1070" s="2">
        <v>44912</v>
      </c>
      <c r="C1070" s="1" t="s">
        <v>319</v>
      </c>
      <c r="D1070" s="1" t="s">
        <v>45</v>
      </c>
      <c r="E1070">
        <v>1</v>
      </c>
      <c r="F1070" s="4">
        <v>1917.92</v>
      </c>
      <c r="G1070" s="3">
        <v>0.1</v>
      </c>
      <c r="H1070" s="4">
        <v>108.65</v>
      </c>
      <c r="I1070" t="str">
        <f>VLOOKUP(orders__17[[#This Row],[Customer_ID]],customers__2[#All],3,0)</f>
        <v>East</v>
      </c>
      <c r="J1070" t="str">
        <f>VLOOKUP(orders__17[[#This Row],[Customer_ID]],customers__2[#All],4,0)</f>
        <v>Consumer</v>
      </c>
      <c r="K1070" t="str">
        <f>VLOOKUP(orders__17[[#This Row],[Product_ID]],products[#All],3,0)</f>
        <v>Office Supplies</v>
      </c>
      <c r="L1070" s="1" t="str">
        <f>VLOOKUP(orders__17[[#This Row],[Product_ID]],products[#All],4,0)</f>
        <v>Pen</v>
      </c>
      <c r="M1070" s="1" t="str">
        <f>VLOOKUP(orders__17[[#This Row],[Order_ID]],returns[#All],2,0)</f>
        <v>No</v>
      </c>
    </row>
    <row r="1071" spans="1:13" x14ac:dyDescent="0.3">
      <c r="A1071" s="1" t="s">
        <v>1377</v>
      </c>
      <c r="B1071" s="2">
        <v>44575</v>
      </c>
      <c r="C1071" s="1" t="s">
        <v>1081</v>
      </c>
      <c r="D1071" s="1" t="s">
        <v>294</v>
      </c>
      <c r="E1071">
        <v>1</v>
      </c>
      <c r="F1071" s="4">
        <v>1050.76</v>
      </c>
      <c r="G1071" s="3">
        <v>0.1</v>
      </c>
      <c r="H1071" s="4">
        <v>245.68</v>
      </c>
      <c r="I1071" t="str">
        <f>VLOOKUP(orders__17[[#This Row],[Customer_ID]],customers__2[#All],3,0)</f>
        <v>North</v>
      </c>
      <c r="J1071" t="str">
        <f>VLOOKUP(orders__17[[#This Row],[Customer_ID]],customers__2[#All],4,0)</f>
        <v>Home Office</v>
      </c>
      <c r="K1071" t="str">
        <f>VLOOKUP(orders__17[[#This Row],[Product_ID]],products[#All],3,0)</f>
        <v>Technology</v>
      </c>
      <c r="L1071" s="1" t="str">
        <f>VLOOKUP(orders__17[[#This Row],[Product_ID]],products[#All],4,0)</f>
        <v>Tablet</v>
      </c>
      <c r="M1071" s="1" t="str">
        <f>VLOOKUP(orders__17[[#This Row],[Order_ID]],returns[#All],2,0)</f>
        <v>No</v>
      </c>
    </row>
    <row r="1072" spans="1:13" x14ac:dyDescent="0.3">
      <c r="A1072" s="1" t="s">
        <v>1378</v>
      </c>
      <c r="B1072" s="2">
        <v>45170</v>
      </c>
      <c r="C1072" s="1" t="s">
        <v>246</v>
      </c>
      <c r="D1072" s="1" t="s">
        <v>116</v>
      </c>
      <c r="E1072">
        <v>5</v>
      </c>
      <c r="F1072" s="4">
        <v>922.19</v>
      </c>
      <c r="G1072" s="3">
        <v>0.1</v>
      </c>
      <c r="H1072" s="4">
        <v>190.35</v>
      </c>
      <c r="I1072" t="str">
        <f>VLOOKUP(orders__17[[#This Row],[Customer_ID]],customers__2[#All],3,0)</f>
        <v>West</v>
      </c>
      <c r="J1072" t="str">
        <f>VLOOKUP(orders__17[[#This Row],[Customer_ID]],customers__2[#All],4,0)</f>
        <v>Home Office</v>
      </c>
      <c r="K1072" t="str">
        <f>VLOOKUP(orders__17[[#This Row],[Product_ID]],products[#All],3,0)</f>
        <v>Furniture</v>
      </c>
      <c r="L1072" s="1" t="str">
        <f>VLOOKUP(orders__17[[#This Row],[Product_ID]],products[#All],4,0)</f>
        <v>Shelf</v>
      </c>
      <c r="M1072" s="1" t="str">
        <f>VLOOKUP(orders__17[[#This Row],[Order_ID]],returns[#All],2,0)</f>
        <v>No</v>
      </c>
    </row>
    <row r="1073" spans="1:13" x14ac:dyDescent="0.3">
      <c r="A1073" s="1" t="s">
        <v>1379</v>
      </c>
      <c r="B1073" s="2">
        <v>44769</v>
      </c>
      <c r="C1073" s="1" t="s">
        <v>118</v>
      </c>
      <c r="D1073" s="1" t="s">
        <v>40</v>
      </c>
      <c r="E1073">
        <v>3</v>
      </c>
      <c r="F1073" s="4">
        <v>969.63</v>
      </c>
      <c r="G1073" s="3">
        <v>0</v>
      </c>
      <c r="H1073" s="4">
        <v>189.26</v>
      </c>
      <c r="I1073" t="str">
        <f>VLOOKUP(orders__17[[#This Row],[Customer_ID]],customers__2[#All],3,0)</f>
        <v>North</v>
      </c>
      <c r="J1073" t="str">
        <f>VLOOKUP(orders__17[[#This Row],[Customer_ID]],customers__2[#All],4,0)</f>
        <v>Consumer</v>
      </c>
      <c r="K1073" t="str">
        <f>VLOOKUP(orders__17[[#This Row],[Product_ID]],products[#All],3,0)</f>
        <v>Office Supplies</v>
      </c>
      <c r="L1073" s="1" t="str">
        <f>VLOOKUP(orders__17[[#This Row],[Product_ID]],products[#All],4,0)</f>
        <v>Storage</v>
      </c>
      <c r="M1073" s="1" t="str">
        <f>VLOOKUP(orders__17[[#This Row],[Order_ID]],returns[#All],2,0)</f>
        <v>No</v>
      </c>
    </row>
    <row r="1074" spans="1:13" x14ac:dyDescent="0.3">
      <c r="A1074" s="1" t="s">
        <v>1380</v>
      </c>
      <c r="B1074" s="2">
        <v>44981</v>
      </c>
      <c r="C1074" s="1" t="s">
        <v>464</v>
      </c>
      <c r="D1074" s="1" t="s">
        <v>127</v>
      </c>
      <c r="E1074">
        <v>3</v>
      </c>
      <c r="F1074" s="4">
        <v>496.88</v>
      </c>
      <c r="G1074" s="3">
        <v>0.1</v>
      </c>
      <c r="H1074" s="4">
        <v>116.98</v>
      </c>
      <c r="I1074" t="str">
        <f>VLOOKUP(orders__17[[#This Row],[Customer_ID]],customers__2[#All],3,0)</f>
        <v>West</v>
      </c>
      <c r="J1074" t="str">
        <f>VLOOKUP(orders__17[[#This Row],[Customer_ID]],customers__2[#All],4,0)</f>
        <v>Corporate</v>
      </c>
      <c r="K1074" t="str">
        <f>VLOOKUP(orders__17[[#This Row],[Product_ID]],products[#All],3,0)</f>
        <v>Furniture</v>
      </c>
      <c r="L1074" s="1" t="str">
        <f>VLOOKUP(orders__17[[#This Row],[Product_ID]],products[#All],4,0)</f>
        <v>Chair</v>
      </c>
      <c r="M1074" s="1" t="str">
        <f>VLOOKUP(orders__17[[#This Row],[Order_ID]],returns[#All],2,0)</f>
        <v>Yes</v>
      </c>
    </row>
    <row r="1075" spans="1:13" x14ac:dyDescent="0.3">
      <c r="A1075" s="1" t="s">
        <v>1381</v>
      </c>
      <c r="B1075" s="2">
        <v>45340</v>
      </c>
      <c r="C1075" s="1" t="s">
        <v>280</v>
      </c>
      <c r="D1075" s="1" t="s">
        <v>92</v>
      </c>
      <c r="E1075">
        <v>3</v>
      </c>
      <c r="F1075" s="4">
        <v>800.54</v>
      </c>
      <c r="G1075" s="3">
        <v>0.3</v>
      </c>
      <c r="H1075" s="4">
        <v>175.16</v>
      </c>
      <c r="I1075" t="str">
        <f>VLOOKUP(orders__17[[#This Row],[Customer_ID]],customers__2[#All],3,0)</f>
        <v>East</v>
      </c>
      <c r="J1075" t="str">
        <f>VLOOKUP(orders__17[[#This Row],[Customer_ID]],customers__2[#All],4,0)</f>
        <v>Corporate</v>
      </c>
      <c r="K1075" t="str">
        <f>VLOOKUP(orders__17[[#This Row],[Product_ID]],products[#All],3,0)</f>
        <v>Furniture</v>
      </c>
      <c r="L1075" s="1" t="str">
        <f>VLOOKUP(orders__17[[#This Row],[Product_ID]],products[#All],4,0)</f>
        <v>Shelf</v>
      </c>
      <c r="M1075" s="1" t="str">
        <f>VLOOKUP(orders__17[[#This Row],[Order_ID]],returns[#All],2,0)</f>
        <v>Yes</v>
      </c>
    </row>
    <row r="1076" spans="1:13" x14ac:dyDescent="0.3">
      <c r="A1076" s="1" t="s">
        <v>1382</v>
      </c>
      <c r="B1076" s="2">
        <v>44811</v>
      </c>
      <c r="C1076" s="1" t="s">
        <v>678</v>
      </c>
      <c r="D1076" s="1" t="s">
        <v>89</v>
      </c>
      <c r="E1076">
        <v>5</v>
      </c>
      <c r="F1076" s="4">
        <v>802.65</v>
      </c>
      <c r="G1076" s="3">
        <v>0.1</v>
      </c>
      <c r="H1076" s="4">
        <v>81.45</v>
      </c>
      <c r="I1076" t="str">
        <f>VLOOKUP(orders__17[[#This Row],[Customer_ID]],customers__2[#All],3,0)</f>
        <v>West</v>
      </c>
      <c r="J1076" t="str">
        <f>VLOOKUP(orders__17[[#This Row],[Customer_ID]],customers__2[#All],4,0)</f>
        <v>Consumer</v>
      </c>
      <c r="K1076" t="str">
        <f>VLOOKUP(orders__17[[#This Row],[Product_ID]],products[#All],3,0)</f>
        <v>Technology</v>
      </c>
      <c r="L1076" s="1" t="str">
        <f>VLOOKUP(orders__17[[#This Row],[Product_ID]],products[#All],4,0)</f>
        <v>Phone</v>
      </c>
      <c r="M1076" s="1" t="str">
        <f>VLOOKUP(orders__17[[#This Row],[Order_ID]],returns[#All],2,0)</f>
        <v>Yes</v>
      </c>
    </row>
    <row r="1077" spans="1:13" x14ac:dyDescent="0.3">
      <c r="A1077" s="1" t="s">
        <v>1383</v>
      </c>
      <c r="B1077" s="2">
        <v>44678</v>
      </c>
      <c r="C1077" s="1" t="s">
        <v>118</v>
      </c>
      <c r="D1077" s="1" t="s">
        <v>221</v>
      </c>
      <c r="E1077">
        <v>1</v>
      </c>
      <c r="F1077" s="4">
        <v>199.47</v>
      </c>
      <c r="G1077" s="3">
        <v>0.1</v>
      </c>
      <c r="H1077" s="4">
        <v>27.55</v>
      </c>
      <c r="I1077" t="str">
        <f>VLOOKUP(orders__17[[#This Row],[Customer_ID]],customers__2[#All],3,0)</f>
        <v>North</v>
      </c>
      <c r="J1077" t="str">
        <f>VLOOKUP(orders__17[[#This Row],[Customer_ID]],customers__2[#All],4,0)</f>
        <v>Consumer</v>
      </c>
      <c r="K1077" t="str">
        <f>VLOOKUP(orders__17[[#This Row],[Product_ID]],products[#All],3,0)</f>
        <v>Technology</v>
      </c>
      <c r="L1077" s="1" t="str">
        <f>VLOOKUP(orders__17[[#This Row],[Product_ID]],products[#All],4,0)</f>
        <v>Laptop</v>
      </c>
      <c r="M1077" s="1" t="str">
        <f>VLOOKUP(orders__17[[#This Row],[Order_ID]],returns[#All],2,0)</f>
        <v>No</v>
      </c>
    </row>
    <row r="1078" spans="1:13" x14ac:dyDescent="0.3">
      <c r="A1078" s="1" t="s">
        <v>1384</v>
      </c>
      <c r="B1078" s="2">
        <v>45214</v>
      </c>
      <c r="C1078" s="1" t="s">
        <v>697</v>
      </c>
      <c r="D1078" s="1" t="s">
        <v>669</v>
      </c>
      <c r="E1078">
        <v>5</v>
      </c>
      <c r="F1078" s="4">
        <v>1558.38</v>
      </c>
      <c r="G1078" s="3">
        <v>0.3</v>
      </c>
      <c r="H1078" s="4">
        <v>127.05</v>
      </c>
      <c r="I1078" t="str">
        <f>VLOOKUP(orders__17[[#This Row],[Customer_ID]],customers__2[#All],3,0)</f>
        <v>South</v>
      </c>
      <c r="J1078" t="str">
        <f>VLOOKUP(orders__17[[#This Row],[Customer_ID]],customers__2[#All],4,0)</f>
        <v>Corporate</v>
      </c>
      <c r="K1078" t="str">
        <f>VLOOKUP(orders__17[[#This Row],[Product_ID]],products[#All],3,0)</f>
        <v>Office Supplies</v>
      </c>
      <c r="L1078" s="1" t="str">
        <f>VLOOKUP(orders__17[[#This Row],[Product_ID]],products[#All],4,0)</f>
        <v>Pen</v>
      </c>
      <c r="M1078" s="1" t="str">
        <f>VLOOKUP(orders__17[[#This Row],[Order_ID]],returns[#All],2,0)</f>
        <v>No</v>
      </c>
    </row>
    <row r="1079" spans="1:13" x14ac:dyDescent="0.3">
      <c r="A1079" s="1" t="s">
        <v>1385</v>
      </c>
      <c r="B1079" s="2">
        <v>45160</v>
      </c>
      <c r="C1079" s="1" t="s">
        <v>482</v>
      </c>
      <c r="D1079" s="1" t="s">
        <v>86</v>
      </c>
      <c r="E1079">
        <v>5</v>
      </c>
      <c r="F1079" s="4">
        <v>891.36</v>
      </c>
      <c r="G1079" s="3">
        <v>0.1</v>
      </c>
      <c r="H1079" s="4">
        <v>73.510000000000005</v>
      </c>
      <c r="I1079" t="str">
        <f>VLOOKUP(orders__17[[#This Row],[Customer_ID]],customers__2[#All],3,0)</f>
        <v>North</v>
      </c>
      <c r="J1079" t="str">
        <f>VLOOKUP(orders__17[[#This Row],[Customer_ID]],customers__2[#All],4,0)</f>
        <v>Consumer</v>
      </c>
      <c r="K1079" t="str">
        <f>VLOOKUP(orders__17[[#This Row],[Product_ID]],products[#All],3,0)</f>
        <v>Furniture</v>
      </c>
      <c r="L1079" s="1" t="str">
        <f>VLOOKUP(orders__17[[#This Row],[Product_ID]],products[#All],4,0)</f>
        <v>Table</v>
      </c>
      <c r="M1079" s="1" t="str">
        <f>VLOOKUP(orders__17[[#This Row],[Order_ID]],returns[#All],2,0)</f>
        <v>No</v>
      </c>
    </row>
    <row r="1080" spans="1:13" x14ac:dyDescent="0.3">
      <c r="A1080" s="1" t="s">
        <v>1386</v>
      </c>
      <c r="B1080" s="2">
        <v>45038</v>
      </c>
      <c r="C1080" s="1" t="s">
        <v>194</v>
      </c>
      <c r="D1080" s="1" t="s">
        <v>288</v>
      </c>
      <c r="E1080">
        <v>3</v>
      </c>
      <c r="F1080" s="4">
        <v>1662.14</v>
      </c>
      <c r="G1080" s="3">
        <v>0.3</v>
      </c>
      <c r="H1080" s="4">
        <v>364.09</v>
      </c>
      <c r="I1080" t="str">
        <f>VLOOKUP(orders__17[[#This Row],[Customer_ID]],customers__2[#All],3,0)</f>
        <v>North</v>
      </c>
      <c r="J1080" t="str">
        <f>VLOOKUP(orders__17[[#This Row],[Customer_ID]],customers__2[#All],4,0)</f>
        <v>Home Office</v>
      </c>
      <c r="K1080" t="str">
        <f>VLOOKUP(orders__17[[#This Row],[Product_ID]],products[#All],3,0)</f>
        <v>Furniture</v>
      </c>
      <c r="L1080" s="1" t="str">
        <f>VLOOKUP(orders__17[[#This Row],[Product_ID]],products[#All],4,0)</f>
        <v>Chair</v>
      </c>
      <c r="M1080" s="1" t="str">
        <f>VLOOKUP(orders__17[[#This Row],[Order_ID]],returns[#All],2,0)</f>
        <v>No</v>
      </c>
    </row>
    <row r="1081" spans="1:13" x14ac:dyDescent="0.3">
      <c r="A1081" s="1" t="s">
        <v>1387</v>
      </c>
      <c r="B1081" s="2">
        <v>44972</v>
      </c>
      <c r="C1081" s="1" t="s">
        <v>172</v>
      </c>
      <c r="D1081" s="1" t="s">
        <v>40</v>
      </c>
      <c r="E1081">
        <v>2</v>
      </c>
      <c r="F1081" s="4">
        <v>1715.66</v>
      </c>
      <c r="G1081" s="3">
        <v>0.1</v>
      </c>
      <c r="H1081" s="4">
        <v>454.05</v>
      </c>
      <c r="I1081" t="str">
        <f>VLOOKUP(orders__17[[#This Row],[Customer_ID]],customers__2[#All],3,0)</f>
        <v>East</v>
      </c>
      <c r="J1081" t="str">
        <f>VLOOKUP(orders__17[[#This Row],[Customer_ID]],customers__2[#All],4,0)</f>
        <v>Home Office</v>
      </c>
      <c r="K1081" t="str">
        <f>VLOOKUP(orders__17[[#This Row],[Product_ID]],products[#All],3,0)</f>
        <v>Office Supplies</v>
      </c>
      <c r="L1081" s="1" t="str">
        <f>VLOOKUP(orders__17[[#This Row],[Product_ID]],products[#All],4,0)</f>
        <v>Storage</v>
      </c>
      <c r="M1081" s="1" t="str">
        <f>VLOOKUP(orders__17[[#This Row],[Order_ID]],returns[#All],2,0)</f>
        <v>No</v>
      </c>
    </row>
    <row r="1082" spans="1:13" x14ac:dyDescent="0.3">
      <c r="A1082" s="1" t="s">
        <v>1388</v>
      </c>
      <c r="B1082" s="2">
        <v>44675</v>
      </c>
      <c r="C1082" s="1" t="s">
        <v>344</v>
      </c>
      <c r="D1082" s="1" t="s">
        <v>13</v>
      </c>
      <c r="E1082">
        <v>1</v>
      </c>
      <c r="F1082" s="4">
        <v>502.79</v>
      </c>
      <c r="G1082" s="3">
        <v>0.3</v>
      </c>
      <c r="H1082" s="4">
        <v>146.15</v>
      </c>
      <c r="I1082" t="str">
        <f>VLOOKUP(orders__17[[#This Row],[Customer_ID]],customers__2[#All],3,0)</f>
        <v>North</v>
      </c>
      <c r="J1082" t="str">
        <f>VLOOKUP(orders__17[[#This Row],[Customer_ID]],customers__2[#All],4,0)</f>
        <v>Home Office</v>
      </c>
      <c r="K1082" t="str">
        <f>VLOOKUP(orders__17[[#This Row],[Product_ID]],products[#All],3,0)</f>
        <v>Furniture</v>
      </c>
      <c r="L1082" s="1" t="str">
        <f>VLOOKUP(orders__17[[#This Row],[Product_ID]],products[#All],4,0)</f>
        <v>Desk</v>
      </c>
      <c r="M1082" s="1" t="str">
        <f>VLOOKUP(orders__17[[#This Row],[Order_ID]],returns[#All],2,0)</f>
        <v>No</v>
      </c>
    </row>
    <row r="1083" spans="1:13" x14ac:dyDescent="0.3">
      <c r="A1083" s="1" t="s">
        <v>1389</v>
      </c>
      <c r="B1083" s="2">
        <v>45107</v>
      </c>
      <c r="C1083" s="1" t="s">
        <v>412</v>
      </c>
      <c r="D1083" s="1" t="s">
        <v>301</v>
      </c>
      <c r="E1083">
        <v>3</v>
      </c>
      <c r="F1083" s="4">
        <v>1348.97</v>
      </c>
      <c r="G1083" s="3">
        <v>0.1</v>
      </c>
      <c r="H1083" s="4">
        <v>279.35000000000002</v>
      </c>
      <c r="I1083" t="str">
        <f>VLOOKUP(orders__17[[#This Row],[Customer_ID]],customers__2[#All],3,0)</f>
        <v>North</v>
      </c>
      <c r="J1083" t="str">
        <f>VLOOKUP(orders__17[[#This Row],[Customer_ID]],customers__2[#All],4,0)</f>
        <v>Consumer</v>
      </c>
      <c r="K1083" t="str">
        <f>VLOOKUP(orders__17[[#This Row],[Product_ID]],products[#All],3,0)</f>
        <v>Furniture</v>
      </c>
      <c r="L1083" s="1" t="str">
        <f>VLOOKUP(orders__17[[#This Row],[Product_ID]],products[#All],4,0)</f>
        <v>Table</v>
      </c>
      <c r="M1083" s="1" t="str">
        <f>VLOOKUP(orders__17[[#This Row],[Order_ID]],returns[#All],2,0)</f>
        <v>No</v>
      </c>
    </row>
    <row r="1084" spans="1:13" x14ac:dyDescent="0.3">
      <c r="A1084" s="1" t="s">
        <v>1390</v>
      </c>
      <c r="B1084" s="2">
        <v>45018</v>
      </c>
      <c r="C1084" s="1" t="s">
        <v>106</v>
      </c>
      <c r="D1084" s="1" t="s">
        <v>139</v>
      </c>
      <c r="E1084">
        <v>2</v>
      </c>
      <c r="F1084" s="4">
        <v>997.34</v>
      </c>
      <c r="G1084" s="3">
        <v>0.3</v>
      </c>
      <c r="H1084" s="4">
        <v>95.77</v>
      </c>
      <c r="I1084" t="str">
        <f>VLOOKUP(orders__17[[#This Row],[Customer_ID]],customers__2[#All],3,0)</f>
        <v>South</v>
      </c>
      <c r="J1084" t="str">
        <f>VLOOKUP(orders__17[[#This Row],[Customer_ID]],customers__2[#All],4,0)</f>
        <v>Consumer</v>
      </c>
      <c r="K1084" t="str">
        <f>VLOOKUP(orders__17[[#This Row],[Product_ID]],products[#All],3,0)</f>
        <v>Furniture</v>
      </c>
      <c r="L1084" s="1" t="str">
        <f>VLOOKUP(orders__17[[#This Row],[Product_ID]],products[#All],4,0)</f>
        <v>Table</v>
      </c>
      <c r="M1084" s="1" t="str">
        <f>VLOOKUP(orders__17[[#This Row],[Order_ID]],returns[#All],2,0)</f>
        <v>Yes</v>
      </c>
    </row>
    <row r="1085" spans="1:13" x14ac:dyDescent="0.3">
      <c r="A1085" s="1" t="s">
        <v>1391</v>
      </c>
      <c r="B1085" s="2">
        <v>45064</v>
      </c>
      <c r="C1085" s="1" t="s">
        <v>30</v>
      </c>
      <c r="D1085" s="1" t="s">
        <v>116</v>
      </c>
      <c r="E1085">
        <v>2</v>
      </c>
      <c r="F1085" s="4">
        <v>1772.3</v>
      </c>
      <c r="G1085" s="3">
        <v>0</v>
      </c>
      <c r="H1085" s="4">
        <v>135.43</v>
      </c>
      <c r="I1085" t="str">
        <f>VLOOKUP(orders__17[[#This Row],[Customer_ID]],customers__2[#All],3,0)</f>
        <v>South</v>
      </c>
      <c r="J1085" t="str">
        <f>VLOOKUP(orders__17[[#This Row],[Customer_ID]],customers__2[#All],4,0)</f>
        <v>Home Office</v>
      </c>
      <c r="K1085" t="str">
        <f>VLOOKUP(orders__17[[#This Row],[Product_ID]],products[#All],3,0)</f>
        <v>Furniture</v>
      </c>
      <c r="L1085" s="1" t="str">
        <f>VLOOKUP(orders__17[[#This Row],[Product_ID]],products[#All],4,0)</f>
        <v>Shelf</v>
      </c>
      <c r="M1085" s="1" t="str">
        <f>VLOOKUP(orders__17[[#This Row],[Order_ID]],returns[#All],2,0)</f>
        <v>No</v>
      </c>
    </row>
    <row r="1086" spans="1:13" x14ac:dyDescent="0.3">
      <c r="A1086" s="1" t="s">
        <v>1392</v>
      </c>
      <c r="B1086" s="2">
        <v>44892</v>
      </c>
      <c r="C1086" s="1" t="s">
        <v>174</v>
      </c>
      <c r="D1086" s="1" t="s">
        <v>301</v>
      </c>
      <c r="E1086">
        <v>4</v>
      </c>
      <c r="F1086" s="4">
        <v>509.91</v>
      </c>
      <c r="G1086" s="3">
        <v>0.3</v>
      </c>
      <c r="H1086" s="4">
        <v>129.12</v>
      </c>
      <c r="I1086" t="str">
        <f>VLOOKUP(orders__17[[#This Row],[Customer_ID]],customers__2[#All],3,0)</f>
        <v>East</v>
      </c>
      <c r="J1086" t="str">
        <f>VLOOKUP(orders__17[[#This Row],[Customer_ID]],customers__2[#All],4,0)</f>
        <v>Consumer</v>
      </c>
      <c r="K1086" t="str">
        <f>VLOOKUP(orders__17[[#This Row],[Product_ID]],products[#All],3,0)</f>
        <v>Furniture</v>
      </c>
      <c r="L1086" s="1" t="str">
        <f>VLOOKUP(orders__17[[#This Row],[Product_ID]],products[#All],4,0)</f>
        <v>Table</v>
      </c>
      <c r="M1086" s="1" t="str">
        <f>VLOOKUP(orders__17[[#This Row],[Order_ID]],returns[#All],2,0)</f>
        <v>No</v>
      </c>
    </row>
    <row r="1087" spans="1:13" x14ac:dyDescent="0.3">
      <c r="A1087" s="1" t="s">
        <v>1393</v>
      </c>
      <c r="B1087" s="2">
        <v>44898</v>
      </c>
      <c r="C1087" s="1" t="s">
        <v>388</v>
      </c>
      <c r="D1087" s="1" t="s">
        <v>10</v>
      </c>
      <c r="E1087">
        <v>1</v>
      </c>
      <c r="F1087" s="4">
        <v>1387.85</v>
      </c>
      <c r="G1087" s="3">
        <v>0.1</v>
      </c>
      <c r="H1087" s="4">
        <v>270.2</v>
      </c>
      <c r="I1087" t="str">
        <f>VLOOKUP(orders__17[[#This Row],[Customer_ID]],customers__2[#All],3,0)</f>
        <v>East</v>
      </c>
      <c r="J1087" t="str">
        <f>VLOOKUP(orders__17[[#This Row],[Customer_ID]],customers__2[#All],4,0)</f>
        <v>Home Office</v>
      </c>
      <c r="K1087" t="str">
        <f>VLOOKUP(orders__17[[#This Row],[Product_ID]],products[#All],3,0)</f>
        <v>Technology</v>
      </c>
      <c r="L1087" s="1" t="str">
        <f>VLOOKUP(orders__17[[#This Row],[Product_ID]],products[#All],4,0)</f>
        <v>Tablet</v>
      </c>
      <c r="M1087" s="1" t="str">
        <f>VLOOKUP(orders__17[[#This Row],[Order_ID]],returns[#All],2,0)</f>
        <v>No</v>
      </c>
    </row>
    <row r="1088" spans="1:13" x14ac:dyDescent="0.3">
      <c r="A1088" s="1" t="s">
        <v>1394</v>
      </c>
      <c r="B1088" s="2">
        <v>45054</v>
      </c>
      <c r="C1088" s="1" t="s">
        <v>96</v>
      </c>
      <c r="D1088" s="1" t="s">
        <v>283</v>
      </c>
      <c r="E1088">
        <v>2</v>
      </c>
      <c r="F1088" s="4">
        <v>1254.73</v>
      </c>
      <c r="G1088" s="3">
        <v>0.1</v>
      </c>
      <c r="H1088" s="4">
        <v>256.68</v>
      </c>
      <c r="I1088" t="str">
        <f>VLOOKUP(orders__17[[#This Row],[Customer_ID]],customers__2[#All],3,0)</f>
        <v>West</v>
      </c>
      <c r="J1088" t="str">
        <f>VLOOKUP(orders__17[[#This Row],[Customer_ID]],customers__2[#All],4,0)</f>
        <v>Corporate</v>
      </c>
      <c r="K1088" t="str">
        <f>VLOOKUP(orders__17[[#This Row],[Product_ID]],products[#All],3,0)</f>
        <v>Furniture</v>
      </c>
      <c r="L1088" s="1" t="str">
        <f>VLOOKUP(orders__17[[#This Row],[Product_ID]],products[#All],4,0)</f>
        <v>Chair</v>
      </c>
      <c r="M1088" s="1" t="str">
        <f>VLOOKUP(orders__17[[#This Row],[Order_ID]],returns[#All],2,0)</f>
        <v>No</v>
      </c>
    </row>
    <row r="1089" spans="1:13" x14ac:dyDescent="0.3">
      <c r="A1089" s="1" t="s">
        <v>1395</v>
      </c>
      <c r="B1089" s="2">
        <v>45285</v>
      </c>
      <c r="C1089" s="1" t="s">
        <v>306</v>
      </c>
      <c r="D1089" s="1" t="s">
        <v>170</v>
      </c>
      <c r="E1089">
        <v>3</v>
      </c>
      <c r="F1089" s="4">
        <v>661.07</v>
      </c>
      <c r="G1089" s="3">
        <v>0.2</v>
      </c>
      <c r="H1089" s="4">
        <v>162.19999999999999</v>
      </c>
      <c r="I1089" t="str">
        <f>VLOOKUP(orders__17[[#This Row],[Customer_ID]],customers__2[#All],3,0)</f>
        <v>North</v>
      </c>
      <c r="J1089" t="str">
        <f>VLOOKUP(orders__17[[#This Row],[Customer_ID]],customers__2[#All],4,0)</f>
        <v>Consumer</v>
      </c>
      <c r="K1089" t="str">
        <f>VLOOKUP(orders__17[[#This Row],[Product_ID]],products[#All],3,0)</f>
        <v>Furniture</v>
      </c>
      <c r="L1089" s="1" t="str">
        <f>VLOOKUP(orders__17[[#This Row],[Product_ID]],products[#All],4,0)</f>
        <v>Shelf</v>
      </c>
      <c r="M1089" s="1" t="str">
        <f>VLOOKUP(orders__17[[#This Row],[Order_ID]],returns[#All],2,0)</f>
        <v>No</v>
      </c>
    </row>
    <row r="1090" spans="1:13" x14ac:dyDescent="0.3">
      <c r="A1090" s="1" t="s">
        <v>1396</v>
      </c>
      <c r="B1090" s="2">
        <v>45253</v>
      </c>
      <c r="C1090" s="1" t="s">
        <v>308</v>
      </c>
      <c r="D1090" s="1" t="s">
        <v>89</v>
      </c>
      <c r="E1090">
        <v>4</v>
      </c>
      <c r="F1090" s="4">
        <v>359.54</v>
      </c>
      <c r="G1090" s="3">
        <v>0.3</v>
      </c>
      <c r="H1090" s="4">
        <v>81.19</v>
      </c>
      <c r="I1090" t="str">
        <f>VLOOKUP(orders__17[[#This Row],[Customer_ID]],customers__2[#All],3,0)</f>
        <v>North</v>
      </c>
      <c r="J1090" t="str">
        <f>VLOOKUP(orders__17[[#This Row],[Customer_ID]],customers__2[#All],4,0)</f>
        <v>Home Office</v>
      </c>
      <c r="K1090" t="str">
        <f>VLOOKUP(orders__17[[#This Row],[Product_ID]],products[#All],3,0)</f>
        <v>Technology</v>
      </c>
      <c r="L1090" s="1" t="str">
        <f>VLOOKUP(orders__17[[#This Row],[Product_ID]],products[#All],4,0)</f>
        <v>Phone</v>
      </c>
      <c r="M1090" s="1" t="str">
        <f>VLOOKUP(orders__17[[#This Row],[Order_ID]],returns[#All],2,0)</f>
        <v>No</v>
      </c>
    </row>
    <row r="1091" spans="1:13" x14ac:dyDescent="0.3">
      <c r="A1091" s="1" t="s">
        <v>1397</v>
      </c>
      <c r="B1091" s="2">
        <v>45132</v>
      </c>
      <c r="C1091" s="1" t="s">
        <v>321</v>
      </c>
      <c r="D1091" s="1" t="s">
        <v>603</v>
      </c>
      <c r="E1091">
        <v>1</v>
      </c>
      <c r="F1091" s="4">
        <v>1338.12</v>
      </c>
      <c r="G1091" s="3">
        <v>0</v>
      </c>
      <c r="H1091" s="4">
        <v>346.06</v>
      </c>
      <c r="I1091" t="str">
        <f>VLOOKUP(orders__17[[#This Row],[Customer_ID]],customers__2[#All],3,0)</f>
        <v>South</v>
      </c>
      <c r="J1091" t="str">
        <f>VLOOKUP(orders__17[[#This Row],[Customer_ID]],customers__2[#All],4,0)</f>
        <v>Corporate</v>
      </c>
      <c r="K1091" t="str">
        <f>VLOOKUP(orders__17[[#This Row],[Product_ID]],products[#All],3,0)</f>
        <v>Technology</v>
      </c>
      <c r="L1091" s="1" t="str">
        <f>VLOOKUP(orders__17[[#This Row],[Product_ID]],products[#All],4,0)</f>
        <v>Accessories</v>
      </c>
      <c r="M1091" s="1" t="str">
        <f>VLOOKUP(orders__17[[#This Row],[Order_ID]],returns[#All],2,0)</f>
        <v>No</v>
      </c>
    </row>
    <row r="1092" spans="1:13" x14ac:dyDescent="0.3">
      <c r="A1092" s="1" t="s">
        <v>1398</v>
      </c>
      <c r="B1092" s="2">
        <v>45035</v>
      </c>
      <c r="C1092" s="1" t="s">
        <v>313</v>
      </c>
      <c r="D1092" s="1" t="s">
        <v>22</v>
      </c>
      <c r="E1092">
        <v>5</v>
      </c>
      <c r="F1092" s="4">
        <v>1503.34</v>
      </c>
      <c r="G1092" s="3">
        <v>0.3</v>
      </c>
      <c r="H1092" s="4">
        <v>96.29</v>
      </c>
      <c r="I1092" t="str">
        <f>VLOOKUP(orders__17[[#This Row],[Customer_ID]],customers__2[#All],3,0)</f>
        <v>West</v>
      </c>
      <c r="J1092" t="str">
        <f>VLOOKUP(orders__17[[#This Row],[Customer_ID]],customers__2[#All],4,0)</f>
        <v>Home Office</v>
      </c>
      <c r="K1092" t="str">
        <f>VLOOKUP(orders__17[[#This Row],[Product_ID]],products[#All],3,0)</f>
        <v>Furniture</v>
      </c>
      <c r="L1092" s="1" t="str">
        <f>VLOOKUP(orders__17[[#This Row],[Product_ID]],products[#All],4,0)</f>
        <v>Chair</v>
      </c>
      <c r="M1092" s="1" t="str">
        <f>VLOOKUP(orders__17[[#This Row],[Order_ID]],returns[#All],2,0)</f>
        <v>No</v>
      </c>
    </row>
    <row r="1093" spans="1:13" x14ac:dyDescent="0.3">
      <c r="A1093" s="1" t="s">
        <v>1399</v>
      </c>
      <c r="B1093" s="2">
        <v>45331</v>
      </c>
      <c r="C1093" s="1" t="s">
        <v>260</v>
      </c>
      <c r="D1093" s="1" t="s">
        <v>54</v>
      </c>
      <c r="E1093">
        <v>3</v>
      </c>
      <c r="F1093" s="4">
        <v>699.69</v>
      </c>
      <c r="G1093" s="3">
        <v>0.3</v>
      </c>
      <c r="H1093" s="4">
        <v>165.74</v>
      </c>
      <c r="I1093" t="str">
        <f>VLOOKUP(orders__17[[#This Row],[Customer_ID]],customers__2[#All],3,0)</f>
        <v>East</v>
      </c>
      <c r="J1093" t="str">
        <f>VLOOKUP(orders__17[[#This Row],[Customer_ID]],customers__2[#All],4,0)</f>
        <v>Consumer</v>
      </c>
      <c r="K1093" t="str">
        <f>VLOOKUP(orders__17[[#This Row],[Product_ID]],products[#All],3,0)</f>
        <v>Office Supplies</v>
      </c>
      <c r="L1093" s="1" t="str">
        <f>VLOOKUP(orders__17[[#This Row],[Product_ID]],products[#All],4,0)</f>
        <v>Binder</v>
      </c>
      <c r="M1093" s="1" t="str">
        <f>VLOOKUP(orders__17[[#This Row],[Order_ID]],returns[#All],2,0)</f>
        <v>No</v>
      </c>
    </row>
    <row r="1094" spans="1:13" x14ac:dyDescent="0.3">
      <c r="A1094" s="1" t="s">
        <v>1400</v>
      </c>
      <c r="B1094" s="2">
        <v>44924</v>
      </c>
      <c r="C1094" s="1" t="s">
        <v>77</v>
      </c>
      <c r="D1094" s="1" t="s">
        <v>143</v>
      </c>
      <c r="E1094">
        <v>2</v>
      </c>
      <c r="F1094" s="4">
        <v>1325.18</v>
      </c>
      <c r="G1094" s="3">
        <v>0</v>
      </c>
      <c r="H1094" s="4">
        <v>348.14</v>
      </c>
      <c r="I1094" t="str">
        <f>VLOOKUP(orders__17[[#This Row],[Customer_ID]],customers__2[#All],3,0)</f>
        <v>West</v>
      </c>
      <c r="J1094" t="str">
        <f>VLOOKUP(orders__17[[#This Row],[Customer_ID]],customers__2[#All],4,0)</f>
        <v>Consumer</v>
      </c>
      <c r="K1094" t="str">
        <f>VLOOKUP(orders__17[[#This Row],[Product_ID]],products[#All],3,0)</f>
        <v>Furniture</v>
      </c>
      <c r="L1094" s="1" t="str">
        <f>VLOOKUP(orders__17[[#This Row],[Product_ID]],products[#All],4,0)</f>
        <v>Shelf</v>
      </c>
      <c r="M1094" s="1" t="str">
        <f>VLOOKUP(orders__17[[#This Row],[Order_ID]],returns[#All],2,0)</f>
        <v>No</v>
      </c>
    </row>
    <row r="1095" spans="1:13" x14ac:dyDescent="0.3">
      <c r="A1095" s="1" t="s">
        <v>1401</v>
      </c>
      <c r="B1095" s="2">
        <v>44731</v>
      </c>
      <c r="C1095" s="1" t="s">
        <v>200</v>
      </c>
      <c r="D1095" s="1" t="s">
        <v>269</v>
      </c>
      <c r="E1095">
        <v>2</v>
      </c>
      <c r="F1095" s="4">
        <v>850.75</v>
      </c>
      <c r="G1095" s="3">
        <v>0.3</v>
      </c>
      <c r="H1095" s="4">
        <v>103.39</v>
      </c>
      <c r="I1095" t="str">
        <f>VLOOKUP(orders__17[[#This Row],[Customer_ID]],customers__2[#All],3,0)</f>
        <v>East</v>
      </c>
      <c r="J1095" t="str">
        <f>VLOOKUP(orders__17[[#This Row],[Customer_ID]],customers__2[#All],4,0)</f>
        <v>Consumer</v>
      </c>
      <c r="K1095" t="str">
        <f>VLOOKUP(orders__17[[#This Row],[Product_ID]],products[#All],3,0)</f>
        <v>Office Supplies</v>
      </c>
      <c r="L1095" s="1" t="str">
        <f>VLOOKUP(orders__17[[#This Row],[Product_ID]],products[#All],4,0)</f>
        <v>Pen</v>
      </c>
      <c r="M1095" s="1" t="str">
        <f>VLOOKUP(orders__17[[#This Row],[Order_ID]],returns[#All],2,0)</f>
        <v>No</v>
      </c>
    </row>
    <row r="1096" spans="1:13" x14ac:dyDescent="0.3">
      <c r="A1096" s="1" t="s">
        <v>1402</v>
      </c>
      <c r="B1096" s="2">
        <v>44840</v>
      </c>
      <c r="C1096" s="1" t="s">
        <v>610</v>
      </c>
      <c r="D1096" s="1" t="s">
        <v>25</v>
      </c>
      <c r="E1096">
        <v>3</v>
      </c>
      <c r="F1096" s="4">
        <v>1455.09</v>
      </c>
      <c r="G1096" s="3">
        <v>0</v>
      </c>
      <c r="H1096" s="4">
        <v>305.73</v>
      </c>
      <c r="I1096" t="str">
        <f>VLOOKUP(orders__17[[#This Row],[Customer_ID]],customers__2[#All],3,0)</f>
        <v>West</v>
      </c>
      <c r="J1096" t="str">
        <f>VLOOKUP(orders__17[[#This Row],[Customer_ID]],customers__2[#All],4,0)</f>
        <v>Home Office</v>
      </c>
      <c r="K1096" t="str">
        <f>VLOOKUP(orders__17[[#This Row],[Product_ID]],products[#All],3,0)</f>
        <v>Office Supplies</v>
      </c>
      <c r="L1096" s="1" t="str">
        <f>VLOOKUP(orders__17[[#This Row],[Product_ID]],products[#All],4,0)</f>
        <v>Paper</v>
      </c>
      <c r="M1096" s="1" t="str">
        <f>VLOOKUP(orders__17[[#This Row],[Order_ID]],returns[#All],2,0)</f>
        <v>No</v>
      </c>
    </row>
    <row r="1097" spans="1:13" x14ac:dyDescent="0.3">
      <c r="A1097" s="1" t="s">
        <v>1403</v>
      </c>
      <c r="B1097" s="2">
        <v>44632</v>
      </c>
      <c r="C1097" s="1" t="s">
        <v>946</v>
      </c>
      <c r="D1097" s="1" t="s">
        <v>48</v>
      </c>
      <c r="E1097">
        <v>2</v>
      </c>
      <c r="F1097" s="4">
        <v>478.51</v>
      </c>
      <c r="G1097" s="3">
        <v>0</v>
      </c>
      <c r="H1097" s="4">
        <v>61.51</v>
      </c>
      <c r="I1097" t="str">
        <f>VLOOKUP(orders__17[[#This Row],[Customer_ID]],customers__2[#All],3,0)</f>
        <v>South</v>
      </c>
      <c r="J1097" t="str">
        <f>VLOOKUP(orders__17[[#This Row],[Customer_ID]],customers__2[#All],4,0)</f>
        <v>Corporate</v>
      </c>
      <c r="K1097" t="str">
        <f>VLOOKUP(orders__17[[#This Row],[Product_ID]],products[#All],3,0)</f>
        <v>Office Supplies</v>
      </c>
      <c r="L1097" s="1" t="str">
        <f>VLOOKUP(orders__17[[#This Row],[Product_ID]],products[#All],4,0)</f>
        <v>Pen</v>
      </c>
      <c r="M1097" s="1" t="str">
        <f>VLOOKUP(orders__17[[#This Row],[Order_ID]],returns[#All],2,0)</f>
        <v>No</v>
      </c>
    </row>
    <row r="1098" spans="1:13" x14ac:dyDescent="0.3">
      <c r="A1098" s="1" t="s">
        <v>1404</v>
      </c>
      <c r="B1098" s="2">
        <v>44957</v>
      </c>
      <c r="C1098" s="1" t="s">
        <v>313</v>
      </c>
      <c r="D1098" s="1" t="s">
        <v>211</v>
      </c>
      <c r="E1098">
        <v>4</v>
      </c>
      <c r="F1098" s="4">
        <v>1791.41</v>
      </c>
      <c r="G1098" s="3">
        <v>0.3</v>
      </c>
      <c r="H1098" s="4">
        <v>518.6</v>
      </c>
      <c r="I1098" t="str">
        <f>VLOOKUP(orders__17[[#This Row],[Customer_ID]],customers__2[#All],3,0)</f>
        <v>West</v>
      </c>
      <c r="J1098" t="str">
        <f>VLOOKUP(orders__17[[#This Row],[Customer_ID]],customers__2[#All],4,0)</f>
        <v>Home Office</v>
      </c>
      <c r="K1098" t="str">
        <f>VLOOKUP(orders__17[[#This Row],[Product_ID]],products[#All],3,0)</f>
        <v>Office Supplies</v>
      </c>
      <c r="L1098" s="1" t="str">
        <f>VLOOKUP(orders__17[[#This Row],[Product_ID]],products[#All],4,0)</f>
        <v>Binder</v>
      </c>
      <c r="M1098" s="1" t="str">
        <f>VLOOKUP(orders__17[[#This Row],[Order_ID]],returns[#All],2,0)</f>
        <v>No</v>
      </c>
    </row>
    <row r="1099" spans="1:13" x14ac:dyDescent="0.3">
      <c r="A1099" s="1" t="s">
        <v>1405</v>
      </c>
      <c r="B1099" s="2">
        <v>44830</v>
      </c>
      <c r="C1099" s="1" t="s">
        <v>482</v>
      </c>
      <c r="D1099" s="1" t="s">
        <v>75</v>
      </c>
      <c r="E1099">
        <v>1</v>
      </c>
      <c r="F1099" s="4">
        <v>646.08000000000004</v>
      </c>
      <c r="G1099" s="3">
        <v>0.3</v>
      </c>
      <c r="H1099" s="4">
        <v>37.700000000000003</v>
      </c>
      <c r="I1099" t="str">
        <f>VLOOKUP(orders__17[[#This Row],[Customer_ID]],customers__2[#All],3,0)</f>
        <v>North</v>
      </c>
      <c r="J1099" t="str">
        <f>VLOOKUP(orders__17[[#This Row],[Customer_ID]],customers__2[#All],4,0)</f>
        <v>Consumer</v>
      </c>
      <c r="K1099" t="str">
        <f>VLOOKUP(orders__17[[#This Row],[Product_ID]],products[#All],3,0)</f>
        <v>Technology</v>
      </c>
      <c r="L1099" s="1" t="str">
        <f>VLOOKUP(orders__17[[#This Row],[Product_ID]],products[#All],4,0)</f>
        <v>Tablet</v>
      </c>
      <c r="M1099" s="1" t="str">
        <f>VLOOKUP(orders__17[[#This Row],[Order_ID]],returns[#All],2,0)</f>
        <v>No</v>
      </c>
    </row>
    <row r="1100" spans="1:13" x14ac:dyDescent="0.3">
      <c r="A1100" s="1" t="s">
        <v>1406</v>
      </c>
      <c r="B1100" s="2">
        <v>45297</v>
      </c>
      <c r="C1100" s="1" t="s">
        <v>547</v>
      </c>
      <c r="D1100" s="1" t="s">
        <v>679</v>
      </c>
      <c r="E1100">
        <v>4</v>
      </c>
      <c r="F1100" s="4">
        <v>798.79</v>
      </c>
      <c r="G1100" s="3">
        <v>0.1</v>
      </c>
      <c r="H1100" s="4">
        <v>155.72</v>
      </c>
      <c r="I1100" t="str">
        <f>VLOOKUP(orders__17[[#This Row],[Customer_ID]],customers__2[#All],3,0)</f>
        <v>West</v>
      </c>
      <c r="J1100" t="str">
        <f>VLOOKUP(orders__17[[#This Row],[Customer_ID]],customers__2[#All],4,0)</f>
        <v>Corporate</v>
      </c>
      <c r="K1100" t="str">
        <f>VLOOKUP(orders__17[[#This Row],[Product_ID]],products[#All],3,0)</f>
        <v>Office Supplies</v>
      </c>
      <c r="L1100" s="1" t="str">
        <f>VLOOKUP(orders__17[[#This Row],[Product_ID]],products[#All],4,0)</f>
        <v>Paper</v>
      </c>
      <c r="M1100" s="1" t="str">
        <f>VLOOKUP(orders__17[[#This Row],[Order_ID]],returns[#All],2,0)</f>
        <v>No</v>
      </c>
    </row>
    <row r="1101" spans="1:13" x14ac:dyDescent="0.3">
      <c r="A1101" s="1" t="s">
        <v>1407</v>
      </c>
      <c r="B1101" s="2">
        <v>44638</v>
      </c>
      <c r="C1101" s="1" t="s">
        <v>273</v>
      </c>
      <c r="D1101" s="1" t="s">
        <v>19</v>
      </c>
      <c r="E1101">
        <v>2</v>
      </c>
      <c r="F1101" s="4">
        <v>210.37</v>
      </c>
      <c r="G1101" s="3">
        <v>0.1</v>
      </c>
      <c r="H1101" s="4">
        <v>19.28</v>
      </c>
      <c r="I1101" t="str">
        <f>VLOOKUP(orders__17[[#This Row],[Customer_ID]],customers__2[#All],3,0)</f>
        <v>North</v>
      </c>
      <c r="J1101" t="str">
        <f>VLOOKUP(orders__17[[#This Row],[Customer_ID]],customers__2[#All],4,0)</f>
        <v>Corporate</v>
      </c>
      <c r="K1101" t="str">
        <f>VLOOKUP(orders__17[[#This Row],[Product_ID]],products[#All],3,0)</f>
        <v>Office Supplies</v>
      </c>
      <c r="L1101" s="1" t="str">
        <f>VLOOKUP(orders__17[[#This Row],[Product_ID]],products[#All],4,0)</f>
        <v>Pen</v>
      </c>
      <c r="M1101" s="1" t="str">
        <f>VLOOKUP(orders__17[[#This Row],[Order_ID]],returns[#All],2,0)</f>
        <v>No</v>
      </c>
    </row>
    <row r="1102" spans="1:13" x14ac:dyDescent="0.3">
      <c r="A1102" s="1" t="s">
        <v>1408</v>
      </c>
      <c r="B1102" s="2">
        <v>45321</v>
      </c>
      <c r="C1102" s="1" t="s">
        <v>58</v>
      </c>
      <c r="D1102" s="1" t="s">
        <v>215</v>
      </c>
      <c r="E1102">
        <v>5</v>
      </c>
      <c r="F1102" s="4">
        <v>311.87</v>
      </c>
      <c r="G1102" s="3">
        <v>0.2</v>
      </c>
      <c r="H1102" s="4">
        <v>71.12</v>
      </c>
      <c r="I1102" t="str">
        <f>VLOOKUP(orders__17[[#This Row],[Customer_ID]],customers__2[#All],3,0)</f>
        <v>West</v>
      </c>
      <c r="J1102" t="str">
        <f>VLOOKUP(orders__17[[#This Row],[Customer_ID]],customers__2[#All],4,0)</f>
        <v>Corporate</v>
      </c>
      <c r="K1102" t="str">
        <f>VLOOKUP(orders__17[[#This Row],[Product_ID]],products[#All],3,0)</f>
        <v>Furniture</v>
      </c>
      <c r="L1102" s="1" t="str">
        <f>VLOOKUP(orders__17[[#This Row],[Product_ID]],products[#All],4,0)</f>
        <v>Table</v>
      </c>
      <c r="M1102" s="1" t="str">
        <f>VLOOKUP(orders__17[[#This Row],[Order_ID]],returns[#All],2,0)</f>
        <v>Yes</v>
      </c>
    </row>
    <row r="1103" spans="1:13" x14ac:dyDescent="0.3">
      <c r="A1103" s="1" t="s">
        <v>1409</v>
      </c>
      <c r="B1103" s="2">
        <v>44675</v>
      </c>
      <c r="C1103" s="1" t="s">
        <v>80</v>
      </c>
      <c r="D1103" s="1" t="s">
        <v>16</v>
      </c>
      <c r="E1103">
        <v>1</v>
      </c>
      <c r="F1103" s="4">
        <v>1080.1400000000001</v>
      </c>
      <c r="G1103" s="3">
        <v>0.2</v>
      </c>
      <c r="H1103" s="4">
        <v>101.5</v>
      </c>
      <c r="I1103" t="str">
        <f>VLOOKUP(orders__17[[#This Row],[Customer_ID]],customers__2[#All],3,0)</f>
        <v>East</v>
      </c>
      <c r="J1103" t="str">
        <f>VLOOKUP(orders__17[[#This Row],[Customer_ID]],customers__2[#All],4,0)</f>
        <v>Home Office</v>
      </c>
      <c r="K1103" t="str">
        <f>VLOOKUP(orders__17[[#This Row],[Product_ID]],products[#All],3,0)</f>
        <v>Technology</v>
      </c>
      <c r="L1103" s="1" t="str">
        <f>VLOOKUP(orders__17[[#This Row],[Product_ID]],products[#All],4,0)</f>
        <v>Laptop</v>
      </c>
      <c r="M1103" s="1" t="str">
        <f>VLOOKUP(orders__17[[#This Row],[Order_ID]],returns[#All],2,0)</f>
        <v>Yes</v>
      </c>
    </row>
    <row r="1104" spans="1:13" x14ac:dyDescent="0.3">
      <c r="A1104" s="1" t="s">
        <v>1410</v>
      </c>
      <c r="B1104" s="2">
        <v>45355</v>
      </c>
      <c r="C1104" s="1" t="s">
        <v>723</v>
      </c>
      <c r="D1104" s="1" t="s">
        <v>22</v>
      </c>
      <c r="E1104">
        <v>1</v>
      </c>
      <c r="F1104" s="4">
        <v>608.42999999999995</v>
      </c>
      <c r="G1104" s="3">
        <v>0.3</v>
      </c>
      <c r="H1104" s="4">
        <v>66.23</v>
      </c>
      <c r="I1104" t="str">
        <f>VLOOKUP(orders__17[[#This Row],[Customer_ID]],customers__2[#All],3,0)</f>
        <v>North</v>
      </c>
      <c r="J1104" t="str">
        <f>VLOOKUP(orders__17[[#This Row],[Customer_ID]],customers__2[#All],4,0)</f>
        <v>Home Office</v>
      </c>
      <c r="K1104" t="str">
        <f>VLOOKUP(orders__17[[#This Row],[Product_ID]],products[#All],3,0)</f>
        <v>Furniture</v>
      </c>
      <c r="L1104" s="1" t="str">
        <f>VLOOKUP(orders__17[[#This Row],[Product_ID]],products[#All],4,0)</f>
        <v>Chair</v>
      </c>
      <c r="M1104" s="1" t="str">
        <f>VLOOKUP(orders__17[[#This Row],[Order_ID]],returns[#All],2,0)</f>
        <v>No</v>
      </c>
    </row>
    <row r="1105" spans="1:13" x14ac:dyDescent="0.3">
      <c r="A1105" s="1" t="s">
        <v>1411</v>
      </c>
      <c r="B1105" s="2">
        <v>44966</v>
      </c>
      <c r="C1105" s="1" t="s">
        <v>434</v>
      </c>
      <c r="D1105" s="1" t="s">
        <v>256</v>
      </c>
      <c r="E1105">
        <v>3</v>
      </c>
      <c r="F1105" s="4">
        <v>1687.41</v>
      </c>
      <c r="G1105" s="3">
        <v>0</v>
      </c>
      <c r="H1105" s="4">
        <v>292.92</v>
      </c>
      <c r="I1105" t="str">
        <f>VLOOKUP(orders__17[[#This Row],[Customer_ID]],customers__2[#All],3,0)</f>
        <v>North</v>
      </c>
      <c r="J1105" t="str">
        <f>VLOOKUP(orders__17[[#This Row],[Customer_ID]],customers__2[#All],4,0)</f>
        <v>Corporate</v>
      </c>
      <c r="K1105" t="str">
        <f>VLOOKUP(orders__17[[#This Row],[Product_ID]],products[#All],3,0)</f>
        <v>Office Supplies</v>
      </c>
      <c r="L1105" s="1" t="str">
        <f>VLOOKUP(orders__17[[#This Row],[Product_ID]],products[#All],4,0)</f>
        <v>Pen</v>
      </c>
      <c r="M1105" s="1" t="str">
        <f>VLOOKUP(orders__17[[#This Row],[Order_ID]],returns[#All],2,0)</f>
        <v>No</v>
      </c>
    </row>
    <row r="1106" spans="1:13" x14ac:dyDescent="0.3">
      <c r="A1106" s="1" t="s">
        <v>1412</v>
      </c>
      <c r="B1106" s="2">
        <v>44877</v>
      </c>
      <c r="C1106" s="1" t="s">
        <v>336</v>
      </c>
      <c r="D1106" s="1" t="s">
        <v>139</v>
      </c>
      <c r="E1106">
        <v>3</v>
      </c>
      <c r="F1106" s="4">
        <v>127.92</v>
      </c>
      <c r="G1106" s="3">
        <v>0.2</v>
      </c>
      <c r="H1106" s="4">
        <v>35.65</v>
      </c>
      <c r="I1106" t="str">
        <f>VLOOKUP(orders__17[[#This Row],[Customer_ID]],customers__2[#All],3,0)</f>
        <v>South</v>
      </c>
      <c r="J1106" t="str">
        <f>VLOOKUP(orders__17[[#This Row],[Customer_ID]],customers__2[#All],4,0)</f>
        <v>Consumer</v>
      </c>
      <c r="K1106" t="str">
        <f>VLOOKUP(orders__17[[#This Row],[Product_ID]],products[#All],3,0)</f>
        <v>Furniture</v>
      </c>
      <c r="L1106" s="1" t="str">
        <f>VLOOKUP(orders__17[[#This Row],[Product_ID]],products[#All],4,0)</f>
        <v>Table</v>
      </c>
      <c r="M1106" s="1" t="str">
        <f>VLOOKUP(orders__17[[#This Row],[Order_ID]],returns[#All],2,0)</f>
        <v>No</v>
      </c>
    </row>
    <row r="1107" spans="1:13" x14ac:dyDescent="0.3">
      <c r="A1107" s="1" t="s">
        <v>1413</v>
      </c>
      <c r="B1107" s="2">
        <v>44663</v>
      </c>
      <c r="C1107" s="1" t="s">
        <v>66</v>
      </c>
      <c r="D1107" s="1" t="s">
        <v>304</v>
      </c>
      <c r="E1107">
        <v>5</v>
      </c>
      <c r="F1107" s="4">
        <v>820.28</v>
      </c>
      <c r="G1107" s="3">
        <v>0.3</v>
      </c>
      <c r="H1107" s="4">
        <v>84.43</v>
      </c>
      <c r="I1107" t="str">
        <f>VLOOKUP(orders__17[[#This Row],[Customer_ID]],customers__2[#All],3,0)</f>
        <v>East</v>
      </c>
      <c r="J1107" t="str">
        <f>VLOOKUP(orders__17[[#This Row],[Customer_ID]],customers__2[#All],4,0)</f>
        <v>Corporate</v>
      </c>
      <c r="K1107" t="str">
        <f>VLOOKUP(orders__17[[#This Row],[Product_ID]],products[#All],3,0)</f>
        <v>Technology</v>
      </c>
      <c r="L1107" s="1" t="str">
        <f>VLOOKUP(orders__17[[#This Row],[Product_ID]],products[#All],4,0)</f>
        <v>Accessories</v>
      </c>
      <c r="M1107" s="1" t="str">
        <f>VLOOKUP(orders__17[[#This Row],[Order_ID]],returns[#All],2,0)</f>
        <v>No</v>
      </c>
    </row>
    <row r="1108" spans="1:13" x14ac:dyDescent="0.3">
      <c r="A1108" s="1" t="s">
        <v>1414</v>
      </c>
      <c r="B1108" s="2">
        <v>45261</v>
      </c>
      <c r="C1108" s="1" t="s">
        <v>605</v>
      </c>
      <c r="D1108" s="1" t="s">
        <v>119</v>
      </c>
      <c r="E1108">
        <v>1</v>
      </c>
      <c r="F1108" s="4">
        <v>740.96</v>
      </c>
      <c r="G1108" s="3">
        <v>0.2</v>
      </c>
      <c r="H1108" s="4">
        <v>63.77</v>
      </c>
      <c r="I1108" t="str">
        <f>VLOOKUP(orders__17[[#This Row],[Customer_ID]],customers__2[#All],3,0)</f>
        <v>West</v>
      </c>
      <c r="J1108" t="str">
        <f>VLOOKUP(orders__17[[#This Row],[Customer_ID]],customers__2[#All],4,0)</f>
        <v>Corporate</v>
      </c>
      <c r="K1108" t="str">
        <f>VLOOKUP(orders__17[[#This Row],[Product_ID]],products[#All],3,0)</f>
        <v>Technology</v>
      </c>
      <c r="L1108" s="1" t="str">
        <f>VLOOKUP(orders__17[[#This Row],[Product_ID]],products[#All],4,0)</f>
        <v>Tablet</v>
      </c>
      <c r="M1108" s="1" t="str">
        <f>VLOOKUP(orders__17[[#This Row],[Order_ID]],returns[#All],2,0)</f>
        <v>Yes</v>
      </c>
    </row>
    <row r="1109" spans="1:13" x14ac:dyDescent="0.3">
      <c r="A1109" s="1" t="s">
        <v>1415</v>
      </c>
      <c r="B1109" s="2">
        <v>44938</v>
      </c>
      <c r="C1109" s="1" t="s">
        <v>723</v>
      </c>
      <c r="D1109" s="1" t="s">
        <v>502</v>
      </c>
      <c r="E1109">
        <v>5</v>
      </c>
      <c r="F1109" s="4">
        <v>136.72</v>
      </c>
      <c r="G1109" s="3">
        <v>0</v>
      </c>
      <c r="H1109" s="4">
        <v>32.78</v>
      </c>
      <c r="I1109" t="str">
        <f>VLOOKUP(orders__17[[#This Row],[Customer_ID]],customers__2[#All],3,0)</f>
        <v>North</v>
      </c>
      <c r="J1109" t="str">
        <f>VLOOKUP(orders__17[[#This Row],[Customer_ID]],customers__2[#All],4,0)</f>
        <v>Home Office</v>
      </c>
      <c r="K1109" t="str">
        <f>VLOOKUP(orders__17[[#This Row],[Product_ID]],products[#All],3,0)</f>
        <v>Furniture</v>
      </c>
      <c r="L1109" s="1" t="str">
        <f>VLOOKUP(orders__17[[#This Row],[Product_ID]],products[#All],4,0)</f>
        <v>Shelf</v>
      </c>
      <c r="M1109" s="1" t="str">
        <f>VLOOKUP(orders__17[[#This Row],[Order_ID]],returns[#All],2,0)</f>
        <v>No</v>
      </c>
    </row>
    <row r="1110" spans="1:13" x14ac:dyDescent="0.3">
      <c r="A1110" s="1" t="s">
        <v>1416</v>
      </c>
      <c r="B1110" s="2">
        <v>44643</v>
      </c>
      <c r="C1110" s="1" t="s">
        <v>150</v>
      </c>
      <c r="D1110" s="1" t="s">
        <v>116</v>
      </c>
      <c r="E1110">
        <v>3</v>
      </c>
      <c r="F1110" s="4">
        <v>336.3</v>
      </c>
      <c r="G1110" s="3">
        <v>0.3</v>
      </c>
      <c r="H1110" s="4">
        <v>58.9</v>
      </c>
      <c r="I1110" t="str">
        <f>VLOOKUP(orders__17[[#This Row],[Customer_ID]],customers__2[#All],3,0)</f>
        <v>West</v>
      </c>
      <c r="J1110" t="str">
        <f>VLOOKUP(orders__17[[#This Row],[Customer_ID]],customers__2[#All],4,0)</f>
        <v>Consumer</v>
      </c>
      <c r="K1110" t="str">
        <f>VLOOKUP(orders__17[[#This Row],[Product_ID]],products[#All],3,0)</f>
        <v>Furniture</v>
      </c>
      <c r="L1110" s="1" t="str">
        <f>VLOOKUP(orders__17[[#This Row],[Product_ID]],products[#All],4,0)</f>
        <v>Shelf</v>
      </c>
      <c r="M1110" s="1" t="str">
        <f>VLOOKUP(orders__17[[#This Row],[Order_ID]],returns[#All],2,0)</f>
        <v>No</v>
      </c>
    </row>
    <row r="1111" spans="1:13" x14ac:dyDescent="0.3">
      <c r="A1111" s="1" t="s">
        <v>1417</v>
      </c>
      <c r="B1111" s="2">
        <v>45041</v>
      </c>
      <c r="C1111" s="1" t="s">
        <v>569</v>
      </c>
      <c r="D1111" s="1" t="s">
        <v>100</v>
      </c>
      <c r="E1111">
        <v>3</v>
      </c>
      <c r="F1111" s="4">
        <v>885.92</v>
      </c>
      <c r="G1111" s="3">
        <v>0</v>
      </c>
      <c r="H1111" s="4">
        <v>246.24</v>
      </c>
      <c r="I1111" t="str">
        <f>VLOOKUP(orders__17[[#This Row],[Customer_ID]],customers__2[#All],3,0)</f>
        <v>West</v>
      </c>
      <c r="J1111" t="str">
        <f>VLOOKUP(orders__17[[#This Row],[Customer_ID]],customers__2[#All],4,0)</f>
        <v>Consumer</v>
      </c>
      <c r="K1111" t="str">
        <f>VLOOKUP(orders__17[[#This Row],[Product_ID]],products[#All],3,0)</f>
        <v>Technology</v>
      </c>
      <c r="L1111" s="1" t="str">
        <f>VLOOKUP(orders__17[[#This Row],[Product_ID]],products[#All],4,0)</f>
        <v>Laptop</v>
      </c>
      <c r="M1111" s="1" t="str">
        <f>VLOOKUP(orders__17[[#This Row],[Order_ID]],returns[#All],2,0)</f>
        <v>No</v>
      </c>
    </row>
    <row r="1112" spans="1:13" x14ac:dyDescent="0.3">
      <c r="A1112" s="1" t="s">
        <v>1418</v>
      </c>
      <c r="B1112" s="2">
        <v>45202</v>
      </c>
      <c r="C1112" s="1" t="s">
        <v>319</v>
      </c>
      <c r="D1112" s="1" t="s">
        <v>83</v>
      </c>
      <c r="E1112">
        <v>1</v>
      </c>
      <c r="F1112" s="4">
        <v>1036.44</v>
      </c>
      <c r="G1112" s="3">
        <v>0.3</v>
      </c>
      <c r="H1112" s="4">
        <v>89.81</v>
      </c>
      <c r="I1112" t="str">
        <f>VLOOKUP(orders__17[[#This Row],[Customer_ID]],customers__2[#All],3,0)</f>
        <v>East</v>
      </c>
      <c r="J1112" t="str">
        <f>VLOOKUP(orders__17[[#This Row],[Customer_ID]],customers__2[#All],4,0)</f>
        <v>Consumer</v>
      </c>
      <c r="K1112" t="str">
        <f>VLOOKUP(orders__17[[#This Row],[Product_ID]],products[#All],3,0)</f>
        <v>Furniture</v>
      </c>
      <c r="L1112" s="1" t="str">
        <f>VLOOKUP(orders__17[[#This Row],[Product_ID]],products[#All],4,0)</f>
        <v>Table</v>
      </c>
      <c r="M1112" s="1" t="str">
        <f>VLOOKUP(orders__17[[#This Row],[Order_ID]],returns[#All],2,0)</f>
        <v>No</v>
      </c>
    </row>
    <row r="1113" spans="1:13" x14ac:dyDescent="0.3">
      <c r="A1113" s="1" t="s">
        <v>1419</v>
      </c>
      <c r="B1113" s="2">
        <v>45296</v>
      </c>
      <c r="C1113" s="1" t="s">
        <v>1056</v>
      </c>
      <c r="D1113" s="1" t="s">
        <v>122</v>
      </c>
      <c r="E1113">
        <v>4</v>
      </c>
      <c r="F1113" s="4">
        <v>868.15</v>
      </c>
      <c r="G1113" s="3">
        <v>0.2</v>
      </c>
      <c r="H1113" s="4">
        <v>183.6</v>
      </c>
      <c r="I1113" t="str">
        <f>VLOOKUP(orders__17[[#This Row],[Customer_ID]],customers__2[#All],3,0)</f>
        <v>North</v>
      </c>
      <c r="J1113" t="str">
        <f>VLOOKUP(orders__17[[#This Row],[Customer_ID]],customers__2[#All],4,0)</f>
        <v>Corporate</v>
      </c>
      <c r="K1113" t="str">
        <f>VLOOKUP(orders__17[[#This Row],[Product_ID]],products[#All],3,0)</f>
        <v>Office Supplies</v>
      </c>
      <c r="L1113" s="1" t="str">
        <f>VLOOKUP(orders__17[[#This Row],[Product_ID]],products[#All],4,0)</f>
        <v>Storage</v>
      </c>
      <c r="M1113" s="1" t="str">
        <f>VLOOKUP(orders__17[[#This Row],[Order_ID]],returns[#All],2,0)</f>
        <v>No</v>
      </c>
    </row>
    <row r="1114" spans="1:13" x14ac:dyDescent="0.3">
      <c r="A1114" s="1" t="s">
        <v>1420</v>
      </c>
      <c r="B1114" s="2">
        <v>45031</v>
      </c>
      <c r="C1114" s="1" t="s">
        <v>685</v>
      </c>
      <c r="D1114" s="1" t="s">
        <v>364</v>
      </c>
      <c r="E1114">
        <v>2</v>
      </c>
      <c r="F1114" s="4">
        <v>1108.78</v>
      </c>
      <c r="G1114" s="3">
        <v>0.1</v>
      </c>
      <c r="H1114" s="4">
        <v>119.99</v>
      </c>
      <c r="I1114" t="str">
        <f>VLOOKUP(orders__17[[#This Row],[Customer_ID]],customers__2[#All],3,0)</f>
        <v>East</v>
      </c>
      <c r="J1114" t="str">
        <f>VLOOKUP(orders__17[[#This Row],[Customer_ID]],customers__2[#All],4,0)</f>
        <v>Home Office</v>
      </c>
      <c r="K1114" t="str">
        <f>VLOOKUP(orders__17[[#This Row],[Product_ID]],products[#All],3,0)</f>
        <v>Technology</v>
      </c>
      <c r="L1114" s="1" t="str">
        <f>VLOOKUP(orders__17[[#This Row],[Product_ID]],products[#All],4,0)</f>
        <v>Accessories</v>
      </c>
      <c r="M1114" s="1" t="str">
        <f>VLOOKUP(orders__17[[#This Row],[Order_ID]],returns[#All],2,0)</f>
        <v>Yes</v>
      </c>
    </row>
    <row r="1115" spans="1:13" x14ac:dyDescent="0.3">
      <c r="A1115" s="1" t="s">
        <v>1421</v>
      </c>
      <c r="B1115" s="2">
        <v>45392</v>
      </c>
      <c r="C1115" s="1" t="s">
        <v>1143</v>
      </c>
      <c r="D1115" s="1" t="s">
        <v>211</v>
      </c>
      <c r="E1115">
        <v>3</v>
      </c>
      <c r="F1115" s="4">
        <v>1230.75</v>
      </c>
      <c r="G1115" s="3">
        <v>0.2</v>
      </c>
      <c r="H1115" s="4">
        <v>109.77</v>
      </c>
      <c r="I1115" t="str">
        <f>VLOOKUP(orders__17[[#This Row],[Customer_ID]],customers__2[#All],3,0)</f>
        <v>West</v>
      </c>
      <c r="J1115" t="str">
        <f>VLOOKUP(orders__17[[#This Row],[Customer_ID]],customers__2[#All],4,0)</f>
        <v>Corporate</v>
      </c>
      <c r="K1115" t="str">
        <f>VLOOKUP(orders__17[[#This Row],[Product_ID]],products[#All],3,0)</f>
        <v>Office Supplies</v>
      </c>
      <c r="L1115" s="1" t="str">
        <f>VLOOKUP(orders__17[[#This Row],[Product_ID]],products[#All],4,0)</f>
        <v>Binder</v>
      </c>
      <c r="M1115" s="1" t="str">
        <f>VLOOKUP(orders__17[[#This Row],[Order_ID]],returns[#All],2,0)</f>
        <v>No</v>
      </c>
    </row>
    <row r="1116" spans="1:13" x14ac:dyDescent="0.3">
      <c r="A1116" s="1" t="s">
        <v>1422</v>
      </c>
      <c r="B1116" s="2">
        <v>45008</v>
      </c>
      <c r="C1116" s="1" t="s">
        <v>124</v>
      </c>
      <c r="D1116" s="1" t="s">
        <v>215</v>
      </c>
      <c r="E1116">
        <v>3</v>
      </c>
      <c r="F1116" s="4">
        <v>118.86</v>
      </c>
      <c r="G1116" s="3">
        <v>0.2</v>
      </c>
      <c r="H1116" s="4">
        <v>26.25</v>
      </c>
      <c r="I1116" t="str">
        <f>VLOOKUP(orders__17[[#This Row],[Customer_ID]],customers__2[#All],3,0)</f>
        <v>North</v>
      </c>
      <c r="J1116" t="str">
        <f>VLOOKUP(orders__17[[#This Row],[Customer_ID]],customers__2[#All],4,0)</f>
        <v>Consumer</v>
      </c>
      <c r="K1116" t="str">
        <f>VLOOKUP(orders__17[[#This Row],[Product_ID]],products[#All],3,0)</f>
        <v>Furniture</v>
      </c>
      <c r="L1116" s="1" t="str">
        <f>VLOOKUP(orders__17[[#This Row],[Product_ID]],products[#All],4,0)</f>
        <v>Table</v>
      </c>
      <c r="M1116" s="1" t="str">
        <f>VLOOKUP(orders__17[[#This Row],[Order_ID]],returns[#All],2,0)</f>
        <v>No</v>
      </c>
    </row>
    <row r="1117" spans="1:13" x14ac:dyDescent="0.3">
      <c r="A1117" s="1" t="s">
        <v>1423</v>
      </c>
      <c r="B1117" s="2">
        <v>45394</v>
      </c>
      <c r="C1117" s="1" t="s">
        <v>292</v>
      </c>
      <c r="D1117" s="1" t="s">
        <v>67</v>
      </c>
      <c r="E1117">
        <v>4</v>
      </c>
      <c r="F1117" s="4">
        <v>981.78</v>
      </c>
      <c r="G1117" s="3">
        <v>0.1</v>
      </c>
      <c r="H1117" s="4">
        <v>194.81</v>
      </c>
      <c r="I1117" t="str">
        <f>VLOOKUP(orders__17[[#This Row],[Customer_ID]],customers__2[#All],3,0)</f>
        <v>North</v>
      </c>
      <c r="J1117" t="str">
        <f>VLOOKUP(orders__17[[#This Row],[Customer_ID]],customers__2[#All],4,0)</f>
        <v>Consumer</v>
      </c>
      <c r="K1117" t="str">
        <f>VLOOKUP(orders__17[[#This Row],[Product_ID]],products[#All],3,0)</f>
        <v>Furniture</v>
      </c>
      <c r="L1117" s="1" t="str">
        <f>VLOOKUP(orders__17[[#This Row],[Product_ID]],products[#All],4,0)</f>
        <v>Chair</v>
      </c>
      <c r="M1117" s="1" t="str">
        <f>VLOOKUP(orders__17[[#This Row],[Order_ID]],returns[#All],2,0)</f>
        <v>No</v>
      </c>
    </row>
    <row r="1118" spans="1:13" x14ac:dyDescent="0.3">
      <c r="A1118" s="1" t="s">
        <v>1424</v>
      </c>
      <c r="B1118" s="2">
        <v>45312</v>
      </c>
      <c r="C1118" s="1" t="s">
        <v>184</v>
      </c>
      <c r="D1118" s="1" t="s">
        <v>132</v>
      </c>
      <c r="E1118">
        <v>4</v>
      </c>
      <c r="F1118" s="4">
        <v>1930.65</v>
      </c>
      <c r="G1118" s="3">
        <v>0.1</v>
      </c>
      <c r="H1118" s="4">
        <v>460.86</v>
      </c>
      <c r="I1118" t="str">
        <f>VLOOKUP(orders__17[[#This Row],[Customer_ID]],customers__2[#All],3,0)</f>
        <v>East</v>
      </c>
      <c r="J1118" t="str">
        <f>VLOOKUP(orders__17[[#This Row],[Customer_ID]],customers__2[#All],4,0)</f>
        <v>Consumer</v>
      </c>
      <c r="K1118" t="str">
        <f>VLOOKUP(orders__17[[#This Row],[Product_ID]],products[#All],3,0)</f>
        <v>Furniture</v>
      </c>
      <c r="L1118" s="1" t="str">
        <f>VLOOKUP(orders__17[[#This Row],[Product_ID]],products[#All],4,0)</f>
        <v>Shelf</v>
      </c>
      <c r="M1118" s="1" t="str">
        <f>VLOOKUP(orders__17[[#This Row],[Order_ID]],returns[#All],2,0)</f>
        <v>No</v>
      </c>
    </row>
    <row r="1119" spans="1:13" x14ac:dyDescent="0.3">
      <c r="A1119" s="1" t="s">
        <v>1425</v>
      </c>
      <c r="B1119" s="2">
        <v>45212</v>
      </c>
      <c r="C1119" s="1" t="s">
        <v>1181</v>
      </c>
      <c r="D1119" s="1" t="s">
        <v>59</v>
      </c>
      <c r="E1119">
        <v>5</v>
      </c>
      <c r="F1119" s="4">
        <v>1086.1600000000001</v>
      </c>
      <c r="G1119" s="3">
        <v>0.3</v>
      </c>
      <c r="H1119" s="4">
        <v>138.34</v>
      </c>
      <c r="I1119" t="str">
        <f>VLOOKUP(orders__17[[#This Row],[Customer_ID]],customers__2[#All],3,0)</f>
        <v>West</v>
      </c>
      <c r="J1119" t="str">
        <f>VLOOKUP(orders__17[[#This Row],[Customer_ID]],customers__2[#All],4,0)</f>
        <v>Consumer</v>
      </c>
      <c r="K1119" t="str">
        <f>VLOOKUP(orders__17[[#This Row],[Product_ID]],products[#All],3,0)</f>
        <v>Office Supplies</v>
      </c>
      <c r="L1119" s="1" t="str">
        <f>VLOOKUP(orders__17[[#This Row],[Product_ID]],products[#All],4,0)</f>
        <v>Paper</v>
      </c>
      <c r="M1119" s="1" t="str">
        <f>VLOOKUP(orders__17[[#This Row],[Order_ID]],returns[#All],2,0)</f>
        <v>No</v>
      </c>
    </row>
    <row r="1120" spans="1:13" x14ac:dyDescent="0.3">
      <c r="A1120" s="1" t="s">
        <v>1426</v>
      </c>
      <c r="B1120" s="2">
        <v>45353</v>
      </c>
      <c r="C1120" s="1" t="s">
        <v>449</v>
      </c>
      <c r="D1120" s="1" t="s">
        <v>361</v>
      </c>
      <c r="E1120">
        <v>5</v>
      </c>
      <c r="F1120" s="4">
        <v>1387.33</v>
      </c>
      <c r="G1120" s="3">
        <v>0.3</v>
      </c>
      <c r="H1120" s="4">
        <v>224.74</v>
      </c>
      <c r="I1120" t="str">
        <f>VLOOKUP(orders__17[[#This Row],[Customer_ID]],customers__2[#All],3,0)</f>
        <v>North</v>
      </c>
      <c r="J1120" t="str">
        <f>VLOOKUP(orders__17[[#This Row],[Customer_ID]],customers__2[#All],4,0)</f>
        <v>Consumer</v>
      </c>
      <c r="K1120" t="str">
        <f>VLOOKUP(orders__17[[#This Row],[Product_ID]],products[#All],3,0)</f>
        <v>Furniture</v>
      </c>
      <c r="L1120" s="1" t="str">
        <f>VLOOKUP(orders__17[[#This Row],[Product_ID]],products[#All],4,0)</f>
        <v>Shelf</v>
      </c>
      <c r="M1120" s="1" t="str">
        <f>VLOOKUP(orders__17[[#This Row],[Order_ID]],returns[#All],2,0)</f>
        <v>No</v>
      </c>
    </row>
    <row r="1121" spans="1:13" x14ac:dyDescent="0.3">
      <c r="A1121" s="1" t="s">
        <v>1427</v>
      </c>
      <c r="B1121" s="2">
        <v>44717</v>
      </c>
      <c r="C1121" s="1" t="s">
        <v>434</v>
      </c>
      <c r="D1121" s="1" t="s">
        <v>70</v>
      </c>
      <c r="E1121">
        <v>2</v>
      </c>
      <c r="F1121" s="4">
        <v>692.54</v>
      </c>
      <c r="G1121" s="3">
        <v>0</v>
      </c>
      <c r="H1121" s="4">
        <v>104.83</v>
      </c>
      <c r="I1121" t="str">
        <f>VLOOKUP(orders__17[[#This Row],[Customer_ID]],customers__2[#All],3,0)</f>
        <v>North</v>
      </c>
      <c r="J1121" t="str">
        <f>VLOOKUP(orders__17[[#This Row],[Customer_ID]],customers__2[#All],4,0)</f>
        <v>Corporate</v>
      </c>
      <c r="K1121" t="str">
        <f>VLOOKUP(orders__17[[#This Row],[Product_ID]],products[#All],3,0)</f>
        <v>Office Supplies</v>
      </c>
      <c r="L1121" s="1" t="str">
        <f>VLOOKUP(orders__17[[#This Row],[Product_ID]],products[#All],4,0)</f>
        <v>Paper</v>
      </c>
      <c r="M1121" s="1" t="str">
        <f>VLOOKUP(orders__17[[#This Row],[Order_ID]],returns[#All],2,0)</f>
        <v>No</v>
      </c>
    </row>
    <row r="1122" spans="1:13" x14ac:dyDescent="0.3">
      <c r="A1122" s="1" t="s">
        <v>1428</v>
      </c>
      <c r="B1122" s="2">
        <v>44633</v>
      </c>
      <c r="C1122" s="1" t="s">
        <v>313</v>
      </c>
      <c r="D1122" s="1" t="s">
        <v>218</v>
      </c>
      <c r="E1122">
        <v>2</v>
      </c>
      <c r="F1122" s="4">
        <v>1570.58</v>
      </c>
      <c r="G1122" s="3">
        <v>0</v>
      </c>
      <c r="H1122" s="4">
        <v>464.93</v>
      </c>
      <c r="I1122" t="str">
        <f>VLOOKUP(orders__17[[#This Row],[Customer_ID]],customers__2[#All],3,0)</f>
        <v>West</v>
      </c>
      <c r="J1122" t="str">
        <f>VLOOKUP(orders__17[[#This Row],[Customer_ID]],customers__2[#All],4,0)</f>
        <v>Home Office</v>
      </c>
      <c r="K1122" t="str">
        <f>VLOOKUP(orders__17[[#This Row],[Product_ID]],products[#All],3,0)</f>
        <v>Office Supplies</v>
      </c>
      <c r="L1122" s="1" t="str">
        <f>VLOOKUP(orders__17[[#This Row],[Product_ID]],products[#All],4,0)</f>
        <v>Storage</v>
      </c>
      <c r="M1122" s="1" t="str">
        <f>VLOOKUP(orders__17[[#This Row],[Order_ID]],returns[#All],2,0)</f>
        <v>No</v>
      </c>
    </row>
    <row r="1123" spans="1:13" x14ac:dyDescent="0.3">
      <c r="A1123" s="1" t="s">
        <v>1429</v>
      </c>
      <c r="B1123" s="2">
        <v>45202</v>
      </c>
      <c r="C1123" s="1" t="s">
        <v>85</v>
      </c>
      <c r="D1123" s="1" t="s">
        <v>372</v>
      </c>
      <c r="E1123">
        <v>1</v>
      </c>
      <c r="F1123" s="4">
        <v>1568.55</v>
      </c>
      <c r="G1123" s="3">
        <v>0.2</v>
      </c>
      <c r="H1123" s="4">
        <v>193.03</v>
      </c>
      <c r="I1123" t="str">
        <f>VLOOKUP(orders__17[[#This Row],[Customer_ID]],customers__2[#All],3,0)</f>
        <v>East</v>
      </c>
      <c r="J1123" t="str">
        <f>VLOOKUP(orders__17[[#This Row],[Customer_ID]],customers__2[#All],4,0)</f>
        <v>Corporate</v>
      </c>
      <c r="K1123" t="str">
        <f>VLOOKUP(orders__17[[#This Row],[Product_ID]],products[#All],3,0)</f>
        <v>Furniture</v>
      </c>
      <c r="L1123" s="1" t="str">
        <f>VLOOKUP(orders__17[[#This Row],[Product_ID]],products[#All],4,0)</f>
        <v>Shelf</v>
      </c>
      <c r="M1123" s="1" t="str">
        <f>VLOOKUP(orders__17[[#This Row],[Order_ID]],returns[#All],2,0)</f>
        <v>No</v>
      </c>
    </row>
    <row r="1124" spans="1:13" x14ac:dyDescent="0.3">
      <c r="A1124" s="1" t="s">
        <v>1430</v>
      </c>
      <c r="B1124" s="2">
        <v>44720</v>
      </c>
      <c r="C1124" s="1" t="s">
        <v>657</v>
      </c>
      <c r="D1124" s="1" t="s">
        <v>201</v>
      </c>
      <c r="E1124">
        <v>5</v>
      </c>
      <c r="F1124" s="4">
        <v>1090.46</v>
      </c>
      <c r="G1124" s="3">
        <v>0.1</v>
      </c>
      <c r="H1124" s="4">
        <v>134.88999999999999</v>
      </c>
      <c r="I1124" t="str">
        <f>VLOOKUP(orders__17[[#This Row],[Customer_ID]],customers__2[#All],3,0)</f>
        <v>East</v>
      </c>
      <c r="J1124" t="str">
        <f>VLOOKUP(orders__17[[#This Row],[Customer_ID]],customers__2[#All],4,0)</f>
        <v>Corporate</v>
      </c>
      <c r="K1124" t="str">
        <f>VLOOKUP(orders__17[[#This Row],[Product_ID]],products[#All],3,0)</f>
        <v>Office Supplies</v>
      </c>
      <c r="L1124" s="1" t="str">
        <f>VLOOKUP(orders__17[[#This Row],[Product_ID]],products[#All],4,0)</f>
        <v>Paper</v>
      </c>
      <c r="M1124" s="1" t="str">
        <f>VLOOKUP(orders__17[[#This Row],[Order_ID]],returns[#All],2,0)</f>
        <v>No</v>
      </c>
    </row>
    <row r="1125" spans="1:13" x14ac:dyDescent="0.3">
      <c r="A1125" s="1" t="s">
        <v>1431</v>
      </c>
      <c r="B1125" s="2">
        <v>45282</v>
      </c>
      <c r="C1125" s="1" t="s">
        <v>102</v>
      </c>
      <c r="D1125" s="1" t="s">
        <v>288</v>
      </c>
      <c r="E1125">
        <v>3</v>
      </c>
      <c r="F1125" s="4">
        <v>1954.43</v>
      </c>
      <c r="G1125" s="3">
        <v>0</v>
      </c>
      <c r="H1125" s="4">
        <v>270.95999999999998</v>
      </c>
      <c r="I1125" t="str">
        <f>VLOOKUP(orders__17[[#This Row],[Customer_ID]],customers__2[#All],3,0)</f>
        <v>West</v>
      </c>
      <c r="J1125" t="str">
        <f>VLOOKUP(orders__17[[#This Row],[Customer_ID]],customers__2[#All],4,0)</f>
        <v>Corporate</v>
      </c>
      <c r="K1125" t="str">
        <f>VLOOKUP(orders__17[[#This Row],[Product_ID]],products[#All],3,0)</f>
        <v>Furniture</v>
      </c>
      <c r="L1125" s="1" t="str">
        <f>VLOOKUP(orders__17[[#This Row],[Product_ID]],products[#All],4,0)</f>
        <v>Chair</v>
      </c>
      <c r="M1125" s="1" t="str">
        <f>VLOOKUP(orders__17[[#This Row],[Order_ID]],returns[#All],2,0)</f>
        <v>No</v>
      </c>
    </row>
    <row r="1126" spans="1:13" x14ac:dyDescent="0.3">
      <c r="A1126" s="1" t="s">
        <v>1432</v>
      </c>
      <c r="B1126" s="2">
        <v>44902</v>
      </c>
      <c r="C1126" s="1" t="s">
        <v>336</v>
      </c>
      <c r="D1126" s="1" t="s">
        <v>258</v>
      </c>
      <c r="E1126">
        <v>5</v>
      </c>
      <c r="F1126" s="4">
        <v>338.55</v>
      </c>
      <c r="G1126" s="3">
        <v>0.2</v>
      </c>
      <c r="H1126" s="4">
        <v>64.709999999999994</v>
      </c>
      <c r="I1126" t="str">
        <f>VLOOKUP(orders__17[[#This Row],[Customer_ID]],customers__2[#All],3,0)</f>
        <v>South</v>
      </c>
      <c r="J1126" t="str">
        <f>VLOOKUP(orders__17[[#This Row],[Customer_ID]],customers__2[#All],4,0)</f>
        <v>Consumer</v>
      </c>
      <c r="K1126" t="str">
        <f>VLOOKUP(orders__17[[#This Row],[Product_ID]],products[#All],3,0)</f>
        <v>Technology</v>
      </c>
      <c r="L1126" s="1" t="str">
        <f>VLOOKUP(orders__17[[#This Row],[Product_ID]],products[#All],4,0)</f>
        <v>Phone</v>
      </c>
      <c r="M1126" s="1" t="str">
        <f>VLOOKUP(orders__17[[#This Row],[Order_ID]],returns[#All],2,0)</f>
        <v>No</v>
      </c>
    </row>
    <row r="1127" spans="1:13" x14ac:dyDescent="0.3">
      <c r="A1127" s="1" t="s">
        <v>1433</v>
      </c>
      <c r="B1127" s="2">
        <v>45281</v>
      </c>
      <c r="C1127" s="1" t="s">
        <v>434</v>
      </c>
      <c r="D1127" s="1" t="s">
        <v>54</v>
      </c>
      <c r="E1127">
        <v>3</v>
      </c>
      <c r="F1127" s="4">
        <v>132.19999999999999</v>
      </c>
      <c r="G1127" s="3">
        <v>0.1</v>
      </c>
      <c r="H1127" s="4">
        <v>14.95</v>
      </c>
      <c r="I1127" t="str">
        <f>VLOOKUP(orders__17[[#This Row],[Customer_ID]],customers__2[#All],3,0)</f>
        <v>North</v>
      </c>
      <c r="J1127" t="str">
        <f>VLOOKUP(orders__17[[#This Row],[Customer_ID]],customers__2[#All],4,0)</f>
        <v>Corporate</v>
      </c>
      <c r="K1127" t="str">
        <f>VLOOKUP(orders__17[[#This Row],[Product_ID]],products[#All],3,0)</f>
        <v>Office Supplies</v>
      </c>
      <c r="L1127" s="1" t="str">
        <f>VLOOKUP(orders__17[[#This Row],[Product_ID]],products[#All],4,0)</f>
        <v>Binder</v>
      </c>
      <c r="M1127" s="1" t="str">
        <f>VLOOKUP(orders__17[[#This Row],[Order_ID]],returns[#All],2,0)</f>
        <v>No</v>
      </c>
    </row>
    <row r="1128" spans="1:13" x14ac:dyDescent="0.3">
      <c r="A1128" s="1" t="s">
        <v>1434</v>
      </c>
      <c r="B1128" s="2">
        <v>45111</v>
      </c>
      <c r="C1128" s="1" t="s">
        <v>126</v>
      </c>
      <c r="D1128" s="1" t="s">
        <v>296</v>
      </c>
      <c r="E1128">
        <v>4</v>
      </c>
      <c r="F1128" s="4">
        <v>1563.3</v>
      </c>
      <c r="G1128" s="3">
        <v>0.3</v>
      </c>
      <c r="H1128" s="4">
        <v>435.88</v>
      </c>
      <c r="I1128" t="str">
        <f>VLOOKUP(orders__17[[#This Row],[Customer_ID]],customers__2[#All],3,0)</f>
        <v>North</v>
      </c>
      <c r="J1128" t="str">
        <f>VLOOKUP(orders__17[[#This Row],[Customer_ID]],customers__2[#All],4,0)</f>
        <v>Consumer</v>
      </c>
      <c r="K1128" t="str">
        <f>VLOOKUP(orders__17[[#This Row],[Product_ID]],products[#All],3,0)</f>
        <v>Technology</v>
      </c>
      <c r="L1128" s="1" t="str">
        <f>VLOOKUP(orders__17[[#This Row],[Product_ID]],products[#All],4,0)</f>
        <v>Accessories</v>
      </c>
      <c r="M1128" s="1" t="str">
        <f>VLOOKUP(orders__17[[#This Row],[Order_ID]],returns[#All],2,0)</f>
        <v>Yes</v>
      </c>
    </row>
    <row r="1129" spans="1:13" x14ac:dyDescent="0.3">
      <c r="A1129" s="1" t="s">
        <v>1435</v>
      </c>
      <c r="B1129" s="2">
        <v>45214</v>
      </c>
      <c r="C1129" s="1" t="s">
        <v>138</v>
      </c>
      <c r="D1129" s="1" t="s">
        <v>72</v>
      </c>
      <c r="E1129">
        <v>5</v>
      </c>
      <c r="F1129" s="4">
        <v>1633.6</v>
      </c>
      <c r="G1129" s="3">
        <v>0.2</v>
      </c>
      <c r="H1129" s="4">
        <v>190.19</v>
      </c>
      <c r="I1129" t="str">
        <f>VLOOKUP(orders__17[[#This Row],[Customer_ID]],customers__2[#All],3,0)</f>
        <v>West</v>
      </c>
      <c r="J1129" t="str">
        <f>VLOOKUP(orders__17[[#This Row],[Customer_ID]],customers__2[#All],4,0)</f>
        <v>Consumer</v>
      </c>
      <c r="K1129" t="str">
        <f>VLOOKUP(orders__17[[#This Row],[Product_ID]],products[#All],3,0)</f>
        <v>Furniture</v>
      </c>
      <c r="L1129" s="1" t="str">
        <f>VLOOKUP(orders__17[[#This Row],[Product_ID]],products[#All],4,0)</f>
        <v>Chair</v>
      </c>
      <c r="M1129" s="1" t="str">
        <f>VLOOKUP(orders__17[[#This Row],[Order_ID]],returns[#All],2,0)</f>
        <v>Yes</v>
      </c>
    </row>
    <row r="1130" spans="1:13" x14ac:dyDescent="0.3">
      <c r="A1130" s="1" t="s">
        <v>1436</v>
      </c>
      <c r="B1130" s="2">
        <v>44822</v>
      </c>
      <c r="C1130" s="1" t="s">
        <v>729</v>
      </c>
      <c r="D1130" s="1" t="s">
        <v>585</v>
      </c>
      <c r="E1130">
        <v>4</v>
      </c>
      <c r="F1130" s="4">
        <v>328.39</v>
      </c>
      <c r="G1130" s="3">
        <v>0.3</v>
      </c>
      <c r="H1130" s="4">
        <v>89.96</v>
      </c>
      <c r="I1130" t="str">
        <f>VLOOKUP(orders__17[[#This Row],[Customer_ID]],customers__2[#All],3,0)</f>
        <v>North</v>
      </c>
      <c r="J1130" t="str">
        <f>VLOOKUP(orders__17[[#This Row],[Customer_ID]],customers__2[#All],4,0)</f>
        <v>Home Office</v>
      </c>
      <c r="K1130" t="str">
        <f>VLOOKUP(orders__17[[#This Row],[Product_ID]],products[#All],3,0)</f>
        <v>Office Supplies</v>
      </c>
      <c r="L1130" s="1" t="str">
        <f>VLOOKUP(orders__17[[#This Row],[Product_ID]],products[#All],4,0)</f>
        <v>Storage</v>
      </c>
      <c r="M1130" s="1" t="str">
        <f>VLOOKUP(orders__17[[#This Row],[Order_ID]],returns[#All],2,0)</f>
        <v>No</v>
      </c>
    </row>
    <row r="1131" spans="1:13" x14ac:dyDescent="0.3">
      <c r="A1131" s="1" t="s">
        <v>1437</v>
      </c>
      <c r="B1131" s="2">
        <v>44728</v>
      </c>
      <c r="C1131" s="1" t="s">
        <v>167</v>
      </c>
      <c r="D1131" s="1" t="s">
        <v>70</v>
      </c>
      <c r="E1131">
        <v>2</v>
      </c>
      <c r="F1131" s="4">
        <v>604.61</v>
      </c>
      <c r="G1131" s="3">
        <v>0</v>
      </c>
      <c r="H1131" s="4">
        <v>45.87</v>
      </c>
      <c r="I1131" t="str">
        <f>VLOOKUP(orders__17[[#This Row],[Customer_ID]],customers__2[#All],3,0)</f>
        <v>East</v>
      </c>
      <c r="J1131" t="str">
        <f>VLOOKUP(orders__17[[#This Row],[Customer_ID]],customers__2[#All],4,0)</f>
        <v>Corporate</v>
      </c>
      <c r="K1131" t="str">
        <f>VLOOKUP(orders__17[[#This Row],[Product_ID]],products[#All],3,0)</f>
        <v>Office Supplies</v>
      </c>
      <c r="L1131" s="1" t="str">
        <f>VLOOKUP(orders__17[[#This Row],[Product_ID]],products[#All],4,0)</f>
        <v>Paper</v>
      </c>
      <c r="M1131" s="1" t="str">
        <f>VLOOKUP(orders__17[[#This Row],[Order_ID]],returns[#All],2,0)</f>
        <v>No</v>
      </c>
    </row>
    <row r="1132" spans="1:13" x14ac:dyDescent="0.3">
      <c r="A1132" s="1" t="s">
        <v>1438</v>
      </c>
      <c r="B1132" s="2">
        <v>45018</v>
      </c>
      <c r="C1132" s="1" t="s">
        <v>246</v>
      </c>
      <c r="D1132" s="1" t="s">
        <v>188</v>
      </c>
      <c r="E1132">
        <v>2</v>
      </c>
      <c r="F1132" s="4">
        <v>133.35</v>
      </c>
      <c r="G1132" s="3">
        <v>0</v>
      </c>
      <c r="H1132" s="4">
        <v>28.56</v>
      </c>
      <c r="I1132" t="str">
        <f>VLOOKUP(orders__17[[#This Row],[Customer_ID]],customers__2[#All],3,0)</f>
        <v>West</v>
      </c>
      <c r="J1132" t="str">
        <f>VLOOKUP(orders__17[[#This Row],[Customer_ID]],customers__2[#All],4,0)</f>
        <v>Home Office</v>
      </c>
      <c r="K1132" t="str">
        <f>VLOOKUP(orders__17[[#This Row],[Product_ID]],products[#All],3,0)</f>
        <v>Technology</v>
      </c>
      <c r="L1132" s="1" t="str">
        <f>VLOOKUP(orders__17[[#This Row],[Product_ID]],products[#All],4,0)</f>
        <v>Laptop</v>
      </c>
      <c r="M1132" s="1" t="str">
        <f>VLOOKUP(orders__17[[#This Row],[Order_ID]],returns[#All],2,0)</f>
        <v>No</v>
      </c>
    </row>
    <row r="1133" spans="1:13" x14ac:dyDescent="0.3">
      <c r="A1133" s="1" t="s">
        <v>1439</v>
      </c>
      <c r="B1133" s="2">
        <v>44771</v>
      </c>
      <c r="C1133" s="1" t="s">
        <v>282</v>
      </c>
      <c r="D1133" s="1" t="s">
        <v>296</v>
      </c>
      <c r="E1133">
        <v>1</v>
      </c>
      <c r="F1133" s="4">
        <v>657.29</v>
      </c>
      <c r="G1133" s="3">
        <v>0.1</v>
      </c>
      <c r="H1133" s="4">
        <v>181.9</v>
      </c>
      <c r="I1133" t="str">
        <f>VLOOKUP(orders__17[[#This Row],[Customer_ID]],customers__2[#All],3,0)</f>
        <v>South</v>
      </c>
      <c r="J1133" t="str">
        <f>VLOOKUP(orders__17[[#This Row],[Customer_ID]],customers__2[#All],4,0)</f>
        <v>Home Office</v>
      </c>
      <c r="K1133" t="str">
        <f>VLOOKUP(orders__17[[#This Row],[Product_ID]],products[#All],3,0)</f>
        <v>Technology</v>
      </c>
      <c r="L1133" s="1" t="str">
        <f>VLOOKUP(orders__17[[#This Row],[Product_ID]],products[#All],4,0)</f>
        <v>Accessories</v>
      </c>
      <c r="M1133" s="1" t="str">
        <f>VLOOKUP(orders__17[[#This Row],[Order_ID]],returns[#All],2,0)</f>
        <v>No</v>
      </c>
    </row>
    <row r="1134" spans="1:13" x14ac:dyDescent="0.3">
      <c r="A1134" s="1" t="s">
        <v>1440</v>
      </c>
      <c r="B1134" s="2">
        <v>44824</v>
      </c>
      <c r="C1134" s="1" t="s">
        <v>338</v>
      </c>
      <c r="D1134" s="1" t="s">
        <v>139</v>
      </c>
      <c r="E1134">
        <v>5</v>
      </c>
      <c r="F1134" s="4">
        <v>1568.97</v>
      </c>
      <c r="G1134" s="3">
        <v>0.2</v>
      </c>
      <c r="H1134" s="4">
        <v>144.63999999999999</v>
      </c>
      <c r="I1134" t="str">
        <f>VLOOKUP(orders__17[[#This Row],[Customer_ID]],customers__2[#All],3,0)</f>
        <v>East</v>
      </c>
      <c r="J1134" t="str">
        <f>VLOOKUP(orders__17[[#This Row],[Customer_ID]],customers__2[#All],4,0)</f>
        <v>Corporate</v>
      </c>
      <c r="K1134" t="str">
        <f>VLOOKUP(orders__17[[#This Row],[Product_ID]],products[#All],3,0)</f>
        <v>Furniture</v>
      </c>
      <c r="L1134" s="1" t="str">
        <f>VLOOKUP(orders__17[[#This Row],[Product_ID]],products[#All],4,0)</f>
        <v>Table</v>
      </c>
      <c r="M1134" s="1" t="str">
        <f>VLOOKUP(orders__17[[#This Row],[Order_ID]],returns[#All],2,0)</f>
        <v>Yes</v>
      </c>
    </row>
    <row r="1135" spans="1:13" x14ac:dyDescent="0.3">
      <c r="A1135" s="1" t="s">
        <v>1441</v>
      </c>
      <c r="B1135" s="2">
        <v>44563</v>
      </c>
      <c r="C1135" s="1" t="s">
        <v>380</v>
      </c>
      <c r="D1135" s="1" t="s">
        <v>107</v>
      </c>
      <c r="E1135">
        <v>4</v>
      </c>
      <c r="F1135" s="4">
        <v>1084.1300000000001</v>
      </c>
      <c r="G1135" s="3">
        <v>0.3</v>
      </c>
      <c r="H1135" s="4">
        <v>316.64999999999998</v>
      </c>
      <c r="I1135" t="str">
        <f>VLOOKUP(orders__17[[#This Row],[Customer_ID]],customers__2[#All],3,0)</f>
        <v>South</v>
      </c>
      <c r="J1135" t="str">
        <f>VLOOKUP(orders__17[[#This Row],[Customer_ID]],customers__2[#All],4,0)</f>
        <v>Home Office</v>
      </c>
      <c r="K1135" t="str">
        <f>VLOOKUP(orders__17[[#This Row],[Product_ID]],products[#All],3,0)</f>
        <v>Office Supplies</v>
      </c>
      <c r="L1135" s="1" t="str">
        <f>VLOOKUP(orders__17[[#This Row],[Product_ID]],products[#All],4,0)</f>
        <v>Pen</v>
      </c>
      <c r="M1135" s="1" t="str">
        <f>VLOOKUP(orders__17[[#This Row],[Order_ID]],returns[#All],2,0)</f>
        <v>No</v>
      </c>
    </row>
    <row r="1136" spans="1:13" x14ac:dyDescent="0.3">
      <c r="A1136" s="1" t="s">
        <v>1442</v>
      </c>
      <c r="B1136" s="2">
        <v>44847</v>
      </c>
      <c r="C1136" s="1" t="s">
        <v>360</v>
      </c>
      <c r="D1136" s="1" t="s">
        <v>130</v>
      </c>
      <c r="E1136">
        <v>3</v>
      </c>
      <c r="F1136" s="4">
        <v>761.38</v>
      </c>
      <c r="G1136" s="3">
        <v>0.1</v>
      </c>
      <c r="H1136" s="4">
        <v>124.27</v>
      </c>
      <c r="I1136" t="str">
        <f>VLOOKUP(orders__17[[#This Row],[Customer_ID]],customers__2[#All],3,0)</f>
        <v>South</v>
      </c>
      <c r="J1136" t="str">
        <f>VLOOKUP(orders__17[[#This Row],[Customer_ID]],customers__2[#All],4,0)</f>
        <v>Home Office</v>
      </c>
      <c r="K1136" t="str">
        <f>VLOOKUP(orders__17[[#This Row],[Product_ID]],products[#All],3,0)</f>
        <v>Furniture</v>
      </c>
      <c r="L1136" s="1" t="str">
        <f>VLOOKUP(orders__17[[#This Row],[Product_ID]],products[#All],4,0)</f>
        <v>Desk</v>
      </c>
      <c r="M1136" s="1" t="str">
        <f>VLOOKUP(orders__17[[#This Row],[Order_ID]],returns[#All],2,0)</f>
        <v>No</v>
      </c>
    </row>
    <row r="1137" spans="1:13" x14ac:dyDescent="0.3">
      <c r="A1137" s="1" t="s">
        <v>1443</v>
      </c>
      <c r="B1137" s="2">
        <v>45188</v>
      </c>
      <c r="C1137" s="1" t="s">
        <v>533</v>
      </c>
      <c r="D1137" s="1" t="s">
        <v>757</v>
      </c>
      <c r="E1137">
        <v>2</v>
      </c>
      <c r="F1137" s="4">
        <v>806.3</v>
      </c>
      <c r="G1137" s="3">
        <v>0</v>
      </c>
      <c r="H1137" s="4">
        <v>230.95</v>
      </c>
      <c r="I1137" t="str">
        <f>VLOOKUP(orders__17[[#This Row],[Customer_ID]],customers__2[#All],3,0)</f>
        <v>West</v>
      </c>
      <c r="J1137" t="str">
        <f>VLOOKUP(orders__17[[#This Row],[Customer_ID]],customers__2[#All],4,0)</f>
        <v>Consumer</v>
      </c>
      <c r="K1137" t="str">
        <f>VLOOKUP(orders__17[[#This Row],[Product_ID]],products[#All],3,0)</f>
        <v>Office Supplies</v>
      </c>
      <c r="L1137" s="1" t="str">
        <f>VLOOKUP(orders__17[[#This Row],[Product_ID]],products[#All],4,0)</f>
        <v>Pen</v>
      </c>
      <c r="M1137" s="1" t="str">
        <f>VLOOKUP(orders__17[[#This Row],[Order_ID]],returns[#All],2,0)</f>
        <v>No</v>
      </c>
    </row>
    <row r="1138" spans="1:13" x14ac:dyDescent="0.3">
      <c r="A1138" s="1" t="s">
        <v>1444</v>
      </c>
      <c r="B1138" s="2">
        <v>45447</v>
      </c>
      <c r="C1138" s="1" t="s">
        <v>106</v>
      </c>
      <c r="D1138" s="1" t="s">
        <v>170</v>
      </c>
      <c r="E1138">
        <v>2</v>
      </c>
      <c r="F1138" s="4">
        <v>102.57</v>
      </c>
      <c r="G1138" s="3">
        <v>0</v>
      </c>
      <c r="H1138" s="4">
        <v>22.48</v>
      </c>
      <c r="I1138" t="str">
        <f>VLOOKUP(orders__17[[#This Row],[Customer_ID]],customers__2[#All],3,0)</f>
        <v>South</v>
      </c>
      <c r="J1138" t="str">
        <f>VLOOKUP(orders__17[[#This Row],[Customer_ID]],customers__2[#All],4,0)</f>
        <v>Consumer</v>
      </c>
      <c r="K1138" t="str">
        <f>VLOOKUP(orders__17[[#This Row],[Product_ID]],products[#All],3,0)</f>
        <v>Furniture</v>
      </c>
      <c r="L1138" s="1" t="str">
        <f>VLOOKUP(orders__17[[#This Row],[Product_ID]],products[#All],4,0)</f>
        <v>Shelf</v>
      </c>
      <c r="M1138" s="1" t="str">
        <f>VLOOKUP(orders__17[[#This Row],[Order_ID]],returns[#All],2,0)</f>
        <v>Yes</v>
      </c>
    </row>
    <row r="1139" spans="1:13" x14ac:dyDescent="0.3">
      <c r="A1139" s="1" t="s">
        <v>1445</v>
      </c>
      <c r="B1139" s="2">
        <v>45397</v>
      </c>
      <c r="C1139" s="1" t="s">
        <v>729</v>
      </c>
      <c r="D1139" s="1" t="s">
        <v>669</v>
      </c>
      <c r="E1139">
        <v>3</v>
      </c>
      <c r="F1139" s="4">
        <v>669.62</v>
      </c>
      <c r="G1139" s="3">
        <v>0.2</v>
      </c>
      <c r="H1139" s="4">
        <v>83.97</v>
      </c>
      <c r="I1139" t="str">
        <f>VLOOKUP(orders__17[[#This Row],[Customer_ID]],customers__2[#All],3,0)</f>
        <v>North</v>
      </c>
      <c r="J1139" t="str">
        <f>VLOOKUP(orders__17[[#This Row],[Customer_ID]],customers__2[#All],4,0)</f>
        <v>Home Office</v>
      </c>
      <c r="K1139" t="str">
        <f>VLOOKUP(orders__17[[#This Row],[Product_ID]],products[#All],3,0)</f>
        <v>Office Supplies</v>
      </c>
      <c r="L1139" s="1" t="str">
        <f>VLOOKUP(orders__17[[#This Row],[Product_ID]],products[#All],4,0)</f>
        <v>Pen</v>
      </c>
      <c r="M1139" s="1" t="str">
        <f>VLOOKUP(orders__17[[#This Row],[Order_ID]],returns[#All],2,0)</f>
        <v>No</v>
      </c>
    </row>
    <row r="1140" spans="1:13" x14ac:dyDescent="0.3">
      <c r="A1140" s="1" t="s">
        <v>1446</v>
      </c>
      <c r="B1140" s="2">
        <v>44600</v>
      </c>
      <c r="C1140" s="1" t="s">
        <v>338</v>
      </c>
      <c r="D1140" s="1" t="s">
        <v>72</v>
      </c>
      <c r="E1140">
        <v>4</v>
      </c>
      <c r="F1140" s="4">
        <v>1328.27</v>
      </c>
      <c r="G1140" s="3">
        <v>0.3</v>
      </c>
      <c r="H1140" s="4">
        <v>128.94</v>
      </c>
      <c r="I1140" t="str">
        <f>VLOOKUP(orders__17[[#This Row],[Customer_ID]],customers__2[#All],3,0)</f>
        <v>East</v>
      </c>
      <c r="J1140" t="str">
        <f>VLOOKUP(orders__17[[#This Row],[Customer_ID]],customers__2[#All],4,0)</f>
        <v>Corporate</v>
      </c>
      <c r="K1140" t="str">
        <f>VLOOKUP(orders__17[[#This Row],[Product_ID]],products[#All],3,0)</f>
        <v>Furniture</v>
      </c>
      <c r="L1140" s="1" t="str">
        <f>VLOOKUP(orders__17[[#This Row],[Product_ID]],products[#All],4,0)</f>
        <v>Chair</v>
      </c>
      <c r="M1140" s="1" t="str">
        <f>VLOOKUP(orders__17[[#This Row],[Order_ID]],returns[#All],2,0)</f>
        <v>No</v>
      </c>
    </row>
    <row r="1141" spans="1:13" x14ac:dyDescent="0.3">
      <c r="A1141" s="1" t="s">
        <v>1447</v>
      </c>
      <c r="B1141" s="2">
        <v>44634</v>
      </c>
      <c r="C1141" s="1" t="s">
        <v>233</v>
      </c>
      <c r="D1141" s="1" t="s">
        <v>249</v>
      </c>
      <c r="E1141">
        <v>4</v>
      </c>
      <c r="F1141" s="4">
        <v>1950.97</v>
      </c>
      <c r="G1141" s="3">
        <v>0.2</v>
      </c>
      <c r="H1141" s="4">
        <v>245.69</v>
      </c>
      <c r="I1141" t="str">
        <f>VLOOKUP(orders__17[[#This Row],[Customer_ID]],customers__2[#All],3,0)</f>
        <v>South</v>
      </c>
      <c r="J1141" t="str">
        <f>VLOOKUP(orders__17[[#This Row],[Customer_ID]],customers__2[#All],4,0)</f>
        <v>Home Office</v>
      </c>
      <c r="K1141" t="str">
        <f>VLOOKUP(orders__17[[#This Row],[Product_ID]],products[#All],3,0)</f>
        <v>Office Supplies</v>
      </c>
      <c r="L1141" s="1" t="str">
        <f>VLOOKUP(orders__17[[#This Row],[Product_ID]],products[#All],4,0)</f>
        <v>Paper</v>
      </c>
      <c r="M1141" s="1" t="str">
        <f>VLOOKUP(orders__17[[#This Row],[Order_ID]],returns[#All],2,0)</f>
        <v>No</v>
      </c>
    </row>
    <row r="1142" spans="1:13" x14ac:dyDescent="0.3">
      <c r="A1142" s="1" t="s">
        <v>1448</v>
      </c>
      <c r="B1142" s="2">
        <v>44882</v>
      </c>
      <c r="C1142" s="1" t="s">
        <v>777</v>
      </c>
      <c r="D1142" s="1" t="s">
        <v>314</v>
      </c>
      <c r="E1142">
        <v>5</v>
      </c>
      <c r="F1142" s="4">
        <v>1709.42</v>
      </c>
      <c r="G1142" s="3">
        <v>0.3</v>
      </c>
      <c r="H1142" s="4">
        <v>125.22</v>
      </c>
      <c r="I1142" t="str">
        <f>VLOOKUP(orders__17[[#This Row],[Customer_ID]],customers__2[#All],3,0)</f>
        <v>South</v>
      </c>
      <c r="J1142" t="str">
        <f>VLOOKUP(orders__17[[#This Row],[Customer_ID]],customers__2[#All],4,0)</f>
        <v>Home Office</v>
      </c>
      <c r="K1142" t="str">
        <f>VLOOKUP(orders__17[[#This Row],[Product_ID]],products[#All],3,0)</f>
        <v>Office Supplies</v>
      </c>
      <c r="L1142" s="1" t="str">
        <f>VLOOKUP(orders__17[[#This Row],[Product_ID]],products[#All],4,0)</f>
        <v>Paper</v>
      </c>
      <c r="M1142" s="1" t="str">
        <f>VLOOKUP(orders__17[[#This Row],[Order_ID]],returns[#All],2,0)</f>
        <v>No</v>
      </c>
    </row>
    <row r="1143" spans="1:13" x14ac:dyDescent="0.3">
      <c r="A1143" s="1" t="s">
        <v>1449</v>
      </c>
      <c r="B1143" s="2">
        <v>44840</v>
      </c>
      <c r="C1143" s="1" t="s">
        <v>371</v>
      </c>
      <c r="D1143" s="1" t="s">
        <v>249</v>
      </c>
      <c r="E1143">
        <v>5</v>
      </c>
      <c r="F1143" s="4">
        <v>144.83000000000001</v>
      </c>
      <c r="G1143" s="3">
        <v>0.3</v>
      </c>
      <c r="H1143" s="4">
        <v>12.45</v>
      </c>
      <c r="I1143" t="str">
        <f>VLOOKUP(orders__17[[#This Row],[Customer_ID]],customers__2[#All],3,0)</f>
        <v>East</v>
      </c>
      <c r="J1143" t="str">
        <f>VLOOKUP(orders__17[[#This Row],[Customer_ID]],customers__2[#All],4,0)</f>
        <v>Corporate</v>
      </c>
      <c r="K1143" t="str">
        <f>VLOOKUP(orders__17[[#This Row],[Product_ID]],products[#All],3,0)</f>
        <v>Office Supplies</v>
      </c>
      <c r="L1143" s="1" t="str">
        <f>VLOOKUP(orders__17[[#This Row],[Product_ID]],products[#All],4,0)</f>
        <v>Paper</v>
      </c>
      <c r="M1143" s="1" t="str">
        <f>VLOOKUP(orders__17[[#This Row],[Order_ID]],returns[#All],2,0)</f>
        <v>No</v>
      </c>
    </row>
    <row r="1144" spans="1:13" x14ac:dyDescent="0.3">
      <c r="A1144" s="1" t="s">
        <v>1450</v>
      </c>
      <c r="B1144" s="2">
        <v>45328</v>
      </c>
      <c r="C1144" s="1" t="s">
        <v>145</v>
      </c>
      <c r="D1144" s="1" t="s">
        <v>13</v>
      </c>
      <c r="E1144">
        <v>1</v>
      </c>
      <c r="F1144" s="4">
        <v>1807.27</v>
      </c>
      <c r="G1144" s="3">
        <v>0.2</v>
      </c>
      <c r="H1144" s="4">
        <v>137.65</v>
      </c>
      <c r="I1144" t="str">
        <f>VLOOKUP(orders__17[[#This Row],[Customer_ID]],customers__2[#All],3,0)</f>
        <v>West</v>
      </c>
      <c r="J1144" t="str">
        <f>VLOOKUP(orders__17[[#This Row],[Customer_ID]],customers__2[#All],4,0)</f>
        <v>Corporate</v>
      </c>
      <c r="K1144" t="str">
        <f>VLOOKUP(orders__17[[#This Row],[Product_ID]],products[#All],3,0)</f>
        <v>Furniture</v>
      </c>
      <c r="L1144" s="1" t="str">
        <f>VLOOKUP(orders__17[[#This Row],[Product_ID]],products[#All],4,0)</f>
        <v>Desk</v>
      </c>
      <c r="M1144" s="1" t="str">
        <f>VLOOKUP(orders__17[[#This Row],[Order_ID]],returns[#All],2,0)</f>
        <v>No</v>
      </c>
    </row>
    <row r="1145" spans="1:13" x14ac:dyDescent="0.3">
      <c r="A1145" s="1" t="s">
        <v>1451</v>
      </c>
      <c r="B1145" s="2">
        <v>45021</v>
      </c>
      <c r="C1145" s="1" t="s">
        <v>436</v>
      </c>
      <c r="D1145" s="1" t="s">
        <v>304</v>
      </c>
      <c r="E1145">
        <v>2</v>
      </c>
      <c r="F1145" s="4">
        <v>1588.08</v>
      </c>
      <c r="G1145" s="3">
        <v>0.1</v>
      </c>
      <c r="H1145" s="4">
        <v>247.32</v>
      </c>
      <c r="I1145" t="str">
        <f>VLOOKUP(orders__17[[#This Row],[Customer_ID]],customers__2[#All],3,0)</f>
        <v>East</v>
      </c>
      <c r="J1145" t="str">
        <f>VLOOKUP(orders__17[[#This Row],[Customer_ID]],customers__2[#All],4,0)</f>
        <v>Consumer</v>
      </c>
      <c r="K1145" t="str">
        <f>VLOOKUP(orders__17[[#This Row],[Product_ID]],products[#All],3,0)</f>
        <v>Technology</v>
      </c>
      <c r="L1145" s="1" t="str">
        <f>VLOOKUP(orders__17[[#This Row],[Product_ID]],products[#All],4,0)</f>
        <v>Accessories</v>
      </c>
      <c r="M1145" s="1" t="str">
        <f>VLOOKUP(orders__17[[#This Row],[Order_ID]],returns[#All],2,0)</f>
        <v>No</v>
      </c>
    </row>
    <row r="1146" spans="1:13" x14ac:dyDescent="0.3">
      <c r="A1146" s="1" t="s">
        <v>1452</v>
      </c>
      <c r="B1146" s="2">
        <v>45090</v>
      </c>
      <c r="C1146" s="1" t="s">
        <v>12</v>
      </c>
      <c r="D1146" s="1" t="s">
        <v>70</v>
      </c>
      <c r="E1146">
        <v>5</v>
      </c>
      <c r="F1146" s="4">
        <v>1582.71</v>
      </c>
      <c r="G1146" s="3">
        <v>0.2</v>
      </c>
      <c r="H1146" s="4">
        <v>393.93</v>
      </c>
      <c r="I1146" t="str">
        <f>VLOOKUP(orders__17[[#This Row],[Customer_ID]],customers__2[#All],3,0)</f>
        <v>West</v>
      </c>
      <c r="J1146" t="str">
        <f>VLOOKUP(orders__17[[#This Row],[Customer_ID]],customers__2[#All],4,0)</f>
        <v>Home Office</v>
      </c>
      <c r="K1146" t="str">
        <f>VLOOKUP(orders__17[[#This Row],[Product_ID]],products[#All],3,0)</f>
        <v>Office Supplies</v>
      </c>
      <c r="L1146" s="1" t="str">
        <f>VLOOKUP(orders__17[[#This Row],[Product_ID]],products[#All],4,0)</f>
        <v>Paper</v>
      </c>
      <c r="M1146" s="1" t="str">
        <f>VLOOKUP(orders__17[[#This Row],[Order_ID]],returns[#All],2,0)</f>
        <v>Yes</v>
      </c>
    </row>
    <row r="1147" spans="1:13" x14ac:dyDescent="0.3">
      <c r="A1147" s="1" t="s">
        <v>1453</v>
      </c>
      <c r="B1147" s="2">
        <v>45038</v>
      </c>
      <c r="C1147" s="1" t="s">
        <v>491</v>
      </c>
      <c r="D1147" s="1" t="s">
        <v>75</v>
      </c>
      <c r="E1147">
        <v>4</v>
      </c>
      <c r="F1147" s="4">
        <v>970.19</v>
      </c>
      <c r="G1147" s="3">
        <v>0.2</v>
      </c>
      <c r="H1147" s="4">
        <v>82.8</v>
      </c>
      <c r="I1147" t="str">
        <f>VLOOKUP(orders__17[[#This Row],[Customer_ID]],customers__2[#All],3,0)</f>
        <v>West</v>
      </c>
      <c r="J1147" t="str">
        <f>VLOOKUP(orders__17[[#This Row],[Customer_ID]],customers__2[#All],4,0)</f>
        <v>Corporate</v>
      </c>
      <c r="K1147" t="str">
        <f>VLOOKUP(orders__17[[#This Row],[Product_ID]],products[#All],3,0)</f>
        <v>Technology</v>
      </c>
      <c r="L1147" s="1" t="str">
        <f>VLOOKUP(orders__17[[#This Row],[Product_ID]],products[#All],4,0)</f>
        <v>Tablet</v>
      </c>
      <c r="M1147" s="1" t="str">
        <f>VLOOKUP(orders__17[[#This Row],[Order_ID]],returns[#All],2,0)</f>
        <v>No</v>
      </c>
    </row>
    <row r="1148" spans="1:13" x14ac:dyDescent="0.3">
      <c r="A1148" s="1" t="s">
        <v>1454</v>
      </c>
      <c r="B1148" s="2">
        <v>45141</v>
      </c>
      <c r="C1148" s="1" t="s">
        <v>74</v>
      </c>
      <c r="D1148" s="1" t="s">
        <v>67</v>
      </c>
      <c r="E1148">
        <v>3</v>
      </c>
      <c r="F1148" s="4">
        <v>856.21</v>
      </c>
      <c r="G1148" s="3">
        <v>0</v>
      </c>
      <c r="H1148" s="4">
        <v>70.709999999999994</v>
      </c>
      <c r="I1148" t="str">
        <f>VLOOKUP(orders__17[[#This Row],[Customer_ID]],customers__2[#All],3,0)</f>
        <v>North</v>
      </c>
      <c r="J1148" t="str">
        <f>VLOOKUP(orders__17[[#This Row],[Customer_ID]],customers__2[#All],4,0)</f>
        <v>Consumer</v>
      </c>
      <c r="K1148" t="str">
        <f>VLOOKUP(orders__17[[#This Row],[Product_ID]],products[#All],3,0)</f>
        <v>Furniture</v>
      </c>
      <c r="L1148" s="1" t="str">
        <f>VLOOKUP(orders__17[[#This Row],[Product_ID]],products[#All],4,0)</f>
        <v>Chair</v>
      </c>
      <c r="M1148" s="1" t="str">
        <f>VLOOKUP(orders__17[[#This Row],[Order_ID]],returns[#All],2,0)</f>
        <v>No</v>
      </c>
    </row>
    <row r="1149" spans="1:13" x14ac:dyDescent="0.3">
      <c r="A1149" s="1" t="s">
        <v>1455</v>
      </c>
      <c r="B1149" s="2">
        <v>44564</v>
      </c>
      <c r="C1149" s="1" t="s">
        <v>172</v>
      </c>
      <c r="D1149" s="1" t="s">
        <v>218</v>
      </c>
      <c r="E1149">
        <v>4</v>
      </c>
      <c r="F1149" s="4">
        <v>675.54</v>
      </c>
      <c r="G1149" s="3">
        <v>0</v>
      </c>
      <c r="H1149" s="4">
        <v>142.44</v>
      </c>
      <c r="I1149" t="str">
        <f>VLOOKUP(orders__17[[#This Row],[Customer_ID]],customers__2[#All],3,0)</f>
        <v>East</v>
      </c>
      <c r="J1149" t="str">
        <f>VLOOKUP(orders__17[[#This Row],[Customer_ID]],customers__2[#All],4,0)</f>
        <v>Home Office</v>
      </c>
      <c r="K1149" t="str">
        <f>VLOOKUP(orders__17[[#This Row],[Product_ID]],products[#All],3,0)</f>
        <v>Office Supplies</v>
      </c>
      <c r="L1149" s="1" t="str">
        <f>VLOOKUP(orders__17[[#This Row],[Product_ID]],products[#All],4,0)</f>
        <v>Storage</v>
      </c>
      <c r="M1149" s="1" t="str">
        <f>VLOOKUP(orders__17[[#This Row],[Order_ID]],returns[#All],2,0)</f>
        <v>Yes</v>
      </c>
    </row>
    <row r="1150" spans="1:13" x14ac:dyDescent="0.3">
      <c r="A1150" s="1" t="s">
        <v>1456</v>
      </c>
      <c r="B1150" s="2">
        <v>45334</v>
      </c>
      <c r="C1150" s="1" t="s">
        <v>203</v>
      </c>
      <c r="D1150" s="1" t="s">
        <v>727</v>
      </c>
      <c r="E1150">
        <v>2</v>
      </c>
      <c r="F1150" s="4">
        <v>224.82</v>
      </c>
      <c r="G1150" s="3">
        <v>0.2</v>
      </c>
      <c r="H1150" s="4">
        <v>22.32</v>
      </c>
      <c r="I1150" t="str">
        <f>VLOOKUP(orders__17[[#This Row],[Customer_ID]],customers__2[#All],3,0)</f>
        <v>West</v>
      </c>
      <c r="J1150" t="str">
        <f>VLOOKUP(orders__17[[#This Row],[Customer_ID]],customers__2[#All],4,0)</f>
        <v>Corporate</v>
      </c>
      <c r="K1150" t="str">
        <f>VLOOKUP(orders__17[[#This Row],[Product_ID]],products[#All],3,0)</f>
        <v>Furniture</v>
      </c>
      <c r="L1150" s="1" t="str">
        <f>VLOOKUP(orders__17[[#This Row],[Product_ID]],products[#All],4,0)</f>
        <v>Chair</v>
      </c>
      <c r="M1150" s="1" t="str">
        <f>VLOOKUP(orders__17[[#This Row],[Order_ID]],returns[#All],2,0)</f>
        <v>Yes</v>
      </c>
    </row>
    <row r="1151" spans="1:13" x14ac:dyDescent="0.3">
      <c r="A1151" s="1" t="s">
        <v>1457</v>
      </c>
      <c r="B1151" s="2">
        <v>44585</v>
      </c>
      <c r="C1151" s="1" t="s">
        <v>547</v>
      </c>
      <c r="D1151" s="1" t="s">
        <v>64</v>
      </c>
      <c r="E1151">
        <v>4</v>
      </c>
      <c r="F1151" s="4">
        <v>533.65</v>
      </c>
      <c r="G1151" s="3">
        <v>0.2</v>
      </c>
      <c r="H1151" s="4">
        <v>39.700000000000003</v>
      </c>
      <c r="I1151" t="str">
        <f>VLOOKUP(orders__17[[#This Row],[Customer_ID]],customers__2[#All],3,0)</f>
        <v>West</v>
      </c>
      <c r="J1151" t="str">
        <f>VLOOKUP(orders__17[[#This Row],[Customer_ID]],customers__2[#All],4,0)</f>
        <v>Corporate</v>
      </c>
      <c r="K1151" t="str">
        <f>VLOOKUP(orders__17[[#This Row],[Product_ID]],products[#All],3,0)</f>
        <v>Office Supplies</v>
      </c>
      <c r="L1151" s="1" t="str">
        <f>VLOOKUP(orders__17[[#This Row],[Product_ID]],products[#All],4,0)</f>
        <v>Storage</v>
      </c>
      <c r="M1151" s="1" t="str">
        <f>VLOOKUP(orders__17[[#This Row],[Order_ID]],returns[#All],2,0)</f>
        <v>No</v>
      </c>
    </row>
    <row r="1152" spans="1:13" x14ac:dyDescent="0.3">
      <c r="A1152" s="1" t="s">
        <v>1458</v>
      </c>
      <c r="B1152" s="2">
        <v>44898</v>
      </c>
      <c r="C1152" s="1" t="s">
        <v>420</v>
      </c>
      <c r="D1152" s="1" t="s">
        <v>86</v>
      </c>
      <c r="E1152">
        <v>1</v>
      </c>
      <c r="F1152" s="4">
        <v>568.54999999999995</v>
      </c>
      <c r="G1152" s="3">
        <v>0</v>
      </c>
      <c r="H1152" s="4">
        <v>52.14</v>
      </c>
      <c r="I1152" t="str">
        <f>VLOOKUP(orders__17[[#This Row],[Customer_ID]],customers__2[#All],3,0)</f>
        <v>West</v>
      </c>
      <c r="J1152" t="str">
        <f>VLOOKUP(orders__17[[#This Row],[Customer_ID]],customers__2[#All],4,0)</f>
        <v>Home Office</v>
      </c>
      <c r="K1152" t="str">
        <f>VLOOKUP(orders__17[[#This Row],[Product_ID]],products[#All],3,0)</f>
        <v>Furniture</v>
      </c>
      <c r="L1152" s="1" t="str">
        <f>VLOOKUP(orders__17[[#This Row],[Product_ID]],products[#All],4,0)</f>
        <v>Table</v>
      </c>
      <c r="M1152" s="1" t="str">
        <f>VLOOKUP(orders__17[[#This Row],[Order_ID]],returns[#All],2,0)</f>
        <v>No</v>
      </c>
    </row>
    <row r="1153" spans="1:13" x14ac:dyDescent="0.3">
      <c r="A1153" s="1" t="s">
        <v>1459</v>
      </c>
      <c r="B1153" s="2">
        <v>44949</v>
      </c>
      <c r="C1153" s="1" t="s">
        <v>489</v>
      </c>
      <c r="D1153" s="1" t="s">
        <v>323</v>
      </c>
      <c r="E1153">
        <v>2</v>
      </c>
      <c r="F1153" s="4">
        <v>1019.75</v>
      </c>
      <c r="G1153" s="3">
        <v>0.3</v>
      </c>
      <c r="H1153" s="4">
        <v>286.48</v>
      </c>
      <c r="I1153" t="str">
        <f>VLOOKUP(orders__17[[#This Row],[Customer_ID]],customers__2[#All],3,0)</f>
        <v>North</v>
      </c>
      <c r="J1153" t="str">
        <f>VLOOKUP(orders__17[[#This Row],[Customer_ID]],customers__2[#All],4,0)</f>
        <v>Home Office</v>
      </c>
      <c r="K1153" t="str">
        <f>VLOOKUP(orders__17[[#This Row],[Product_ID]],products[#All],3,0)</f>
        <v>Technology</v>
      </c>
      <c r="L1153" s="1" t="str">
        <f>VLOOKUP(orders__17[[#This Row],[Product_ID]],products[#All],4,0)</f>
        <v>Tablet</v>
      </c>
      <c r="M1153" s="1" t="str">
        <f>VLOOKUP(orders__17[[#This Row],[Order_ID]],returns[#All],2,0)</f>
        <v>No</v>
      </c>
    </row>
    <row r="1154" spans="1:13" x14ac:dyDescent="0.3">
      <c r="A1154" s="1" t="s">
        <v>1460</v>
      </c>
      <c r="B1154" s="2">
        <v>44687</v>
      </c>
      <c r="C1154" s="1" t="s">
        <v>9</v>
      </c>
      <c r="D1154" s="1" t="s">
        <v>97</v>
      </c>
      <c r="E1154">
        <v>3</v>
      </c>
      <c r="F1154" s="4">
        <v>1520.14</v>
      </c>
      <c r="G1154" s="3">
        <v>0.2</v>
      </c>
      <c r="H1154" s="4">
        <v>388.19</v>
      </c>
      <c r="I1154" t="str">
        <f>VLOOKUP(orders__17[[#This Row],[Customer_ID]],customers__2[#All],3,0)</f>
        <v>East</v>
      </c>
      <c r="J1154" t="str">
        <f>VLOOKUP(orders__17[[#This Row],[Customer_ID]],customers__2[#All],4,0)</f>
        <v>Consumer</v>
      </c>
      <c r="K1154" t="str">
        <f>VLOOKUP(orders__17[[#This Row],[Product_ID]],products[#All],3,0)</f>
        <v>Technology</v>
      </c>
      <c r="L1154" s="1" t="str">
        <f>VLOOKUP(orders__17[[#This Row],[Product_ID]],products[#All],4,0)</f>
        <v>Tablet</v>
      </c>
      <c r="M1154" s="1" t="str">
        <f>VLOOKUP(orders__17[[#This Row],[Order_ID]],returns[#All],2,0)</f>
        <v>No</v>
      </c>
    </row>
    <row r="1155" spans="1:13" x14ac:dyDescent="0.3">
      <c r="A1155" s="1" t="s">
        <v>1461</v>
      </c>
      <c r="B1155" s="2">
        <v>45090</v>
      </c>
      <c r="C1155" s="1" t="s">
        <v>505</v>
      </c>
      <c r="D1155" s="1" t="s">
        <v>161</v>
      </c>
      <c r="E1155">
        <v>1</v>
      </c>
      <c r="F1155" s="4">
        <v>1000.24</v>
      </c>
      <c r="G1155" s="3">
        <v>0.1</v>
      </c>
      <c r="H1155" s="4">
        <v>138.55000000000001</v>
      </c>
      <c r="I1155" t="str">
        <f>VLOOKUP(orders__17[[#This Row],[Customer_ID]],customers__2[#All],3,0)</f>
        <v>North</v>
      </c>
      <c r="J1155" t="str">
        <f>VLOOKUP(orders__17[[#This Row],[Customer_ID]],customers__2[#All],4,0)</f>
        <v>Consumer</v>
      </c>
      <c r="K1155" t="str">
        <f>VLOOKUP(orders__17[[#This Row],[Product_ID]],products[#All],3,0)</f>
        <v>Office Supplies</v>
      </c>
      <c r="L1155" s="1" t="str">
        <f>VLOOKUP(orders__17[[#This Row],[Product_ID]],products[#All],4,0)</f>
        <v>Binder</v>
      </c>
      <c r="M1155" s="1" t="str">
        <f>VLOOKUP(orders__17[[#This Row],[Order_ID]],returns[#All],2,0)</f>
        <v>Yes</v>
      </c>
    </row>
    <row r="1156" spans="1:13" x14ac:dyDescent="0.3">
      <c r="A1156" s="1" t="s">
        <v>1462</v>
      </c>
      <c r="B1156" s="2">
        <v>45312</v>
      </c>
      <c r="C1156" s="1" t="s">
        <v>1093</v>
      </c>
      <c r="D1156" s="1" t="s">
        <v>59</v>
      </c>
      <c r="E1156">
        <v>2</v>
      </c>
      <c r="F1156" s="4">
        <v>209.9</v>
      </c>
      <c r="G1156" s="3">
        <v>0.1</v>
      </c>
      <c r="H1156" s="4">
        <v>44.91</v>
      </c>
      <c r="I1156" t="str">
        <f>VLOOKUP(orders__17[[#This Row],[Customer_ID]],customers__2[#All],3,0)</f>
        <v>West</v>
      </c>
      <c r="J1156" t="str">
        <f>VLOOKUP(orders__17[[#This Row],[Customer_ID]],customers__2[#All],4,0)</f>
        <v>Home Office</v>
      </c>
      <c r="K1156" t="str">
        <f>VLOOKUP(orders__17[[#This Row],[Product_ID]],products[#All],3,0)</f>
        <v>Office Supplies</v>
      </c>
      <c r="L1156" s="1" t="str">
        <f>VLOOKUP(orders__17[[#This Row],[Product_ID]],products[#All],4,0)</f>
        <v>Paper</v>
      </c>
      <c r="M1156" s="1" t="str">
        <f>VLOOKUP(orders__17[[#This Row],[Order_ID]],returns[#All],2,0)</f>
        <v>Yes</v>
      </c>
    </row>
    <row r="1157" spans="1:13" x14ac:dyDescent="0.3">
      <c r="A1157" s="1" t="s">
        <v>1463</v>
      </c>
      <c r="B1157" s="2">
        <v>44892</v>
      </c>
      <c r="C1157" s="1" t="s">
        <v>610</v>
      </c>
      <c r="D1157" s="1" t="s">
        <v>86</v>
      </c>
      <c r="E1157">
        <v>3</v>
      </c>
      <c r="F1157" s="4">
        <v>1919.8</v>
      </c>
      <c r="G1157" s="3">
        <v>0.1</v>
      </c>
      <c r="H1157" s="4">
        <v>353.86</v>
      </c>
      <c r="I1157" t="str">
        <f>VLOOKUP(orders__17[[#This Row],[Customer_ID]],customers__2[#All],3,0)</f>
        <v>West</v>
      </c>
      <c r="J1157" t="str">
        <f>VLOOKUP(orders__17[[#This Row],[Customer_ID]],customers__2[#All],4,0)</f>
        <v>Home Office</v>
      </c>
      <c r="K1157" t="str">
        <f>VLOOKUP(orders__17[[#This Row],[Product_ID]],products[#All],3,0)</f>
        <v>Furniture</v>
      </c>
      <c r="L1157" s="1" t="str">
        <f>VLOOKUP(orders__17[[#This Row],[Product_ID]],products[#All],4,0)</f>
        <v>Table</v>
      </c>
      <c r="M1157" s="1" t="str">
        <f>VLOOKUP(orders__17[[#This Row],[Order_ID]],returns[#All],2,0)</f>
        <v>No</v>
      </c>
    </row>
    <row r="1158" spans="1:13" x14ac:dyDescent="0.3">
      <c r="A1158" s="1" t="s">
        <v>1464</v>
      </c>
      <c r="B1158" s="2">
        <v>45368</v>
      </c>
      <c r="C1158" s="1" t="s">
        <v>273</v>
      </c>
      <c r="D1158" s="1" t="s">
        <v>22</v>
      </c>
      <c r="E1158">
        <v>1</v>
      </c>
      <c r="F1158" s="4">
        <v>1891.18</v>
      </c>
      <c r="G1158" s="3">
        <v>0.2</v>
      </c>
      <c r="H1158" s="4">
        <v>414.7</v>
      </c>
      <c r="I1158" t="str">
        <f>VLOOKUP(orders__17[[#This Row],[Customer_ID]],customers__2[#All],3,0)</f>
        <v>North</v>
      </c>
      <c r="J1158" t="str">
        <f>VLOOKUP(orders__17[[#This Row],[Customer_ID]],customers__2[#All],4,0)</f>
        <v>Corporate</v>
      </c>
      <c r="K1158" t="str">
        <f>VLOOKUP(orders__17[[#This Row],[Product_ID]],products[#All],3,0)</f>
        <v>Furniture</v>
      </c>
      <c r="L1158" s="1" t="str">
        <f>VLOOKUP(orders__17[[#This Row],[Product_ID]],products[#All],4,0)</f>
        <v>Chair</v>
      </c>
      <c r="M1158" s="1" t="str">
        <f>VLOOKUP(orders__17[[#This Row],[Order_ID]],returns[#All],2,0)</f>
        <v>Yes</v>
      </c>
    </row>
    <row r="1159" spans="1:13" x14ac:dyDescent="0.3">
      <c r="A1159" s="1" t="s">
        <v>1465</v>
      </c>
      <c r="B1159" s="2">
        <v>45104</v>
      </c>
      <c r="C1159" s="1" t="s">
        <v>91</v>
      </c>
      <c r="D1159" s="1" t="s">
        <v>40</v>
      </c>
      <c r="E1159">
        <v>1</v>
      </c>
      <c r="F1159" s="4">
        <v>1591.86</v>
      </c>
      <c r="G1159" s="3">
        <v>0.3</v>
      </c>
      <c r="H1159" s="4">
        <v>351.27</v>
      </c>
      <c r="I1159" t="str">
        <f>VLOOKUP(orders__17[[#This Row],[Customer_ID]],customers__2[#All],3,0)</f>
        <v>South</v>
      </c>
      <c r="J1159" t="str">
        <f>VLOOKUP(orders__17[[#This Row],[Customer_ID]],customers__2[#All],4,0)</f>
        <v>Home Office</v>
      </c>
      <c r="K1159" t="str">
        <f>VLOOKUP(orders__17[[#This Row],[Product_ID]],products[#All],3,0)</f>
        <v>Office Supplies</v>
      </c>
      <c r="L1159" s="1" t="str">
        <f>VLOOKUP(orders__17[[#This Row],[Product_ID]],products[#All],4,0)</f>
        <v>Storage</v>
      </c>
      <c r="M1159" s="1" t="str">
        <f>VLOOKUP(orders__17[[#This Row],[Order_ID]],returns[#All],2,0)</f>
        <v>No</v>
      </c>
    </row>
    <row r="1160" spans="1:13" x14ac:dyDescent="0.3">
      <c r="A1160" s="1" t="s">
        <v>1466</v>
      </c>
      <c r="B1160" s="2">
        <v>45125</v>
      </c>
      <c r="C1160" s="1" t="s">
        <v>524</v>
      </c>
      <c r="D1160" s="1" t="s">
        <v>61</v>
      </c>
      <c r="E1160">
        <v>2</v>
      </c>
      <c r="F1160" s="4">
        <v>1983.52</v>
      </c>
      <c r="G1160" s="3">
        <v>0.3</v>
      </c>
      <c r="H1160" s="4">
        <v>410.95</v>
      </c>
      <c r="I1160" t="str">
        <f>VLOOKUP(orders__17[[#This Row],[Customer_ID]],customers__2[#All],3,0)</f>
        <v>East</v>
      </c>
      <c r="J1160" t="str">
        <f>VLOOKUP(orders__17[[#This Row],[Customer_ID]],customers__2[#All],4,0)</f>
        <v>Corporate</v>
      </c>
      <c r="K1160" t="str">
        <f>VLOOKUP(orders__17[[#This Row],[Product_ID]],products[#All],3,0)</f>
        <v>Office Supplies</v>
      </c>
      <c r="L1160" s="1" t="str">
        <f>VLOOKUP(orders__17[[#This Row],[Product_ID]],products[#All],4,0)</f>
        <v>Binder</v>
      </c>
      <c r="M1160" s="1" t="str">
        <f>VLOOKUP(orders__17[[#This Row],[Order_ID]],returns[#All],2,0)</f>
        <v>No</v>
      </c>
    </row>
    <row r="1161" spans="1:13" x14ac:dyDescent="0.3">
      <c r="A1161" s="1" t="s">
        <v>1467</v>
      </c>
      <c r="B1161" s="2">
        <v>44909</v>
      </c>
      <c r="C1161" s="1" t="s">
        <v>466</v>
      </c>
      <c r="D1161" s="1" t="s">
        <v>97</v>
      </c>
      <c r="E1161">
        <v>5</v>
      </c>
      <c r="F1161" s="4">
        <v>1134.52</v>
      </c>
      <c r="G1161" s="3">
        <v>0</v>
      </c>
      <c r="H1161" s="4">
        <v>132.19999999999999</v>
      </c>
      <c r="I1161" t="str">
        <f>VLOOKUP(orders__17[[#This Row],[Customer_ID]],customers__2[#All],3,0)</f>
        <v>South</v>
      </c>
      <c r="J1161" t="str">
        <f>VLOOKUP(orders__17[[#This Row],[Customer_ID]],customers__2[#All],4,0)</f>
        <v>Home Office</v>
      </c>
      <c r="K1161" t="str">
        <f>VLOOKUP(orders__17[[#This Row],[Product_ID]],products[#All],3,0)</f>
        <v>Technology</v>
      </c>
      <c r="L1161" s="1" t="str">
        <f>VLOOKUP(orders__17[[#This Row],[Product_ID]],products[#All],4,0)</f>
        <v>Tablet</v>
      </c>
      <c r="M1161" s="1" t="str">
        <f>VLOOKUP(orders__17[[#This Row],[Order_ID]],returns[#All],2,0)</f>
        <v>No</v>
      </c>
    </row>
    <row r="1162" spans="1:13" x14ac:dyDescent="0.3">
      <c r="A1162" s="1" t="s">
        <v>1468</v>
      </c>
      <c r="B1162" s="2">
        <v>45327</v>
      </c>
      <c r="C1162" s="1" t="s">
        <v>300</v>
      </c>
      <c r="D1162" s="1" t="s">
        <v>72</v>
      </c>
      <c r="E1162">
        <v>1</v>
      </c>
      <c r="F1162" s="4">
        <v>1929.26</v>
      </c>
      <c r="G1162" s="3">
        <v>0.2</v>
      </c>
      <c r="H1162" s="4">
        <v>115.28</v>
      </c>
      <c r="I1162" t="str">
        <f>VLOOKUP(orders__17[[#This Row],[Customer_ID]],customers__2[#All],3,0)</f>
        <v>East</v>
      </c>
      <c r="J1162" t="str">
        <f>VLOOKUP(orders__17[[#This Row],[Customer_ID]],customers__2[#All],4,0)</f>
        <v>Home Office</v>
      </c>
      <c r="K1162" t="str">
        <f>VLOOKUP(orders__17[[#This Row],[Product_ID]],products[#All],3,0)</f>
        <v>Furniture</v>
      </c>
      <c r="L1162" s="1" t="str">
        <f>VLOOKUP(orders__17[[#This Row],[Product_ID]],products[#All],4,0)</f>
        <v>Chair</v>
      </c>
      <c r="M1162" s="1" t="str">
        <f>VLOOKUP(orders__17[[#This Row],[Order_ID]],returns[#All],2,0)</f>
        <v>No</v>
      </c>
    </row>
    <row r="1163" spans="1:13" x14ac:dyDescent="0.3">
      <c r="A1163" s="1" t="s">
        <v>1469</v>
      </c>
      <c r="B1163" s="2">
        <v>45461</v>
      </c>
      <c r="C1163" s="1" t="s">
        <v>834</v>
      </c>
      <c r="D1163" s="1" t="s">
        <v>585</v>
      </c>
      <c r="E1163">
        <v>1</v>
      </c>
      <c r="F1163" s="4">
        <v>243.65</v>
      </c>
      <c r="G1163" s="3">
        <v>0.3</v>
      </c>
      <c r="H1163" s="4">
        <v>39.93</v>
      </c>
      <c r="I1163" t="str">
        <f>VLOOKUP(orders__17[[#This Row],[Customer_ID]],customers__2[#All],3,0)</f>
        <v>South</v>
      </c>
      <c r="J1163" t="str">
        <f>VLOOKUP(orders__17[[#This Row],[Customer_ID]],customers__2[#All],4,0)</f>
        <v>Consumer</v>
      </c>
      <c r="K1163" t="str">
        <f>VLOOKUP(orders__17[[#This Row],[Product_ID]],products[#All],3,0)</f>
        <v>Office Supplies</v>
      </c>
      <c r="L1163" s="1" t="str">
        <f>VLOOKUP(orders__17[[#This Row],[Product_ID]],products[#All],4,0)</f>
        <v>Storage</v>
      </c>
      <c r="M1163" s="1" t="str">
        <f>VLOOKUP(orders__17[[#This Row],[Order_ID]],returns[#All],2,0)</f>
        <v>Yes</v>
      </c>
    </row>
    <row r="1164" spans="1:13" x14ac:dyDescent="0.3">
      <c r="A1164" s="1" t="s">
        <v>1470</v>
      </c>
      <c r="B1164" s="2">
        <v>44610</v>
      </c>
      <c r="C1164" s="1" t="s">
        <v>194</v>
      </c>
      <c r="D1164" s="1" t="s">
        <v>180</v>
      </c>
      <c r="E1164">
        <v>3</v>
      </c>
      <c r="F1164" s="4">
        <v>794.79</v>
      </c>
      <c r="G1164" s="3">
        <v>0.2</v>
      </c>
      <c r="H1164" s="4">
        <v>216.77</v>
      </c>
      <c r="I1164" t="str">
        <f>VLOOKUP(orders__17[[#This Row],[Customer_ID]],customers__2[#All],3,0)</f>
        <v>North</v>
      </c>
      <c r="J1164" t="str">
        <f>VLOOKUP(orders__17[[#This Row],[Customer_ID]],customers__2[#All],4,0)</f>
        <v>Home Office</v>
      </c>
      <c r="K1164" t="str">
        <f>VLOOKUP(orders__17[[#This Row],[Product_ID]],products[#All],3,0)</f>
        <v>Furniture</v>
      </c>
      <c r="L1164" s="1" t="str">
        <f>VLOOKUP(orders__17[[#This Row],[Product_ID]],products[#All],4,0)</f>
        <v>Chair</v>
      </c>
      <c r="M1164" s="1" t="str">
        <f>VLOOKUP(orders__17[[#This Row],[Order_ID]],returns[#All],2,0)</f>
        <v>No</v>
      </c>
    </row>
    <row r="1165" spans="1:13" x14ac:dyDescent="0.3">
      <c r="A1165" s="1" t="s">
        <v>1471</v>
      </c>
      <c r="B1165" s="2">
        <v>45217</v>
      </c>
      <c r="C1165" s="1" t="s">
        <v>129</v>
      </c>
      <c r="D1165" s="1" t="s">
        <v>218</v>
      </c>
      <c r="E1165">
        <v>4</v>
      </c>
      <c r="F1165" s="4">
        <v>528.22</v>
      </c>
      <c r="G1165" s="3">
        <v>0</v>
      </c>
      <c r="H1165" s="4">
        <v>101.62</v>
      </c>
      <c r="I1165" t="str">
        <f>VLOOKUP(orders__17[[#This Row],[Customer_ID]],customers__2[#All],3,0)</f>
        <v>South</v>
      </c>
      <c r="J1165" t="str">
        <f>VLOOKUP(orders__17[[#This Row],[Customer_ID]],customers__2[#All],4,0)</f>
        <v>Corporate</v>
      </c>
      <c r="K1165" t="str">
        <f>VLOOKUP(orders__17[[#This Row],[Product_ID]],products[#All],3,0)</f>
        <v>Office Supplies</v>
      </c>
      <c r="L1165" s="1" t="str">
        <f>VLOOKUP(orders__17[[#This Row],[Product_ID]],products[#All],4,0)</f>
        <v>Storage</v>
      </c>
      <c r="M1165" s="1" t="str">
        <f>VLOOKUP(orders__17[[#This Row],[Order_ID]],returns[#All],2,0)</f>
        <v>Yes</v>
      </c>
    </row>
    <row r="1166" spans="1:13" x14ac:dyDescent="0.3">
      <c r="A1166" s="1" t="s">
        <v>1472</v>
      </c>
      <c r="B1166" s="2">
        <v>45074</v>
      </c>
      <c r="C1166" s="1" t="s">
        <v>82</v>
      </c>
      <c r="D1166" s="1" t="s">
        <v>13</v>
      </c>
      <c r="E1166">
        <v>2</v>
      </c>
      <c r="F1166" s="4">
        <v>472.08</v>
      </c>
      <c r="G1166" s="3">
        <v>0</v>
      </c>
      <c r="H1166" s="4">
        <v>121.84</v>
      </c>
      <c r="I1166" t="str">
        <f>VLOOKUP(orders__17[[#This Row],[Customer_ID]],customers__2[#All],3,0)</f>
        <v>East</v>
      </c>
      <c r="J1166" t="str">
        <f>VLOOKUP(orders__17[[#This Row],[Customer_ID]],customers__2[#All],4,0)</f>
        <v>Corporate</v>
      </c>
      <c r="K1166" t="str">
        <f>VLOOKUP(orders__17[[#This Row],[Product_ID]],products[#All],3,0)</f>
        <v>Furniture</v>
      </c>
      <c r="L1166" s="1" t="str">
        <f>VLOOKUP(orders__17[[#This Row],[Product_ID]],products[#All],4,0)</f>
        <v>Desk</v>
      </c>
      <c r="M1166" s="1" t="str">
        <f>VLOOKUP(orders__17[[#This Row],[Order_ID]],returns[#All],2,0)</f>
        <v>No</v>
      </c>
    </row>
    <row r="1167" spans="1:13" x14ac:dyDescent="0.3">
      <c r="A1167" s="1" t="s">
        <v>1473</v>
      </c>
      <c r="B1167" s="2">
        <v>45007</v>
      </c>
      <c r="C1167" s="1" t="s">
        <v>657</v>
      </c>
      <c r="D1167" s="1" t="s">
        <v>309</v>
      </c>
      <c r="E1167">
        <v>2</v>
      </c>
      <c r="F1167" s="4">
        <v>367.53</v>
      </c>
      <c r="G1167" s="3">
        <v>0</v>
      </c>
      <c r="H1167" s="4">
        <v>109.49</v>
      </c>
      <c r="I1167" t="str">
        <f>VLOOKUP(orders__17[[#This Row],[Customer_ID]],customers__2[#All],3,0)</f>
        <v>East</v>
      </c>
      <c r="J1167" t="str">
        <f>VLOOKUP(orders__17[[#This Row],[Customer_ID]],customers__2[#All],4,0)</f>
        <v>Corporate</v>
      </c>
      <c r="K1167" t="str">
        <f>VLOOKUP(orders__17[[#This Row],[Product_ID]],products[#All],3,0)</f>
        <v>Office Supplies</v>
      </c>
      <c r="L1167" s="1" t="str">
        <f>VLOOKUP(orders__17[[#This Row],[Product_ID]],products[#All],4,0)</f>
        <v>Pen</v>
      </c>
      <c r="M1167" s="1" t="str">
        <f>VLOOKUP(orders__17[[#This Row],[Order_ID]],returns[#All],2,0)</f>
        <v>No</v>
      </c>
    </row>
    <row r="1168" spans="1:13" x14ac:dyDescent="0.3">
      <c r="A1168" s="1" t="s">
        <v>1474</v>
      </c>
      <c r="B1168" s="2">
        <v>45244</v>
      </c>
      <c r="C1168" s="1" t="s">
        <v>198</v>
      </c>
      <c r="D1168" s="1" t="s">
        <v>43</v>
      </c>
      <c r="E1168">
        <v>5</v>
      </c>
      <c r="F1168" s="4">
        <v>1282.5899999999999</v>
      </c>
      <c r="G1168" s="3">
        <v>0.1</v>
      </c>
      <c r="H1168" s="4">
        <v>116.59</v>
      </c>
      <c r="I1168" t="str">
        <f>VLOOKUP(orders__17[[#This Row],[Customer_ID]],customers__2[#All],3,0)</f>
        <v>North</v>
      </c>
      <c r="J1168" t="str">
        <f>VLOOKUP(orders__17[[#This Row],[Customer_ID]],customers__2[#All],4,0)</f>
        <v>Consumer</v>
      </c>
      <c r="K1168" t="str">
        <f>VLOOKUP(orders__17[[#This Row],[Product_ID]],products[#All],3,0)</f>
        <v>Technology</v>
      </c>
      <c r="L1168" s="1" t="str">
        <f>VLOOKUP(orders__17[[#This Row],[Product_ID]],products[#All],4,0)</f>
        <v>Tablet</v>
      </c>
      <c r="M1168" s="1" t="str">
        <f>VLOOKUP(orders__17[[#This Row],[Order_ID]],returns[#All],2,0)</f>
        <v>No</v>
      </c>
    </row>
    <row r="1169" spans="1:13" x14ac:dyDescent="0.3">
      <c r="A1169" s="1" t="s">
        <v>1475</v>
      </c>
      <c r="B1169" s="2">
        <v>44806</v>
      </c>
      <c r="C1169" s="1" t="s">
        <v>265</v>
      </c>
      <c r="D1169" s="1" t="s">
        <v>603</v>
      </c>
      <c r="E1169">
        <v>5</v>
      </c>
      <c r="F1169" s="4">
        <v>1584.51</v>
      </c>
      <c r="G1169" s="3">
        <v>0.2</v>
      </c>
      <c r="H1169" s="4">
        <v>353.26</v>
      </c>
      <c r="I1169" t="str">
        <f>VLOOKUP(orders__17[[#This Row],[Customer_ID]],customers__2[#All],3,0)</f>
        <v>East</v>
      </c>
      <c r="J1169" t="str">
        <f>VLOOKUP(orders__17[[#This Row],[Customer_ID]],customers__2[#All],4,0)</f>
        <v>Consumer</v>
      </c>
      <c r="K1169" t="str">
        <f>VLOOKUP(orders__17[[#This Row],[Product_ID]],products[#All],3,0)</f>
        <v>Technology</v>
      </c>
      <c r="L1169" s="1" t="str">
        <f>VLOOKUP(orders__17[[#This Row],[Product_ID]],products[#All],4,0)</f>
        <v>Accessories</v>
      </c>
      <c r="M1169" s="1" t="str">
        <f>VLOOKUP(orders__17[[#This Row],[Order_ID]],returns[#All],2,0)</f>
        <v>No</v>
      </c>
    </row>
    <row r="1170" spans="1:13" x14ac:dyDescent="0.3">
      <c r="A1170" s="1" t="s">
        <v>1476</v>
      </c>
      <c r="B1170" s="2">
        <v>45064</v>
      </c>
      <c r="C1170" s="1" t="s">
        <v>158</v>
      </c>
      <c r="D1170" s="1" t="s">
        <v>263</v>
      </c>
      <c r="E1170">
        <v>2</v>
      </c>
      <c r="F1170" s="4">
        <v>1198.77</v>
      </c>
      <c r="G1170" s="3">
        <v>0</v>
      </c>
      <c r="H1170" s="4">
        <v>262.02</v>
      </c>
      <c r="I1170" t="str">
        <f>VLOOKUP(orders__17[[#This Row],[Customer_ID]],customers__2[#All],3,0)</f>
        <v>West</v>
      </c>
      <c r="J1170" t="str">
        <f>VLOOKUP(orders__17[[#This Row],[Customer_ID]],customers__2[#All],4,0)</f>
        <v>Corporate</v>
      </c>
      <c r="K1170" t="str">
        <f>VLOOKUP(orders__17[[#This Row],[Product_ID]],products[#All],3,0)</f>
        <v>Office Supplies</v>
      </c>
      <c r="L1170" s="1" t="str">
        <f>VLOOKUP(orders__17[[#This Row],[Product_ID]],products[#All],4,0)</f>
        <v>Storage</v>
      </c>
      <c r="M1170" s="1" t="str">
        <f>VLOOKUP(orders__17[[#This Row],[Order_ID]],returns[#All],2,0)</f>
        <v>Yes</v>
      </c>
    </row>
    <row r="1171" spans="1:13" x14ac:dyDescent="0.3">
      <c r="A1171" s="1" t="s">
        <v>1477</v>
      </c>
      <c r="B1171" s="2">
        <v>44673</v>
      </c>
      <c r="C1171" s="1" t="s">
        <v>1056</v>
      </c>
      <c r="D1171" s="1" t="s">
        <v>119</v>
      </c>
      <c r="E1171">
        <v>5</v>
      </c>
      <c r="F1171" s="4">
        <v>379.23</v>
      </c>
      <c r="G1171" s="3">
        <v>0.2</v>
      </c>
      <c r="H1171" s="4">
        <v>111.87</v>
      </c>
      <c r="I1171" t="str">
        <f>VLOOKUP(orders__17[[#This Row],[Customer_ID]],customers__2[#All],3,0)</f>
        <v>North</v>
      </c>
      <c r="J1171" t="str">
        <f>VLOOKUP(orders__17[[#This Row],[Customer_ID]],customers__2[#All],4,0)</f>
        <v>Corporate</v>
      </c>
      <c r="K1171" t="str">
        <f>VLOOKUP(orders__17[[#This Row],[Product_ID]],products[#All],3,0)</f>
        <v>Technology</v>
      </c>
      <c r="L1171" s="1" t="str">
        <f>VLOOKUP(orders__17[[#This Row],[Product_ID]],products[#All],4,0)</f>
        <v>Tablet</v>
      </c>
      <c r="M1171" s="1" t="str">
        <f>VLOOKUP(orders__17[[#This Row],[Order_ID]],returns[#All],2,0)</f>
        <v>No</v>
      </c>
    </row>
    <row r="1172" spans="1:13" x14ac:dyDescent="0.3">
      <c r="A1172" s="1" t="s">
        <v>1478</v>
      </c>
      <c r="B1172" s="2">
        <v>44741</v>
      </c>
      <c r="C1172" s="1" t="s">
        <v>53</v>
      </c>
      <c r="D1172" s="1" t="s">
        <v>143</v>
      </c>
      <c r="E1172">
        <v>3</v>
      </c>
      <c r="F1172" s="4">
        <v>1641.14</v>
      </c>
      <c r="G1172" s="3">
        <v>0.1</v>
      </c>
      <c r="H1172" s="4">
        <v>486.43</v>
      </c>
      <c r="I1172" t="str">
        <f>VLOOKUP(orders__17[[#This Row],[Customer_ID]],customers__2[#All],3,0)</f>
        <v>West</v>
      </c>
      <c r="J1172" t="str">
        <f>VLOOKUP(orders__17[[#This Row],[Customer_ID]],customers__2[#All],4,0)</f>
        <v>Home Office</v>
      </c>
      <c r="K1172" t="str">
        <f>VLOOKUP(orders__17[[#This Row],[Product_ID]],products[#All],3,0)</f>
        <v>Furniture</v>
      </c>
      <c r="L1172" s="1" t="str">
        <f>VLOOKUP(orders__17[[#This Row],[Product_ID]],products[#All],4,0)</f>
        <v>Shelf</v>
      </c>
      <c r="M1172" s="1" t="str">
        <f>VLOOKUP(orders__17[[#This Row],[Order_ID]],returns[#All],2,0)</f>
        <v>No</v>
      </c>
    </row>
    <row r="1173" spans="1:13" x14ac:dyDescent="0.3">
      <c r="A1173" s="1" t="s">
        <v>1479</v>
      </c>
      <c r="B1173" s="2">
        <v>45437</v>
      </c>
      <c r="C1173" s="1" t="s">
        <v>33</v>
      </c>
      <c r="D1173" s="1" t="s">
        <v>100</v>
      </c>
      <c r="E1173">
        <v>2</v>
      </c>
      <c r="F1173" s="4">
        <v>1308.31</v>
      </c>
      <c r="G1173" s="3">
        <v>0.1</v>
      </c>
      <c r="H1173" s="4">
        <v>290.01</v>
      </c>
      <c r="I1173" t="str">
        <f>VLOOKUP(orders__17[[#This Row],[Customer_ID]],customers__2[#All],3,0)</f>
        <v>East</v>
      </c>
      <c r="J1173" t="str">
        <f>VLOOKUP(orders__17[[#This Row],[Customer_ID]],customers__2[#All],4,0)</f>
        <v>Home Office</v>
      </c>
      <c r="K1173" t="str">
        <f>VLOOKUP(orders__17[[#This Row],[Product_ID]],products[#All],3,0)</f>
        <v>Technology</v>
      </c>
      <c r="L1173" s="1" t="str">
        <f>VLOOKUP(orders__17[[#This Row],[Product_ID]],products[#All],4,0)</f>
        <v>Laptop</v>
      </c>
      <c r="M1173" s="1" t="str">
        <f>VLOOKUP(orders__17[[#This Row],[Order_ID]],returns[#All],2,0)</f>
        <v>No</v>
      </c>
    </row>
    <row r="1174" spans="1:13" x14ac:dyDescent="0.3">
      <c r="A1174" s="1" t="s">
        <v>1480</v>
      </c>
      <c r="B1174" s="2">
        <v>44803</v>
      </c>
      <c r="C1174" s="1" t="s">
        <v>353</v>
      </c>
      <c r="D1174" s="1" t="s">
        <v>48</v>
      </c>
      <c r="E1174">
        <v>5</v>
      </c>
      <c r="F1174" s="4">
        <v>837.51</v>
      </c>
      <c r="G1174" s="3">
        <v>0</v>
      </c>
      <c r="H1174" s="4">
        <v>92.88</v>
      </c>
      <c r="I1174" t="str">
        <f>VLOOKUP(orders__17[[#This Row],[Customer_ID]],customers__2[#All],3,0)</f>
        <v>East</v>
      </c>
      <c r="J1174" t="str">
        <f>VLOOKUP(orders__17[[#This Row],[Customer_ID]],customers__2[#All],4,0)</f>
        <v>Home Office</v>
      </c>
      <c r="K1174" t="str">
        <f>VLOOKUP(orders__17[[#This Row],[Product_ID]],products[#All],3,0)</f>
        <v>Office Supplies</v>
      </c>
      <c r="L1174" s="1" t="str">
        <f>VLOOKUP(orders__17[[#This Row],[Product_ID]],products[#All],4,0)</f>
        <v>Pen</v>
      </c>
      <c r="M1174" s="1" t="str">
        <f>VLOOKUP(orders__17[[#This Row],[Order_ID]],returns[#All],2,0)</f>
        <v>Yes</v>
      </c>
    </row>
    <row r="1175" spans="1:13" x14ac:dyDescent="0.3">
      <c r="A1175" s="1" t="s">
        <v>1481</v>
      </c>
      <c r="B1175" s="2">
        <v>44611</v>
      </c>
      <c r="C1175" s="1" t="s">
        <v>121</v>
      </c>
      <c r="D1175" s="1" t="s">
        <v>234</v>
      </c>
      <c r="E1175">
        <v>2</v>
      </c>
      <c r="F1175" s="4">
        <v>1380.85</v>
      </c>
      <c r="G1175" s="3">
        <v>0</v>
      </c>
      <c r="H1175" s="4">
        <v>344.71</v>
      </c>
      <c r="I1175" t="str">
        <f>VLOOKUP(orders__17[[#This Row],[Customer_ID]],customers__2[#All],3,0)</f>
        <v>East</v>
      </c>
      <c r="J1175" t="str">
        <f>VLOOKUP(orders__17[[#This Row],[Customer_ID]],customers__2[#All],4,0)</f>
        <v>Corporate</v>
      </c>
      <c r="K1175" t="str">
        <f>VLOOKUP(orders__17[[#This Row],[Product_ID]],products[#All],3,0)</f>
        <v>Furniture</v>
      </c>
      <c r="L1175" s="1" t="str">
        <f>VLOOKUP(orders__17[[#This Row],[Product_ID]],products[#All],4,0)</f>
        <v>Shelf</v>
      </c>
      <c r="M1175" s="1" t="str">
        <f>VLOOKUP(orders__17[[#This Row],[Order_ID]],returns[#All],2,0)</f>
        <v>No</v>
      </c>
    </row>
    <row r="1176" spans="1:13" x14ac:dyDescent="0.3">
      <c r="A1176" s="1" t="s">
        <v>1482</v>
      </c>
      <c r="B1176" s="2">
        <v>44579</v>
      </c>
      <c r="C1176" s="1" t="s">
        <v>482</v>
      </c>
      <c r="D1176" s="1" t="s">
        <v>31</v>
      </c>
      <c r="E1176">
        <v>4</v>
      </c>
      <c r="F1176" s="4">
        <v>593.82000000000005</v>
      </c>
      <c r="G1176" s="3">
        <v>0.3</v>
      </c>
      <c r="H1176" s="4">
        <v>45.58</v>
      </c>
      <c r="I1176" t="str">
        <f>VLOOKUP(orders__17[[#This Row],[Customer_ID]],customers__2[#All],3,0)</f>
        <v>North</v>
      </c>
      <c r="J1176" t="str">
        <f>VLOOKUP(orders__17[[#This Row],[Customer_ID]],customers__2[#All],4,0)</f>
        <v>Consumer</v>
      </c>
      <c r="K1176" t="str">
        <f>VLOOKUP(orders__17[[#This Row],[Product_ID]],products[#All],3,0)</f>
        <v>Furniture</v>
      </c>
      <c r="L1176" s="1" t="str">
        <f>VLOOKUP(orders__17[[#This Row],[Product_ID]],products[#All],4,0)</f>
        <v>Chair</v>
      </c>
      <c r="M1176" s="1" t="str">
        <f>VLOOKUP(orders__17[[#This Row],[Order_ID]],returns[#All],2,0)</f>
        <v>Yes</v>
      </c>
    </row>
    <row r="1177" spans="1:13" x14ac:dyDescent="0.3">
      <c r="A1177" s="1" t="s">
        <v>1483</v>
      </c>
      <c r="B1177" s="2">
        <v>44731</v>
      </c>
      <c r="C1177" s="1" t="s">
        <v>402</v>
      </c>
      <c r="D1177" s="1" t="s">
        <v>215</v>
      </c>
      <c r="E1177">
        <v>1</v>
      </c>
      <c r="F1177" s="4">
        <v>755.87</v>
      </c>
      <c r="G1177" s="3">
        <v>0.2</v>
      </c>
      <c r="H1177" s="4">
        <v>185.32</v>
      </c>
      <c r="I1177" t="str">
        <f>VLOOKUP(orders__17[[#This Row],[Customer_ID]],customers__2[#All],3,0)</f>
        <v>West</v>
      </c>
      <c r="J1177" t="str">
        <f>VLOOKUP(orders__17[[#This Row],[Customer_ID]],customers__2[#All],4,0)</f>
        <v>Consumer</v>
      </c>
      <c r="K1177" t="str">
        <f>VLOOKUP(orders__17[[#This Row],[Product_ID]],products[#All],3,0)</f>
        <v>Furniture</v>
      </c>
      <c r="L1177" s="1" t="str">
        <f>VLOOKUP(orders__17[[#This Row],[Product_ID]],products[#All],4,0)</f>
        <v>Table</v>
      </c>
      <c r="M1177" s="1" t="str">
        <f>VLOOKUP(orders__17[[#This Row],[Order_ID]],returns[#All],2,0)</f>
        <v>No</v>
      </c>
    </row>
    <row r="1178" spans="1:13" x14ac:dyDescent="0.3">
      <c r="A1178" s="1" t="s">
        <v>1484</v>
      </c>
      <c r="B1178" s="2">
        <v>44908</v>
      </c>
      <c r="C1178" s="1" t="s">
        <v>843</v>
      </c>
      <c r="D1178" s="1" t="s">
        <v>455</v>
      </c>
      <c r="E1178">
        <v>2</v>
      </c>
      <c r="F1178" s="4">
        <v>1843.22</v>
      </c>
      <c r="G1178" s="3">
        <v>0</v>
      </c>
      <c r="H1178" s="4">
        <v>511.58</v>
      </c>
      <c r="I1178" t="str">
        <f>VLOOKUP(orders__17[[#This Row],[Customer_ID]],customers__2[#All],3,0)</f>
        <v>North</v>
      </c>
      <c r="J1178" t="str">
        <f>VLOOKUP(orders__17[[#This Row],[Customer_ID]],customers__2[#All],4,0)</f>
        <v>Consumer</v>
      </c>
      <c r="K1178" t="str">
        <f>VLOOKUP(orders__17[[#This Row],[Product_ID]],products[#All],3,0)</f>
        <v>Furniture</v>
      </c>
      <c r="L1178" s="1" t="str">
        <f>VLOOKUP(orders__17[[#This Row],[Product_ID]],products[#All],4,0)</f>
        <v>Shelf</v>
      </c>
      <c r="M1178" s="1" t="str">
        <f>VLOOKUP(orders__17[[#This Row],[Order_ID]],returns[#All],2,0)</f>
        <v>No</v>
      </c>
    </row>
    <row r="1179" spans="1:13" x14ac:dyDescent="0.3">
      <c r="A1179" s="1" t="s">
        <v>1485</v>
      </c>
      <c r="B1179" s="2">
        <v>45129</v>
      </c>
      <c r="C1179" s="1" t="s">
        <v>384</v>
      </c>
      <c r="D1179" s="1" t="s">
        <v>97</v>
      </c>
      <c r="E1179">
        <v>1</v>
      </c>
      <c r="F1179" s="4">
        <v>651.96</v>
      </c>
      <c r="G1179" s="3">
        <v>0.3</v>
      </c>
      <c r="H1179" s="4">
        <v>95</v>
      </c>
      <c r="I1179" t="str">
        <f>VLOOKUP(orders__17[[#This Row],[Customer_ID]],customers__2[#All],3,0)</f>
        <v>East</v>
      </c>
      <c r="J1179" t="str">
        <f>VLOOKUP(orders__17[[#This Row],[Customer_ID]],customers__2[#All],4,0)</f>
        <v>Corporate</v>
      </c>
      <c r="K1179" t="str">
        <f>VLOOKUP(orders__17[[#This Row],[Product_ID]],products[#All],3,0)</f>
        <v>Technology</v>
      </c>
      <c r="L1179" s="1" t="str">
        <f>VLOOKUP(orders__17[[#This Row],[Product_ID]],products[#All],4,0)</f>
        <v>Tablet</v>
      </c>
      <c r="M1179" s="1" t="str">
        <f>VLOOKUP(orders__17[[#This Row],[Order_ID]],returns[#All],2,0)</f>
        <v>No</v>
      </c>
    </row>
    <row r="1180" spans="1:13" x14ac:dyDescent="0.3">
      <c r="A1180" s="1" t="s">
        <v>1486</v>
      </c>
      <c r="B1180" s="2">
        <v>45149</v>
      </c>
      <c r="C1180" s="1" t="s">
        <v>205</v>
      </c>
      <c r="D1180" s="1" t="s">
        <v>25</v>
      </c>
      <c r="E1180">
        <v>5</v>
      </c>
      <c r="F1180" s="4">
        <v>992.98</v>
      </c>
      <c r="G1180" s="3">
        <v>0.2</v>
      </c>
      <c r="H1180" s="4">
        <v>206.2</v>
      </c>
      <c r="I1180" t="str">
        <f>VLOOKUP(orders__17[[#This Row],[Customer_ID]],customers__2[#All],3,0)</f>
        <v>North</v>
      </c>
      <c r="J1180" t="str">
        <f>VLOOKUP(orders__17[[#This Row],[Customer_ID]],customers__2[#All],4,0)</f>
        <v>Consumer</v>
      </c>
      <c r="K1180" t="str">
        <f>VLOOKUP(orders__17[[#This Row],[Product_ID]],products[#All],3,0)</f>
        <v>Office Supplies</v>
      </c>
      <c r="L1180" s="1" t="str">
        <f>VLOOKUP(orders__17[[#This Row],[Product_ID]],products[#All],4,0)</f>
        <v>Paper</v>
      </c>
      <c r="M1180" s="1" t="str">
        <f>VLOOKUP(orders__17[[#This Row],[Order_ID]],returns[#All],2,0)</f>
        <v>No</v>
      </c>
    </row>
    <row r="1181" spans="1:13" x14ac:dyDescent="0.3">
      <c r="A1181" s="1" t="s">
        <v>1487</v>
      </c>
      <c r="B1181" s="2">
        <v>45159</v>
      </c>
      <c r="C1181" s="1" t="s">
        <v>325</v>
      </c>
      <c r="D1181" s="1" t="s">
        <v>455</v>
      </c>
      <c r="E1181">
        <v>1</v>
      </c>
      <c r="F1181" s="4">
        <v>1791.27</v>
      </c>
      <c r="G1181" s="3">
        <v>0</v>
      </c>
      <c r="H1181" s="4">
        <v>282.19</v>
      </c>
      <c r="I1181" t="str">
        <f>VLOOKUP(orders__17[[#This Row],[Customer_ID]],customers__2[#All],3,0)</f>
        <v>North</v>
      </c>
      <c r="J1181" t="str">
        <f>VLOOKUP(orders__17[[#This Row],[Customer_ID]],customers__2[#All],4,0)</f>
        <v>Corporate</v>
      </c>
      <c r="K1181" t="str">
        <f>VLOOKUP(orders__17[[#This Row],[Product_ID]],products[#All],3,0)</f>
        <v>Furniture</v>
      </c>
      <c r="L1181" s="1" t="str">
        <f>VLOOKUP(orders__17[[#This Row],[Product_ID]],products[#All],4,0)</f>
        <v>Shelf</v>
      </c>
      <c r="M1181" s="1" t="str">
        <f>VLOOKUP(orders__17[[#This Row],[Order_ID]],returns[#All],2,0)</f>
        <v>No</v>
      </c>
    </row>
    <row r="1182" spans="1:13" x14ac:dyDescent="0.3">
      <c r="A1182" s="1" t="s">
        <v>1488</v>
      </c>
      <c r="B1182" s="2">
        <v>44742</v>
      </c>
      <c r="C1182" s="1" t="s">
        <v>466</v>
      </c>
      <c r="D1182" s="1" t="s">
        <v>22</v>
      </c>
      <c r="E1182">
        <v>2</v>
      </c>
      <c r="F1182" s="4">
        <v>1444.67</v>
      </c>
      <c r="G1182" s="3">
        <v>0.3</v>
      </c>
      <c r="H1182" s="4">
        <v>230.34</v>
      </c>
      <c r="I1182" t="str">
        <f>VLOOKUP(orders__17[[#This Row],[Customer_ID]],customers__2[#All],3,0)</f>
        <v>South</v>
      </c>
      <c r="J1182" t="str">
        <f>VLOOKUP(orders__17[[#This Row],[Customer_ID]],customers__2[#All],4,0)</f>
        <v>Home Office</v>
      </c>
      <c r="K1182" t="str">
        <f>VLOOKUP(orders__17[[#This Row],[Product_ID]],products[#All],3,0)</f>
        <v>Furniture</v>
      </c>
      <c r="L1182" s="1" t="str">
        <f>VLOOKUP(orders__17[[#This Row],[Product_ID]],products[#All],4,0)</f>
        <v>Chair</v>
      </c>
      <c r="M1182" s="1" t="str">
        <f>VLOOKUP(orders__17[[#This Row],[Order_ID]],returns[#All],2,0)</f>
        <v>No</v>
      </c>
    </row>
    <row r="1183" spans="1:13" x14ac:dyDescent="0.3">
      <c r="A1183" s="1" t="s">
        <v>1489</v>
      </c>
      <c r="B1183" s="2">
        <v>44812</v>
      </c>
      <c r="C1183" s="1" t="s">
        <v>559</v>
      </c>
      <c r="D1183" s="1" t="s">
        <v>278</v>
      </c>
      <c r="E1183">
        <v>4</v>
      </c>
      <c r="F1183" s="4">
        <v>218.19</v>
      </c>
      <c r="G1183" s="3">
        <v>0.3</v>
      </c>
      <c r="H1183" s="4">
        <v>27.84</v>
      </c>
      <c r="I1183" t="str">
        <f>VLOOKUP(orders__17[[#This Row],[Customer_ID]],customers__2[#All],3,0)</f>
        <v>South</v>
      </c>
      <c r="J1183" t="str">
        <f>VLOOKUP(orders__17[[#This Row],[Customer_ID]],customers__2[#All],4,0)</f>
        <v>Consumer</v>
      </c>
      <c r="K1183" t="str">
        <f>VLOOKUP(orders__17[[#This Row],[Product_ID]],products[#All],3,0)</f>
        <v>Office Supplies</v>
      </c>
      <c r="L1183" s="1" t="str">
        <f>VLOOKUP(orders__17[[#This Row],[Product_ID]],products[#All],4,0)</f>
        <v>Pen</v>
      </c>
      <c r="M1183" s="1" t="str">
        <f>VLOOKUP(orders__17[[#This Row],[Order_ID]],returns[#All],2,0)</f>
        <v>Yes</v>
      </c>
    </row>
    <row r="1184" spans="1:13" x14ac:dyDescent="0.3">
      <c r="A1184" s="1" t="s">
        <v>1490</v>
      </c>
      <c r="B1184" s="2">
        <v>45422</v>
      </c>
      <c r="C1184" s="1" t="s">
        <v>447</v>
      </c>
      <c r="D1184" s="1" t="s">
        <v>283</v>
      </c>
      <c r="E1184">
        <v>5</v>
      </c>
      <c r="F1184" s="4">
        <v>379.88</v>
      </c>
      <c r="G1184" s="3">
        <v>0.2</v>
      </c>
      <c r="H1184" s="4">
        <v>91.37</v>
      </c>
      <c r="I1184" t="str">
        <f>VLOOKUP(orders__17[[#This Row],[Customer_ID]],customers__2[#All],3,0)</f>
        <v>West</v>
      </c>
      <c r="J1184" t="str">
        <f>VLOOKUP(orders__17[[#This Row],[Customer_ID]],customers__2[#All],4,0)</f>
        <v>Corporate</v>
      </c>
      <c r="K1184" t="str">
        <f>VLOOKUP(orders__17[[#This Row],[Product_ID]],products[#All],3,0)</f>
        <v>Furniture</v>
      </c>
      <c r="L1184" s="1" t="str">
        <f>VLOOKUP(orders__17[[#This Row],[Product_ID]],products[#All],4,0)</f>
        <v>Chair</v>
      </c>
      <c r="M1184" s="1" t="str">
        <f>VLOOKUP(orders__17[[#This Row],[Order_ID]],returns[#All],2,0)</f>
        <v>No</v>
      </c>
    </row>
    <row r="1185" spans="1:13" x14ac:dyDescent="0.3">
      <c r="A1185" s="1" t="s">
        <v>1491</v>
      </c>
      <c r="B1185" s="2">
        <v>44963</v>
      </c>
      <c r="C1185" s="1" t="s">
        <v>547</v>
      </c>
      <c r="D1185" s="1" t="s">
        <v>218</v>
      </c>
      <c r="E1185">
        <v>2</v>
      </c>
      <c r="F1185" s="4">
        <v>114.9</v>
      </c>
      <c r="G1185" s="3">
        <v>0.3</v>
      </c>
      <c r="H1185" s="4">
        <v>32.64</v>
      </c>
      <c r="I1185" t="str">
        <f>VLOOKUP(orders__17[[#This Row],[Customer_ID]],customers__2[#All],3,0)</f>
        <v>West</v>
      </c>
      <c r="J1185" t="str">
        <f>VLOOKUP(orders__17[[#This Row],[Customer_ID]],customers__2[#All],4,0)</f>
        <v>Corporate</v>
      </c>
      <c r="K1185" t="str">
        <f>VLOOKUP(orders__17[[#This Row],[Product_ID]],products[#All],3,0)</f>
        <v>Office Supplies</v>
      </c>
      <c r="L1185" s="1" t="str">
        <f>VLOOKUP(orders__17[[#This Row],[Product_ID]],products[#All],4,0)</f>
        <v>Storage</v>
      </c>
      <c r="M1185" s="1" t="str">
        <f>VLOOKUP(orders__17[[#This Row],[Order_ID]],returns[#All],2,0)</f>
        <v>Yes</v>
      </c>
    </row>
    <row r="1186" spans="1:13" x14ac:dyDescent="0.3">
      <c r="A1186" s="1" t="s">
        <v>1492</v>
      </c>
      <c r="B1186" s="2">
        <v>44958</v>
      </c>
      <c r="C1186" s="1" t="s">
        <v>607</v>
      </c>
      <c r="D1186" s="1" t="s">
        <v>10</v>
      </c>
      <c r="E1186">
        <v>5</v>
      </c>
      <c r="F1186" s="4">
        <v>1298.75</v>
      </c>
      <c r="G1186" s="3">
        <v>0.2</v>
      </c>
      <c r="H1186" s="4">
        <v>370.39</v>
      </c>
      <c r="I1186" t="str">
        <f>VLOOKUP(orders__17[[#This Row],[Customer_ID]],customers__2[#All],3,0)</f>
        <v>East</v>
      </c>
      <c r="J1186" t="str">
        <f>VLOOKUP(orders__17[[#This Row],[Customer_ID]],customers__2[#All],4,0)</f>
        <v>Consumer</v>
      </c>
      <c r="K1186" t="str">
        <f>VLOOKUP(orders__17[[#This Row],[Product_ID]],products[#All],3,0)</f>
        <v>Technology</v>
      </c>
      <c r="L1186" s="1" t="str">
        <f>VLOOKUP(orders__17[[#This Row],[Product_ID]],products[#All],4,0)</f>
        <v>Tablet</v>
      </c>
      <c r="M1186" s="1" t="str">
        <f>VLOOKUP(orders__17[[#This Row],[Order_ID]],returns[#All],2,0)</f>
        <v>No</v>
      </c>
    </row>
    <row r="1187" spans="1:13" x14ac:dyDescent="0.3">
      <c r="A1187" s="1" t="s">
        <v>1493</v>
      </c>
      <c r="B1187" s="2">
        <v>45114</v>
      </c>
      <c r="C1187" s="1" t="s">
        <v>489</v>
      </c>
      <c r="D1187" s="1" t="s">
        <v>288</v>
      </c>
      <c r="E1187">
        <v>3</v>
      </c>
      <c r="F1187" s="4">
        <v>950.58</v>
      </c>
      <c r="G1187" s="3">
        <v>0.2</v>
      </c>
      <c r="H1187" s="4">
        <v>89.06</v>
      </c>
      <c r="I1187" t="str">
        <f>VLOOKUP(orders__17[[#This Row],[Customer_ID]],customers__2[#All],3,0)</f>
        <v>North</v>
      </c>
      <c r="J1187" t="str">
        <f>VLOOKUP(orders__17[[#This Row],[Customer_ID]],customers__2[#All],4,0)</f>
        <v>Home Office</v>
      </c>
      <c r="K1187" t="str">
        <f>VLOOKUP(orders__17[[#This Row],[Product_ID]],products[#All],3,0)</f>
        <v>Furniture</v>
      </c>
      <c r="L1187" s="1" t="str">
        <f>VLOOKUP(orders__17[[#This Row],[Product_ID]],products[#All],4,0)</f>
        <v>Chair</v>
      </c>
      <c r="M1187" s="1" t="str">
        <f>VLOOKUP(orders__17[[#This Row],[Order_ID]],returns[#All],2,0)</f>
        <v>No</v>
      </c>
    </row>
    <row r="1188" spans="1:13" x14ac:dyDescent="0.3">
      <c r="A1188" s="1" t="s">
        <v>1494</v>
      </c>
      <c r="B1188" s="2">
        <v>45183</v>
      </c>
      <c r="C1188" s="1" t="s">
        <v>744</v>
      </c>
      <c r="D1188" s="1" t="s">
        <v>304</v>
      </c>
      <c r="E1188">
        <v>1</v>
      </c>
      <c r="F1188" s="4">
        <v>355.12</v>
      </c>
      <c r="G1188" s="3">
        <v>0.2</v>
      </c>
      <c r="H1188" s="4">
        <v>95.42</v>
      </c>
      <c r="I1188" t="str">
        <f>VLOOKUP(orders__17[[#This Row],[Customer_ID]],customers__2[#All],3,0)</f>
        <v>East</v>
      </c>
      <c r="J1188" t="str">
        <f>VLOOKUP(orders__17[[#This Row],[Customer_ID]],customers__2[#All],4,0)</f>
        <v>Consumer</v>
      </c>
      <c r="K1188" t="str">
        <f>VLOOKUP(orders__17[[#This Row],[Product_ID]],products[#All],3,0)</f>
        <v>Technology</v>
      </c>
      <c r="L1188" s="1" t="str">
        <f>VLOOKUP(orders__17[[#This Row],[Product_ID]],products[#All],4,0)</f>
        <v>Accessories</v>
      </c>
      <c r="M1188" s="1" t="str">
        <f>VLOOKUP(orders__17[[#This Row],[Order_ID]],returns[#All],2,0)</f>
        <v>No</v>
      </c>
    </row>
    <row r="1189" spans="1:13" x14ac:dyDescent="0.3">
      <c r="A1189" s="1" t="s">
        <v>1495</v>
      </c>
      <c r="B1189" s="2">
        <v>45054</v>
      </c>
      <c r="C1189" s="1" t="s">
        <v>334</v>
      </c>
      <c r="D1189" s="1" t="s">
        <v>314</v>
      </c>
      <c r="E1189">
        <v>3</v>
      </c>
      <c r="F1189" s="4">
        <v>1920.07</v>
      </c>
      <c r="G1189" s="3">
        <v>0.1</v>
      </c>
      <c r="H1189" s="4">
        <v>449.98</v>
      </c>
      <c r="I1189" t="str">
        <f>VLOOKUP(orders__17[[#This Row],[Customer_ID]],customers__2[#All],3,0)</f>
        <v>East</v>
      </c>
      <c r="J1189" t="str">
        <f>VLOOKUP(orders__17[[#This Row],[Customer_ID]],customers__2[#All],4,0)</f>
        <v>Consumer</v>
      </c>
      <c r="K1189" t="str">
        <f>VLOOKUP(orders__17[[#This Row],[Product_ID]],products[#All],3,0)</f>
        <v>Office Supplies</v>
      </c>
      <c r="L1189" s="1" t="str">
        <f>VLOOKUP(orders__17[[#This Row],[Product_ID]],products[#All],4,0)</f>
        <v>Paper</v>
      </c>
      <c r="M1189" s="1" t="str">
        <f>VLOOKUP(orders__17[[#This Row],[Order_ID]],returns[#All],2,0)</f>
        <v>No</v>
      </c>
    </row>
    <row r="1190" spans="1:13" x14ac:dyDescent="0.3">
      <c r="A1190" s="1" t="s">
        <v>1496</v>
      </c>
      <c r="B1190" s="2">
        <v>45242</v>
      </c>
      <c r="C1190" s="1" t="s">
        <v>271</v>
      </c>
      <c r="D1190" s="1" t="s">
        <v>143</v>
      </c>
      <c r="E1190">
        <v>2</v>
      </c>
      <c r="F1190" s="4">
        <v>1106.3499999999999</v>
      </c>
      <c r="G1190" s="3">
        <v>0.3</v>
      </c>
      <c r="H1190" s="4">
        <v>125.25</v>
      </c>
      <c r="I1190" t="str">
        <f>VLOOKUP(orders__17[[#This Row],[Customer_ID]],customers__2[#All],3,0)</f>
        <v>East</v>
      </c>
      <c r="J1190" t="str">
        <f>VLOOKUP(orders__17[[#This Row],[Customer_ID]],customers__2[#All],4,0)</f>
        <v>Corporate</v>
      </c>
      <c r="K1190" t="str">
        <f>VLOOKUP(orders__17[[#This Row],[Product_ID]],products[#All],3,0)</f>
        <v>Furniture</v>
      </c>
      <c r="L1190" s="1" t="str">
        <f>VLOOKUP(orders__17[[#This Row],[Product_ID]],products[#All],4,0)</f>
        <v>Shelf</v>
      </c>
      <c r="M1190" s="1" t="str">
        <f>VLOOKUP(orders__17[[#This Row],[Order_ID]],returns[#All],2,0)</f>
        <v>No</v>
      </c>
    </row>
    <row r="1191" spans="1:13" x14ac:dyDescent="0.3">
      <c r="A1191" s="1" t="s">
        <v>1497</v>
      </c>
      <c r="B1191" s="2">
        <v>44790</v>
      </c>
      <c r="C1191" s="1" t="s">
        <v>126</v>
      </c>
      <c r="D1191" s="1" t="s">
        <v>163</v>
      </c>
      <c r="E1191">
        <v>4</v>
      </c>
      <c r="F1191" s="4">
        <v>559.6</v>
      </c>
      <c r="G1191" s="3">
        <v>0.2</v>
      </c>
      <c r="H1191" s="4">
        <v>37.39</v>
      </c>
      <c r="I1191" t="str">
        <f>VLOOKUP(orders__17[[#This Row],[Customer_ID]],customers__2[#All],3,0)</f>
        <v>North</v>
      </c>
      <c r="J1191" t="str">
        <f>VLOOKUP(orders__17[[#This Row],[Customer_ID]],customers__2[#All],4,0)</f>
        <v>Consumer</v>
      </c>
      <c r="K1191" t="str">
        <f>VLOOKUP(orders__17[[#This Row],[Product_ID]],products[#All],3,0)</f>
        <v>Furniture</v>
      </c>
      <c r="L1191" s="1" t="str">
        <f>VLOOKUP(orders__17[[#This Row],[Product_ID]],products[#All],4,0)</f>
        <v>Table</v>
      </c>
      <c r="M1191" s="1" t="str">
        <f>VLOOKUP(orders__17[[#This Row],[Order_ID]],returns[#All],2,0)</f>
        <v>No</v>
      </c>
    </row>
    <row r="1192" spans="1:13" x14ac:dyDescent="0.3">
      <c r="A1192" s="1" t="s">
        <v>1498</v>
      </c>
      <c r="B1192" s="2">
        <v>45030</v>
      </c>
      <c r="C1192" s="1" t="s">
        <v>184</v>
      </c>
      <c r="D1192" s="1" t="s">
        <v>323</v>
      </c>
      <c r="E1192">
        <v>5</v>
      </c>
      <c r="F1192" s="4">
        <v>1051.1500000000001</v>
      </c>
      <c r="G1192" s="3">
        <v>0</v>
      </c>
      <c r="H1192" s="4">
        <v>122.98</v>
      </c>
      <c r="I1192" t="str">
        <f>VLOOKUP(orders__17[[#This Row],[Customer_ID]],customers__2[#All],3,0)</f>
        <v>East</v>
      </c>
      <c r="J1192" t="str">
        <f>VLOOKUP(orders__17[[#This Row],[Customer_ID]],customers__2[#All],4,0)</f>
        <v>Consumer</v>
      </c>
      <c r="K1192" t="str">
        <f>VLOOKUP(orders__17[[#This Row],[Product_ID]],products[#All],3,0)</f>
        <v>Technology</v>
      </c>
      <c r="L1192" s="1" t="str">
        <f>VLOOKUP(orders__17[[#This Row],[Product_ID]],products[#All],4,0)</f>
        <v>Tablet</v>
      </c>
      <c r="M1192" s="1" t="str">
        <f>VLOOKUP(orders__17[[#This Row],[Order_ID]],returns[#All],2,0)</f>
        <v>Yes</v>
      </c>
    </row>
    <row r="1193" spans="1:13" x14ac:dyDescent="0.3">
      <c r="A1193" s="1" t="s">
        <v>1499</v>
      </c>
      <c r="B1193" s="2">
        <v>45324</v>
      </c>
      <c r="C1193" s="1" t="s">
        <v>520</v>
      </c>
      <c r="D1193" s="1" t="s">
        <v>400</v>
      </c>
      <c r="E1193">
        <v>1</v>
      </c>
      <c r="F1193" s="4">
        <v>1391.28</v>
      </c>
      <c r="G1193" s="3">
        <v>0.1</v>
      </c>
      <c r="H1193" s="4">
        <v>386.85</v>
      </c>
      <c r="I1193" t="str">
        <f>VLOOKUP(orders__17[[#This Row],[Customer_ID]],customers__2[#All],3,0)</f>
        <v>West</v>
      </c>
      <c r="J1193" t="str">
        <f>VLOOKUP(orders__17[[#This Row],[Customer_ID]],customers__2[#All],4,0)</f>
        <v>Consumer</v>
      </c>
      <c r="K1193" t="str">
        <f>VLOOKUP(orders__17[[#This Row],[Product_ID]],products[#All],3,0)</f>
        <v>Office Supplies</v>
      </c>
      <c r="L1193" s="1" t="str">
        <f>VLOOKUP(orders__17[[#This Row],[Product_ID]],products[#All],4,0)</f>
        <v>Paper</v>
      </c>
      <c r="M1193" s="1" t="str">
        <f>VLOOKUP(orders__17[[#This Row],[Order_ID]],returns[#All],2,0)</f>
        <v>No</v>
      </c>
    </row>
    <row r="1194" spans="1:13" x14ac:dyDescent="0.3">
      <c r="A1194" s="1" t="s">
        <v>1500</v>
      </c>
      <c r="B1194" s="2">
        <v>44753</v>
      </c>
      <c r="C1194" s="1" t="s">
        <v>145</v>
      </c>
      <c r="D1194" s="1" t="s">
        <v>111</v>
      </c>
      <c r="E1194">
        <v>5</v>
      </c>
      <c r="F1194" s="4">
        <v>244.85</v>
      </c>
      <c r="G1194" s="3">
        <v>0.1</v>
      </c>
      <c r="H1194" s="4">
        <v>51</v>
      </c>
      <c r="I1194" t="str">
        <f>VLOOKUP(orders__17[[#This Row],[Customer_ID]],customers__2[#All],3,0)</f>
        <v>West</v>
      </c>
      <c r="J1194" t="str">
        <f>VLOOKUP(orders__17[[#This Row],[Customer_ID]],customers__2[#All],4,0)</f>
        <v>Corporate</v>
      </c>
      <c r="K1194" t="str">
        <f>VLOOKUP(orders__17[[#This Row],[Product_ID]],products[#All],3,0)</f>
        <v>Technology</v>
      </c>
      <c r="L1194" s="1" t="str">
        <f>VLOOKUP(orders__17[[#This Row],[Product_ID]],products[#All],4,0)</f>
        <v>Accessories</v>
      </c>
      <c r="M1194" s="1" t="str">
        <f>VLOOKUP(orders__17[[#This Row],[Order_ID]],returns[#All],2,0)</f>
        <v>No</v>
      </c>
    </row>
    <row r="1195" spans="1:13" x14ac:dyDescent="0.3">
      <c r="A1195" s="1" t="s">
        <v>1501</v>
      </c>
      <c r="B1195" s="2">
        <v>45136</v>
      </c>
      <c r="C1195" s="1" t="s">
        <v>1081</v>
      </c>
      <c r="D1195" s="1" t="s">
        <v>97</v>
      </c>
      <c r="E1195">
        <v>2</v>
      </c>
      <c r="F1195" s="4">
        <v>621.94000000000005</v>
      </c>
      <c r="G1195" s="3">
        <v>0.3</v>
      </c>
      <c r="H1195" s="4">
        <v>143.21</v>
      </c>
      <c r="I1195" t="str">
        <f>VLOOKUP(orders__17[[#This Row],[Customer_ID]],customers__2[#All],3,0)</f>
        <v>North</v>
      </c>
      <c r="J1195" t="str">
        <f>VLOOKUP(orders__17[[#This Row],[Customer_ID]],customers__2[#All],4,0)</f>
        <v>Home Office</v>
      </c>
      <c r="K1195" t="str">
        <f>VLOOKUP(orders__17[[#This Row],[Product_ID]],products[#All],3,0)</f>
        <v>Technology</v>
      </c>
      <c r="L1195" s="1" t="str">
        <f>VLOOKUP(orders__17[[#This Row],[Product_ID]],products[#All],4,0)</f>
        <v>Tablet</v>
      </c>
      <c r="M1195" s="1" t="str">
        <f>VLOOKUP(orders__17[[#This Row],[Order_ID]],returns[#All],2,0)</f>
        <v>No</v>
      </c>
    </row>
    <row r="1196" spans="1:13" x14ac:dyDescent="0.3">
      <c r="A1196" s="1" t="s">
        <v>1502</v>
      </c>
      <c r="B1196" s="2">
        <v>44932</v>
      </c>
      <c r="C1196" s="1" t="s">
        <v>244</v>
      </c>
      <c r="D1196" s="1" t="s">
        <v>147</v>
      </c>
      <c r="E1196">
        <v>5</v>
      </c>
      <c r="F1196" s="4">
        <v>1633.23</v>
      </c>
      <c r="G1196" s="3">
        <v>0.2</v>
      </c>
      <c r="H1196" s="4">
        <v>186.66</v>
      </c>
      <c r="I1196" t="str">
        <f>VLOOKUP(orders__17[[#This Row],[Customer_ID]],customers__2[#All],3,0)</f>
        <v>South</v>
      </c>
      <c r="J1196" t="str">
        <f>VLOOKUP(orders__17[[#This Row],[Customer_ID]],customers__2[#All],4,0)</f>
        <v>Corporate</v>
      </c>
      <c r="K1196" t="str">
        <f>VLOOKUP(orders__17[[#This Row],[Product_ID]],products[#All],3,0)</f>
        <v>Technology</v>
      </c>
      <c r="L1196" s="1" t="str">
        <f>VLOOKUP(orders__17[[#This Row],[Product_ID]],products[#All],4,0)</f>
        <v>Laptop</v>
      </c>
      <c r="M1196" s="1" t="str">
        <f>VLOOKUP(orders__17[[#This Row],[Order_ID]],returns[#All],2,0)</f>
        <v>No</v>
      </c>
    </row>
    <row r="1197" spans="1:13" x14ac:dyDescent="0.3">
      <c r="A1197" s="1" t="s">
        <v>1503</v>
      </c>
      <c r="B1197" s="2">
        <v>45344</v>
      </c>
      <c r="C1197" s="1" t="s">
        <v>662</v>
      </c>
      <c r="D1197" s="1" t="s">
        <v>107</v>
      </c>
      <c r="E1197">
        <v>1</v>
      </c>
      <c r="F1197" s="4">
        <v>973.36</v>
      </c>
      <c r="G1197" s="3">
        <v>0.3</v>
      </c>
      <c r="H1197" s="4">
        <v>223.72</v>
      </c>
      <c r="I1197" t="str">
        <f>VLOOKUP(orders__17[[#This Row],[Customer_ID]],customers__2[#All],3,0)</f>
        <v>North</v>
      </c>
      <c r="J1197" t="str">
        <f>VLOOKUP(orders__17[[#This Row],[Customer_ID]],customers__2[#All],4,0)</f>
        <v>Corporate</v>
      </c>
      <c r="K1197" t="str">
        <f>VLOOKUP(orders__17[[#This Row],[Product_ID]],products[#All],3,0)</f>
        <v>Office Supplies</v>
      </c>
      <c r="L1197" s="1" t="str">
        <f>VLOOKUP(orders__17[[#This Row],[Product_ID]],products[#All],4,0)</f>
        <v>Pen</v>
      </c>
      <c r="M1197" s="1" t="str">
        <f>VLOOKUP(orders__17[[#This Row],[Order_ID]],returns[#All],2,0)</f>
        <v>No</v>
      </c>
    </row>
    <row r="1198" spans="1:13" x14ac:dyDescent="0.3">
      <c r="A1198" s="1" t="s">
        <v>1504</v>
      </c>
      <c r="B1198" s="2">
        <v>45452</v>
      </c>
      <c r="C1198" s="1" t="s">
        <v>94</v>
      </c>
      <c r="D1198" s="1" t="s">
        <v>502</v>
      </c>
      <c r="E1198">
        <v>2</v>
      </c>
      <c r="F1198" s="4">
        <v>1138.5</v>
      </c>
      <c r="G1198" s="3">
        <v>0.1</v>
      </c>
      <c r="H1198" s="4">
        <v>64.930000000000007</v>
      </c>
      <c r="I1198" t="str">
        <f>VLOOKUP(orders__17[[#This Row],[Customer_ID]],customers__2[#All],3,0)</f>
        <v>North</v>
      </c>
      <c r="J1198" t="str">
        <f>VLOOKUP(orders__17[[#This Row],[Customer_ID]],customers__2[#All],4,0)</f>
        <v>Home Office</v>
      </c>
      <c r="K1198" t="str">
        <f>VLOOKUP(orders__17[[#This Row],[Product_ID]],products[#All],3,0)</f>
        <v>Furniture</v>
      </c>
      <c r="L1198" s="1" t="str">
        <f>VLOOKUP(orders__17[[#This Row],[Product_ID]],products[#All],4,0)</f>
        <v>Shelf</v>
      </c>
      <c r="M1198" s="1" t="str">
        <f>VLOOKUP(orders__17[[#This Row],[Order_ID]],returns[#All],2,0)</f>
        <v>No</v>
      </c>
    </row>
    <row r="1199" spans="1:13" x14ac:dyDescent="0.3">
      <c r="A1199" s="1" t="s">
        <v>1505</v>
      </c>
      <c r="B1199" s="2">
        <v>44898</v>
      </c>
      <c r="C1199" s="1" t="s">
        <v>69</v>
      </c>
      <c r="D1199" s="1" t="s">
        <v>218</v>
      </c>
      <c r="E1199">
        <v>5</v>
      </c>
      <c r="F1199" s="4">
        <v>922.35</v>
      </c>
      <c r="G1199" s="3">
        <v>0.2</v>
      </c>
      <c r="H1199" s="4">
        <v>132.66</v>
      </c>
      <c r="I1199" t="str">
        <f>VLOOKUP(orders__17[[#This Row],[Customer_ID]],customers__2[#All],3,0)</f>
        <v>West</v>
      </c>
      <c r="J1199" t="str">
        <f>VLOOKUP(orders__17[[#This Row],[Customer_ID]],customers__2[#All],4,0)</f>
        <v>Corporate</v>
      </c>
      <c r="K1199" t="str">
        <f>VLOOKUP(orders__17[[#This Row],[Product_ID]],products[#All],3,0)</f>
        <v>Office Supplies</v>
      </c>
      <c r="L1199" s="1" t="str">
        <f>VLOOKUP(orders__17[[#This Row],[Product_ID]],products[#All],4,0)</f>
        <v>Storage</v>
      </c>
      <c r="M1199" s="1" t="str">
        <f>VLOOKUP(orders__17[[#This Row],[Order_ID]],returns[#All],2,0)</f>
        <v>Yes</v>
      </c>
    </row>
    <row r="1200" spans="1:13" x14ac:dyDescent="0.3">
      <c r="A1200" s="1" t="s">
        <v>1506</v>
      </c>
      <c r="B1200" s="2">
        <v>44723</v>
      </c>
      <c r="C1200" s="1" t="s">
        <v>319</v>
      </c>
      <c r="D1200" s="1" t="s">
        <v>372</v>
      </c>
      <c r="E1200">
        <v>4</v>
      </c>
      <c r="F1200" s="4">
        <v>183.41</v>
      </c>
      <c r="G1200" s="3">
        <v>0</v>
      </c>
      <c r="H1200" s="4">
        <v>37.909999999999997</v>
      </c>
      <c r="I1200" t="str">
        <f>VLOOKUP(orders__17[[#This Row],[Customer_ID]],customers__2[#All],3,0)</f>
        <v>East</v>
      </c>
      <c r="J1200" t="str">
        <f>VLOOKUP(orders__17[[#This Row],[Customer_ID]],customers__2[#All],4,0)</f>
        <v>Consumer</v>
      </c>
      <c r="K1200" t="str">
        <f>VLOOKUP(orders__17[[#This Row],[Product_ID]],products[#All],3,0)</f>
        <v>Furniture</v>
      </c>
      <c r="L1200" s="1" t="str">
        <f>VLOOKUP(orders__17[[#This Row],[Product_ID]],products[#All],4,0)</f>
        <v>Shelf</v>
      </c>
      <c r="M1200" s="1" t="str">
        <f>VLOOKUP(orders__17[[#This Row],[Order_ID]],returns[#All],2,0)</f>
        <v>No</v>
      </c>
    </row>
    <row r="1201" spans="1:13" x14ac:dyDescent="0.3">
      <c r="A1201" s="1" t="s">
        <v>1507</v>
      </c>
      <c r="B1201" s="2">
        <v>45230</v>
      </c>
      <c r="C1201" s="1" t="s">
        <v>158</v>
      </c>
      <c r="D1201" s="1" t="s">
        <v>163</v>
      </c>
      <c r="E1201">
        <v>2</v>
      </c>
      <c r="F1201" s="4">
        <v>414.92</v>
      </c>
      <c r="G1201" s="3">
        <v>0.2</v>
      </c>
      <c r="H1201" s="4">
        <v>35.9</v>
      </c>
      <c r="I1201" t="str">
        <f>VLOOKUP(orders__17[[#This Row],[Customer_ID]],customers__2[#All],3,0)</f>
        <v>West</v>
      </c>
      <c r="J1201" t="str">
        <f>VLOOKUP(orders__17[[#This Row],[Customer_ID]],customers__2[#All],4,0)</f>
        <v>Corporate</v>
      </c>
      <c r="K1201" t="str">
        <f>VLOOKUP(orders__17[[#This Row],[Product_ID]],products[#All],3,0)</f>
        <v>Furniture</v>
      </c>
      <c r="L1201" s="1" t="str">
        <f>VLOOKUP(orders__17[[#This Row],[Product_ID]],products[#All],4,0)</f>
        <v>Table</v>
      </c>
      <c r="M1201" s="1" t="str">
        <f>VLOOKUP(orders__17[[#This Row],[Order_ID]],returns[#All],2,0)</f>
        <v>No</v>
      </c>
    </row>
    <row r="1202" spans="1:13" x14ac:dyDescent="0.3">
      <c r="A1202" s="1" t="s">
        <v>1508</v>
      </c>
      <c r="B1202" s="2">
        <v>45245</v>
      </c>
      <c r="C1202" s="1" t="s">
        <v>598</v>
      </c>
      <c r="D1202" s="1" t="s">
        <v>770</v>
      </c>
      <c r="E1202">
        <v>2</v>
      </c>
      <c r="F1202" s="4">
        <v>946.53</v>
      </c>
      <c r="G1202" s="3">
        <v>0.1</v>
      </c>
      <c r="H1202" s="4">
        <v>242.08</v>
      </c>
      <c r="I1202" t="str">
        <f>VLOOKUP(orders__17[[#This Row],[Customer_ID]],customers__2[#All],3,0)</f>
        <v>South</v>
      </c>
      <c r="J1202" t="str">
        <f>VLOOKUP(orders__17[[#This Row],[Customer_ID]],customers__2[#All],4,0)</f>
        <v>Home Office</v>
      </c>
      <c r="K1202" t="str">
        <f>VLOOKUP(orders__17[[#This Row],[Product_ID]],products[#All],3,0)</f>
        <v>Technology</v>
      </c>
      <c r="L1202" s="1" t="str">
        <f>VLOOKUP(orders__17[[#This Row],[Product_ID]],products[#All],4,0)</f>
        <v>Accessories</v>
      </c>
      <c r="M1202" s="1" t="str">
        <f>VLOOKUP(orders__17[[#This Row],[Order_ID]],returns[#All],2,0)</f>
        <v>No</v>
      </c>
    </row>
    <row r="1203" spans="1:13" x14ac:dyDescent="0.3">
      <c r="A1203" s="1" t="s">
        <v>1509</v>
      </c>
      <c r="B1203" s="2">
        <v>44851</v>
      </c>
      <c r="C1203" s="1" t="s">
        <v>268</v>
      </c>
      <c r="D1203" s="1" t="s">
        <v>86</v>
      </c>
      <c r="E1203">
        <v>4</v>
      </c>
      <c r="F1203" s="4">
        <v>497.45</v>
      </c>
      <c r="G1203" s="3">
        <v>0</v>
      </c>
      <c r="H1203" s="4">
        <v>54.1</v>
      </c>
      <c r="I1203" t="str">
        <f>VLOOKUP(orders__17[[#This Row],[Customer_ID]],customers__2[#All],3,0)</f>
        <v>East</v>
      </c>
      <c r="J1203" t="str">
        <f>VLOOKUP(orders__17[[#This Row],[Customer_ID]],customers__2[#All],4,0)</f>
        <v>Consumer</v>
      </c>
      <c r="K1203" t="str">
        <f>VLOOKUP(orders__17[[#This Row],[Product_ID]],products[#All],3,0)</f>
        <v>Furniture</v>
      </c>
      <c r="L1203" s="1" t="str">
        <f>VLOOKUP(orders__17[[#This Row],[Product_ID]],products[#All],4,0)</f>
        <v>Table</v>
      </c>
      <c r="M1203" s="1" t="str">
        <f>VLOOKUP(orders__17[[#This Row],[Order_ID]],returns[#All],2,0)</f>
        <v>No</v>
      </c>
    </row>
    <row r="1204" spans="1:13" x14ac:dyDescent="0.3">
      <c r="A1204" s="1" t="s">
        <v>1510</v>
      </c>
      <c r="B1204" s="2">
        <v>44607</v>
      </c>
      <c r="C1204" s="1" t="s">
        <v>12</v>
      </c>
      <c r="D1204" s="1" t="s">
        <v>25</v>
      </c>
      <c r="E1204">
        <v>3</v>
      </c>
      <c r="F1204" s="4">
        <v>194.96</v>
      </c>
      <c r="G1204" s="3">
        <v>0.2</v>
      </c>
      <c r="H1204" s="4">
        <v>41.54</v>
      </c>
      <c r="I1204" t="str">
        <f>VLOOKUP(orders__17[[#This Row],[Customer_ID]],customers__2[#All],3,0)</f>
        <v>West</v>
      </c>
      <c r="J1204" t="str">
        <f>VLOOKUP(orders__17[[#This Row],[Customer_ID]],customers__2[#All],4,0)</f>
        <v>Home Office</v>
      </c>
      <c r="K1204" t="str">
        <f>VLOOKUP(orders__17[[#This Row],[Product_ID]],products[#All],3,0)</f>
        <v>Office Supplies</v>
      </c>
      <c r="L1204" s="1" t="str">
        <f>VLOOKUP(orders__17[[#This Row],[Product_ID]],products[#All],4,0)</f>
        <v>Paper</v>
      </c>
      <c r="M1204" s="1" t="str">
        <f>VLOOKUP(orders__17[[#This Row],[Order_ID]],returns[#All],2,0)</f>
        <v>No</v>
      </c>
    </row>
    <row r="1205" spans="1:13" x14ac:dyDescent="0.3">
      <c r="A1205" s="1" t="s">
        <v>1511</v>
      </c>
      <c r="B1205" s="2">
        <v>45311</v>
      </c>
      <c r="C1205" s="1" t="s">
        <v>134</v>
      </c>
      <c r="D1205" s="1" t="s">
        <v>127</v>
      </c>
      <c r="E1205">
        <v>1</v>
      </c>
      <c r="F1205" s="4">
        <v>1702.93</v>
      </c>
      <c r="G1205" s="3">
        <v>0</v>
      </c>
      <c r="H1205" s="4">
        <v>257.64999999999998</v>
      </c>
      <c r="I1205" t="str">
        <f>VLOOKUP(orders__17[[#This Row],[Customer_ID]],customers__2[#All],3,0)</f>
        <v>West</v>
      </c>
      <c r="J1205" t="str">
        <f>VLOOKUP(orders__17[[#This Row],[Customer_ID]],customers__2[#All],4,0)</f>
        <v>Home Office</v>
      </c>
      <c r="K1205" t="str">
        <f>VLOOKUP(orders__17[[#This Row],[Product_ID]],products[#All],3,0)</f>
        <v>Furniture</v>
      </c>
      <c r="L1205" s="1" t="str">
        <f>VLOOKUP(orders__17[[#This Row],[Product_ID]],products[#All],4,0)</f>
        <v>Chair</v>
      </c>
      <c r="M1205" s="1" t="str">
        <f>VLOOKUP(orders__17[[#This Row],[Order_ID]],returns[#All],2,0)</f>
        <v>Yes</v>
      </c>
    </row>
    <row r="1206" spans="1:13" x14ac:dyDescent="0.3">
      <c r="A1206" s="1" t="s">
        <v>1512</v>
      </c>
      <c r="B1206" s="2">
        <v>45056</v>
      </c>
      <c r="C1206" s="1" t="s">
        <v>406</v>
      </c>
      <c r="D1206" s="1" t="s">
        <v>679</v>
      </c>
      <c r="E1206">
        <v>3</v>
      </c>
      <c r="F1206" s="4">
        <v>1964.27</v>
      </c>
      <c r="G1206" s="3">
        <v>0</v>
      </c>
      <c r="H1206" s="4">
        <v>390.91</v>
      </c>
      <c r="I1206" t="str">
        <f>VLOOKUP(orders__17[[#This Row],[Customer_ID]],customers__2[#All],3,0)</f>
        <v>East</v>
      </c>
      <c r="J1206" t="str">
        <f>VLOOKUP(orders__17[[#This Row],[Customer_ID]],customers__2[#All],4,0)</f>
        <v>Home Office</v>
      </c>
      <c r="K1206" t="str">
        <f>VLOOKUP(orders__17[[#This Row],[Product_ID]],products[#All],3,0)</f>
        <v>Office Supplies</v>
      </c>
      <c r="L1206" s="1" t="str">
        <f>VLOOKUP(orders__17[[#This Row],[Product_ID]],products[#All],4,0)</f>
        <v>Paper</v>
      </c>
      <c r="M1206" s="1" t="str">
        <f>VLOOKUP(orders__17[[#This Row],[Order_ID]],returns[#All],2,0)</f>
        <v>No</v>
      </c>
    </row>
    <row r="1207" spans="1:13" x14ac:dyDescent="0.3">
      <c r="A1207" s="1" t="s">
        <v>1513</v>
      </c>
      <c r="B1207" s="2">
        <v>45359</v>
      </c>
      <c r="C1207" s="1" t="s">
        <v>673</v>
      </c>
      <c r="D1207" s="1" t="s">
        <v>341</v>
      </c>
      <c r="E1207">
        <v>5</v>
      </c>
      <c r="F1207" s="4">
        <v>1606.97</v>
      </c>
      <c r="G1207" s="3">
        <v>0.1</v>
      </c>
      <c r="H1207" s="4">
        <v>123.52</v>
      </c>
      <c r="I1207" t="str">
        <f>VLOOKUP(orders__17[[#This Row],[Customer_ID]],customers__2[#All],3,0)</f>
        <v>West</v>
      </c>
      <c r="J1207" t="str">
        <f>VLOOKUP(orders__17[[#This Row],[Customer_ID]],customers__2[#All],4,0)</f>
        <v>Consumer</v>
      </c>
      <c r="K1207" t="str">
        <f>VLOOKUP(orders__17[[#This Row],[Product_ID]],products[#All],3,0)</f>
        <v>Technology</v>
      </c>
      <c r="L1207" s="1" t="str">
        <f>VLOOKUP(orders__17[[#This Row],[Product_ID]],products[#All],4,0)</f>
        <v>Phone</v>
      </c>
      <c r="M1207" s="1" t="str">
        <f>VLOOKUP(orders__17[[#This Row],[Order_ID]],returns[#All],2,0)</f>
        <v>Yes</v>
      </c>
    </row>
    <row r="1208" spans="1:13" x14ac:dyDescent="0.3">
      <c r="A1208" s="1" t="s">
        <v>1514</v>
      </c>
      <c r="B1208" s="2">
        <v>45246</v>
      </c>
      <c r="C1208" s="1" t="s">
        <v>843</v>
      </c>
      <c r="D1208" s="1" t="s">
        <v>119</v>
      </c>
      <c r="E1208">
        <v>4</v>
      </c>
      <c r="F1208" s="4">
        <v>1722.19</v>
      </c>
      <c r="G1208" s="3">
        <v>0</v>
      </c>
      <c r="H1208" s="4">
        <v>93.39</v>
      </c>
      <c r="I1208" t="str">
        <f>VLOOKUP(orders__17[[#This Row],[Customer_ID]],customers__2[#All],3,0)</f>
        <v>North</v>
      </c>
      <c r="J1208" t="str">
        <f>VLOOKUP(orders__17[[#This Row],[Customer_ID]],customers__2[#All],4,0)</f>
        <v>Consumer</v>
      </c>
      <c r="K1208" t="str">
        <f>VLOOKUP(orders__17[[#This Row],[Product_ID]],products[#All],3,0)</f>
        <v>Technology</v>
      </c>
      <c r="L1208" s="1" t="str">
        <f>VLOOKUP(orders__17[[#This Row],[Product_ID]],products[#All],4,0)</f>
        <v>Tablet</v>
      </c>
      <c r="M1208" s="1" t="str">
        <f>VLOOKUP(orders__17[[#This Row],[Order_ID]],returns[#All],2,0)</f>
        <v>No</v>
      </c>
    </row>
    <row r="1209" spans="1:13" x14ac:dyDescent="0.3">
      <c r="A1209" s="1" t="s">
        <v>1515</v>
      </c>
      <c r="B1209" s="2">
        <v>44731</v>
      </c>
      <c r="C1209" s="1" t="s">
        <v>182</v>
      </c>
      <c r="D1209" s="1" t="s">
        <v>603</v>
      </c>
      <c r="E1209">
        <v>3</v>
      </c>
      <c r="F1209" s="4">
        <v>559.76</v>
      </c>
      <c r="G1209" s="3">
        <v>0.3</v>
      </c>
      <c r="H1209" s="4">
        <v>155.27000000000001</v>
      </c>
      <c r="I1209" t="str">
        <f>VLOOKUP(orders__17[[#This Row],[Customer_ID]],customers__2[#All],3,0)</f>
        <v>South</v>
      </c>
      <c r="J1209" t="str">
        <f>VLOOKUP(orders__17[[#This Row],[Customer_ID]],customers__2[#All],4,0)</f>
        <v>Consumer</v>
      </c>
      <c r="K1209" t="str">
        <f>VLOOKUP(orders__17[[#This Row],[Product_ID]],products[#All],3,0)</f>
        <v>Technology</v>
      </c>
      <c r="L1209" s="1" t="str">
        <f>VLOOKUP(orders__17[[#This Row],[Product_ID]],products[#All],4,0)</f>
        <v>Accessories</v>
      </c>
      <c r="M1209" s="1" t="str">
        <f>VLOOKUP(orders__17[[#This Row],[Order_ID]],returns[#All],2,0)</f>
        <v>No</v>
      </c>
    </row>
    <row r="1210" spans="1:13" x14ac:dyDescent="0.3">
      <c r="A1210" s="1" t="s">
        <v>1516</v>
      </c>
      <c r="B1210" s="2">
        <v>44966</v>
      </c>
      <c r="C1210" s="1" t="s">
        <v>338</v>
      </c>
      <c r="D1210" s="1" t="s">
        <v>139</v>
      </c>
      <c r="E1210">
        <v>2</v>
      </c>
      <c r="F1210" s="4">
        <v>1925.19</v>
      </c>
      <c r="G1210" s="3">
        <v>0.1</v>
      </c>
      <c r="H1210" s="4">
        <v>226.03</v>
      </c>
      <c r="I1210" t="str">
        <f>VLOOKUP(orders__17[[#This Row],[Customer_ID]],customers__2[#All],3,0)</f>
        <v>East</v>
      </c>
      <c r="J1210" t="str">
        <f>VLOOKUP(orders__17[[#This Row],[Customer_ID]],customers__2[#All],4,0)</f>
        <v>Corporate</v>
      </c>
      <c r="K1210" t="str">
        <f>VLOOKUP(orders__17[[#This Row],[Product_ID]],products[#All],3,0)</f>
        <v>Furniture</v>
      </c>
      <c r="L1210" s="1" t="str">
        <f>VLOOKUP(orders__17[[#This Row],[Product_ID]],products[#All],4,0)</f>
        <v>Table</v>
      </c>
      <c r="M1210" s="1" t="str">
        <f>VLOOKUP(orders__17[[#This Row],[Order_ID]],returns[#All],2,0)</f>
        <v>No</v>
      </c>
    </row>
    <row r="1211" spans="1:13" x14ac:dyDescent="0.3">
      <c r="A1211" s="1" t="s">
        <v>1517</v>
      </c>
      <c r="B1211" s="2">
        <v>44740</v>
      </c>
      <c r="C1211" s="1" t="s">
        <v>569</v>
      </c>
      <c r="D1211" s="1" t="s">
        <v>757</v>
      </c>
      <c r="E1211">
        <v>5</v>
      </c>
      <c r="F1211" s="4">
        <v>474.16</v>
      </c>
      <c r="G1211" s="3">
        <v>0.3</v>
      </c>
      <c r="H1211" s="4">
        <v>120.87</v>
      </c>
      <c r="I1211" t="str">
        <f>VLOOKUP(orders__17[[#This Row],[Customer_ID]],customers__2[#All],3,0)</f>
        <v>West</v>
      </c>
      <c r="J1211" t="str">
        <f>VLOOKUP(orders__17[[#This Row],[Customer_ID]],customers__2[#All],4,0)</f>
        <v>Consumer</v>
      </c>
      <c r="K1211" t="str">
        <f>VLOOKUP(orders__17[[#This Row],[Product_ID]],products[#All],3,0)</f>
        <v>Office Supplies</v>
      </c>
      <c r="L1211" s="1" t="str">
        <f>VLOOKUP(orders__17[[#This Row],[Product_ID]],products[#All],4,0)</f>
        <v>Pen</v>
      </c>
      <c r="M1211" s="1" t="str">
        <f>VLOOKUP(orders__17[[#This Row],[Order_ID]],returns[#All],2,0)</f>
        <v>No</v>
      </c>
    </row>
    <row r="1212" spans="1:13" x14ac:dyDescent="0.3">
      <c r="A1212" s="1" t="s">
        <v>1518</v>
      </c>
      <c r="B1212" s="2">
        <v>45064</v>
      </c>
      <c r="C1212" s="1" t="s">
        <v>300</v>
      </c>
      <c r="D1212" s="1" t="s">
        <v>107</v>
      </c>
      <c r="E1212">
        <v>5</v>
      </c>
      <c r="F1212" s="4">
        <v>1907.72</v>
      </c>
      <c r="G1212" s="3">
        <v>0</v>
      </c>
      <c r="H1212" s="4">
        <v>572.01</v>
      </c>
      <c r="I1212" t="str">
        <f>VLOOKUP(orders__17[[#This Row],[Customer_ID]],customers__2[#All],3,0)</f>
        <v>East</v>
      </c>
      <c r="J1212" t="str">
        <f>VLOOKUP(orders__17[[#This Row],[Customer_ID]],customers__2[#All],4,0)</f>
        <v>Home Office</v>
      </c>
      <c r="K1212" t="str">
        <f>VLOOKUP(orders__17[[#This Row],[Product_ID]],products[#All],3,0)</f>
        <v>Office Supplies</v>
      </c>
      <c r="L1212" s="1" t="str">
        <f>VLOOKUP(orders__17[[#This Row],[Product_ID]],products[#All],4,0)</f>
        <v>Pen</v>
      </c>
      <c r="M1212" s="1" t="str">
        <f>VLOOKUP(orders__17[[#This Row],[Order_ID]],returns[#All],2,0)</f>
        <v>Yes</v>
      </c>
    </row>
    <row r="1213" spans="1:13" x14ac:dyDescent="0.3">
      <c r="A1213" s="1" t="s">
        <v>1519</v>
      </c>
      <c r="B1213" s="2">
        <v>44730</v>
      </c>
      <c r="C1213" s="1" t="s">
        <v>404</v>
      </c>
      <c r="D1213" s="1" t="s">
        <v>361</v>
      </c>
      <c r="E1213">
        <v>3</v>
      </c>
      <c r="F1213" s="4">
        <v>1990.16</v>
      </c>
      <c r="G1213" s="3">
        <v>0.3</v>
      </c>
      <c r="H1213" s="4">
        <v>204.7</v>
      </c>
      <c r="I1213" t="str">
        <f>VLOOKUP(orders__17[[#This Row],[Customer_ID]],customers__2[#All],3,0)</f>
        <v>West</v>
      </c>
      <c r="J1213" t="str">
        <f>VLOOKUP(orders__17[[#This Row],[Customer_ID]],customers__2[#All],4,0)</f>
        <v>Home Office</v>
      </c>
      <c r="K1213" t="str">
        <f>VLOOKUP(orders__17[[#This Row],[Product_ID]],products[#All],3,0)</f>
        <v>Furniture</v>
      </c>
      <c r="L1213" s="1" t="str">
        <f>VLOOKUP(orders__17[[#This Row],[Product_ID]],products[#All],4,0)</f>
        <v>Shelf</v>
      </c>
      <c r="M1213" s="1" t="str">
        <f>VLOOKUP(orders__17[[#This Row],[Order_ID]],returns[#All],2,0)</f>
        <v>No</v>
      </c>
    </row>
    <row r="1214" spans="1:13" x14ac:dyDescent="0.3">
      <c r="A1214" s="1" t="s">
        <v>1520</v>
      </c>
      <c r="B1214" s="2">
        <v>44566</v>
      </c>
      <c r="C1214" s="1" t="s">
        <v>1143</v>
      </c>
      <c r="D1214" s="1" t="s">
        <v>451</v>
      </c>
      <c r="E1214">
        <v>3</v>
      </c>
      <c r="F1214" s="4">
        <v>1452.27</v>
      </c>
      <c r="G1214" s="3">
        <v>0.2</v>
      </c>
      <c r="H1214" s="4">
        <v>168.89</v>
      </c>
      <c r="I1214" t="str">
        <f>VLOOKUP(orders__17[[#This Row],[Customer_ID]],customers__2[#All],3,0)</f>
        <v>West</v>
      </c>
      <c r="J1214" t="str">
        <f>VLOOKUP(orders__17[[#This Row],[Customer_ID]],customers__2[#All],4,0)</f>
        <v>Corporate</v>
      </c>
      <c r="K1214" t="str">
        <f>VLOOKUP(orders__17[[#This Row],[Product_ID]],products[#All],3,0)</f>
        <v>Technology</v>
      </c>
      <c r="L1214" s="1" t="str">
        <f>VLOOKUP(orders__17[[#This Row],[Product_ID]],products[#All],4,0)</f>
        <v>Laptop</v>
      </c>
      <c r="M1214" s="1" t="str">
        <f>VLOOKUP(orders__17[[#This Row],[Order_ID]],returns[#All],2,0)</f>
        <v>No</v>
      </c>
    </row>
    <row r="1215" spans="1:13" x14ac:dyDescent="0.3">
      <c r="A1215" s="1" t="s">
        <v>1521</v>
      </c>
      <c r="B1215" s="2">
        <v>44703</v>
      </c>
      <c r="C1215" s="1" t="s">
        <v>115</v>
      </c>
      <c r="D1215" s="1" t="s">
        <v>209</v>
      </c>
      <c r="E1215">
        <v>4</v>
      </c>
      <c r="F1215" s="4">
        <v>1964.17</v>
      </c>
      <c r="G1215" s="3">
        <v>0</v>
      </c>
      <c r="H1215" s="4">
        <v>423.7</v>
      </c>
      <c r="I1215" t="str">
        <f>VLOOKUP(orders__17[[#This Row],[Customer_ID]],customers__2[#All],3,0)</f>
        <v>South</v>
      </c>
      <c r="J1215" t="str">
        <f>VLOOKUP(orders__17[[#This Row],[Customer_ID]],customers__2[#All],4,0)</f>
        <v>Consumer</v>
      </c>
      <c r="K1215" t="str">
        <f>VLOOKUP(orders__17[[#This Row],[Product_ID]],products[#All],3,0)</f>
        <v>Office Supplies</v>
      </c>
      <c r="L1215" s="1" t="str">
        <f>VLOOKUP(orders__17[[#This Row],[Product_ID]],products[#All],4,0)</f>
        <v>Paper</v>
      </c>
      <c r="M1215" s="1" t="str">
        <f>VLOOKUP(orders__17[[#This Row],[Order_ID]],returns[#All],2,0)</f>
        <v>No</v>
      </c>
    </row>
    <row r="1216" spans="1:13" x14ac:dyDescent="0.3">
      <c r="A1216" s="1" t="s">
        <v>1522</v>
      </c>
      <c r="B1216" s="2">
        <v>44816</v>
      </c>
      <c r="C1216" s="1" t="s">
        <v>96</v>
      </c>
      <c r="D1216" s="1" t="s">
        <v>278</v>
      </c>
      <c r="E1216">
        <v>1</v>
      </c>
      <c r="F1216" s="4">
        <v>1182.1300000000001</v>
      </c>
      <c r="G1216" s="3">
        <v>0.2</v>
      </c>
      <c r="H1216" s="4">
        <v>344.43</v>
      </c>
      <c r="I1216" t="str">
        <f>VLOOKUP(orders__17[[#This Row],[Customer_ID]],customers__2[#All],3,0)</f>
        <v>West</v>
      </c>
      <c r="J1216" t="str">
        <f>VLOOKUP(orders__17[[#This Row],[Customer_ID]],customers__2[#All],4,0)</f>
        <v>Corporate</v>
      </c>
      <c r="K1216" t="str">
        <f>VLOOKUP(orders__17[[#This Row],[Product_ID]],products[#All],3,0)</f>
        <v>Office Supplies</v>
      </c>
      <c r="L1216" s="1" t="str">
        <f>VLOOKUP(orders__17[[#This Row],[Product_ID]],products[#All],4,0)</f>
        <v>Pen</v>
      </c>
      <c r="M1216" s="1" t="str">
        <f>VLOOKUP(orders__17[[#This Row],[Order_ID]],returns[#All],2,0)</f>
        <v>No</v>
      </c>
    </row>
    <row r="1217" spans="1:13" x14ac:dyDescent="0.3">
      <c r="A1217" s="1" t="s">
        <v>1523</v>
      </c>
      <c r="B1217" s="2">
        <v>45415</v>
      </c>
      <c r="C1217" s="1" t="s">
        <v>169</v>
      </c>
      <c r="D1217" s="1" t="s">
        <v>502</v>
      </c>
      <c r="E1217">
        <v>3</v>
      </c>
      <c r="F1217" s="4">
        <v>593.13</v>
      </c>
      <c r="G1217" s="3">
        <v>0.3</v>
      </c>
      <c r="H1217" s="4">
        <v>165.46</v>
      </c>
      <c r="I1217" t="str">
        <f>VLOOKUP(orders__17[[#This Row],[Customer_ID]],customers__2[#All],3,0)</f>
        <v>East</v>
      </c>
      <c r="J1217" t="str">
        <f>VLOOKUP(orders__17[[#This Row],[Customer_ID]],customers__2[#All],4,0)</f>
        <v>Home Office</v>
      </c>
      <c r="K1217" t="str">
        <f>VLOOKUP(orders__17[[#This Row],[Product_ID]],products[#All],3,0)</f>
        <v>Furniture</v>
      </c>
      <c r="L1217" s="1" t="str">
        <f>VLOOKUP(orders__17[[#This Row],[Product_ID]],products[#All],4,0)</f>
        <v>Shelf</v>
      </c>
      <c r="M1217" s="1" t="str">
        <f>VLOOKUP(orders__17[[#This Row],[Order_ID]],returns[#All],2,0)</f>
        <v>No</v>
      </c>
    </row>
    <row r="1218" spans="1:13" x14ac:dyDescent="0.3">
      <c r="A1218" s="1" t="s">
        <v>1524</v>
      </c>
      <c r="B1218" s="2">
        <v>44967</v>
      </c>
      <c r="C1218" s="1" t="s">
        <v>902</v>
      </c>
      <c r="D1218" s="1" t="s">
        <v>67</v>
      </c>
      <c r="E1218">
        <v>3</v>
      </c>
      <c r="F1218" s="4">
        <v>930.29</v>
      </c>
      <c r="G1218" s="3">
        <v>0.2</v>
      </c>
      <c r="H1218" s="4">
        <v>163.47</v>
      </c>
      <c r="I1218" t="str">
        <f>VLOOKUP(orders__17[[#This Row],[Customer_ID]],customers__2[#All],3,0)</f>
        <v>West</v>
      </c>
      <c r="J1218" t="str">
        <f>VLOOKUP(orders__17[[#This Row],[Customer_ID]],customers__2[#All],4,0)</f>
        <v>Home Office</v>
      </c>
      <c r="K1218" t="str">
        <f>VLOOKUP(orders__17[[#This Row],[Product_ID]],products[#All],3,0)</f>
        <v>Furniture</v>
      </c>
      <c r="L1218" s="1" t="str">
        <f>VLOOKUP(orders__17[[#This Row],[Product_ID]],products[#All],4,0)</f>
        <v>Chair</v>
      </c>
      <c r="M1218" s="1" t="str">
        <f>VLOOKUP(orders__17[[#This Row],[Order_ID]],returns[#All],2,0)</f>
        <v>No</v>
      </c>
    </row>
    <row r="1219" spans="1:13" x14ac:dyDescent="0.3">
      <c r="A1219" s="1" t="s">
        <v>1525</v>
      </c>
      <c r="B1219" s="2">
        <v>45401</v>
      </c>
      <c r="C1219" s="1" t="s">
        <v>422</v>
      </c>
      <c r="D1219" s="1" t="s">
        <v>13</v>
      </c>
      <c r="E1219">
        <v>2</v>
      </c>
      <c r="F1219" s="4">
        <v>1227.77</v>
      </c>
      <c r="G1219" s="3">
        <v>0</v>
      </c>
      <c r="H1219" s="4">
        <v>305.44</v>
      </c>
      <c r="I1219" t="str">
        <f>VLOOKUP(orders__17[[#This Row],[Customer_ID]],customers__2[#All],3,0)</f>
        <v>East</v>
      </c>
      <c r="J1219" t="str">
        <f>VLOOKUP(orders__17[[#This Row],[Customer_ID]],customers__2[#All],4,0)</f>
        <v>Home Office</v>
      </c>
      <c r="K1219" t="str">
        <f>VLOOKUP(orders__17[[#This Row],[Product_ID]],products[#All],3,0)</f>
        <v>Furniture</v>
      </c>
      <c r="L1219" s="1" t="str">
        <f>VLOOKUP(orders__17[[#This Row],[Product_ID]],products[#All],4,0)</f>
        <v>Desk</v>
      </c>
      <c r="M1219" s="1" t="str">
        <f>VLOOKUP(orders__17[[#This Row],[Order_ID]],returns[#All],2,0)</f>
        <v>Yes</v>
      </c>
    </row>
    <row r="1220" spans="1:13" x14ac:dyDescent="0.3">
      <c r="A1220" s="1" t="s">
        <v>1526</v>
      </c>
      <c r="B1220" s="2">
        <v>44902</v>
      </c>
      <c r="C1220" s="1" t="s">
        <v>412</v>
      </c>
      <c r="D1220" s="1" t="s">
        <v>156</v>
      </c>
      <c r="E1220">
        <v>5</v>
      </c>
      <c r="F1220" s="4">
        <v>238.85</v>
      </c>
      <c r="G1220" s="3">
        <v>0.2</v>
      </c>
      <c r="H1220" s="4">
        <v>20.05</v>
      </c>
      <c r="I1220" t="str">
        <f>VLOOKUP(orders__17[[#This Row],[Customer_ID]],customers__2[#All],3,0)</f>
        <v>North</v>
      </c>
      <c r="J1220" t="str">
        <f>VLOOKUP(orders__17[[#This Row],[Customer_ID]],customers__2[#All],4,0)</f>
        <v>Consumer</v>
      </c>
      <c r="K1220" t="str">
        <f>VLOOKUP(orders__17[[#This Row],[Product_ID]],products[#All],3,0)</f>
        <v>Furniture</v>
      </c>
      <c r="L1220" s="1" t="str">
        <f>VLOOKUP(orders__17[[#This Row],[Product_ID]],products[#All],4,0)</f>
        <v>Desk</v>
      </c>
      <c r="M1220" s="1" t="str">
        <f>VLOOKUP(orders__17[[#This Row],[Order_ID]],returns[#All],2,0)</f>
        <v>No</v>
      </c>
    </row>
    <row r="1221" spans="1:13" x14ac:dyDescent="0.3">
      <c r="A1221" s="1" t="s">
        <v>1527</v>
      </c>
      <c r="B1221" s="2">
        <v>45155</v>
      </c>
      <c r="C1221" s="1" t="s">
        <v>598</v>
      </c>
      <c r="D1221" s="1" t="s">
        <v>221</v>
      </c>
      <c r="E1221">
        <v>1</v>
      </c>
      <c r="F1221" s="4">
        <v>1282.45</v>
      </c>
      <c r="G1221" s="3">
        <v>0.3</v>
      </c>
      <c r="H1221" s="4">
        <v>377.5</v>
      </c>
      <c r="I1221" t="str">
        <f>VLOOKUP(orders__17[[#This Row],[Customer_ID]],customers__2[#All],3,0)</f>
        <v>South</v>
      </c>
      <c r="J1221" t="str">
        <f>VLOOKUP(orders__17[[#This Row],[Customer_ID]],customers__2[#All],4,0)</f>
        <v>Home Office</v>
      </c>
      <c r="K1221" t="str">
        <f>VLOOKUP(orders__17[[#This Row],[Product_ID]],products[#All],3,0)</f>
        <v>Technology</v>
      </c>
      <c r="L1221" s="1" t="str">
        <f>VLOOKUP(orders__17[[#This Row],[Product_ID]],products[#All],4,0)</f>
        <v>Laptop</v>
      </c>
      <c r="M1221" s="1" t="str">
        <f>VLOOKUP(orders__17[[#This Row],[Order_ID]],returns[#All],2,0)</f>
        <v>Yes</v>
      </c>
    </row>
    <row r="1222" spans="1:13" x14ac:dyDescent="0.3">
      <c r="A1222" s="1" t="s">
        <v>1528</v>
      </c>
      <c r="B1222" s="2">
        <v>45044</v>
      </c>
      <c r="C1222" s="1" t="s">
        <v>184</v>
      </c>
      <c r="D1222" s="1" t="s">
        <v>727</v>
      </c>
      <c r="E1222">
        <v>2</v>
      </c>
      <c r="F1222" s="4">
        <v>1964.24</v>
      </c>
      <c r="G1222" s="3">
        <v>0.3</v>
      </c>
      <c r="H1222" s="4">
        <v>571.77</v>
      </c>
      <c r="I1222" t="str">
        <f>VLOOKUP(orders__17[[#This Row],[Customer_ID]],customers__2[#All],3,0)</f>
        <v>East</v>
      </c>
      <c r="J1222" t="str">
        <f>VLOOKUP(orders__17[[#This Row],[Customer_ID]],customers__2[#All],4,0)</f>
        <v>Consumer</v>
      </c>
      <c r="K1222" t="str">
        <f>VLOOKUP(orders__17[[#This Row],[Product_ID]],products[#All],3,0)</f>
        <v>Furniture</v>
      </c>
      <c r="L1222" s="1" t="str">
        <f>VLOOKUP(orders__17[[#This Row],[Product_ID]],products[#All],4,0)</f>
        <v>Chair</v>
      </c>
      <c r="M1222" s="1" t="str">
        <f>VLOOKUP(orders__17[[#This Row],[Order_ID]],returns[#All],2,0)</f>
        <v>No</v>
      </c>
    </row>
    <row r="1223" spans="1:13" x14ac:dyDescent="0.3">
      <c r="A1223" s="1" t="s">
        <v>1529</v>
      </c>
      <c r="B1223" s="2">
        <v>44983</v>
      </c>
      <c r="C1223" s="1" t="s">
        <v>786</v>
      </c>
      <c r="D1223" s="1" t="s">
        <v>218</v>
      </c>
      <c r="E1223">
        <v>4</v>
      </c>
      <c r="F1223" s="4">
        <v>461.2</v>
      </c>
      <c r="G1223" s="3">
        <v>0.3</v>
      </c>
      <c r="H1223" s="4">
        <v>41.94</v>
      </c>
      <c r="I1223" t="str">
        <f>VLOOKUP(orders__17[[#This Row],[Customer_ID]],customers__2[#All],3,0)</f>
        <v>East</v>
      </c>
      <c r="J1223" t="str">
        <f>VLOOKUP(orders__17[[#This Row],[Customer_ID]],customers__2[#All],4,0)</f>
        <v>Corporate</v>
      </c>
      <c r="K1223" t="str">
        <f>VLOOKUP(orders__17[[#This Row],[Product_ID]],products[#All],3,0)</f>
        <v>Office Supplies</v>
      </c>
      <c r="L1223" s="1" t="str">
        <f>VLOOKUP(orders__17[[#This Row],[Product_ID]],products[#All],4,0)</f>
        <v>Storage</v>
      </c>
      <c r="M1223" s="1" t="str">
        <f>VLOOKUP(orders__17[[#This Row],[Order_ID]],returns[#All],2,0)</f>
        <v>No</v>
      </c>
    </row>
    <row r="1224" spans="1:13" x14ac:dyDescent="0.3">
      <c r="A1224" s="1" t="s">
        <v>1530</v>
      </c>
      <c r="B1224" s="2">
        <v>45171</v>
      </c>
      <c r="C1224" s="1" t="s">
        <v>691</v>
      </c>
      <c r="D1224" s="1" t="s">
        <v>156</v>
      </c>
      <c r="E1224">
        <v>4</v>
      </c>
      <c r="F1224" s="4">
        <v>1605.93</v>
      </c>
      <c r="G1224" s="3">
        <v>0</v>
      </c>
      <c r="H1224" s="4">
        <v>200.51</v>
      </c>
      <c r="I1224" t="str">
        <f>VLOOKUP(orders__17[[#This Row],[Customer_ID]],customers__2[#All],3,0)</f>
        <v>West</v>
      </c>
      <c r="J1224" t="str">
        <f>VLOOKUP(orders__17[[#This Row],[Customer_ID]],customers__2[#All],4,0)</f>
        <v>Corporate</v>
      </c>
      <c r="K1224" t="str">
        <f>VLOOKUP(orders__17[[#This Row],[Product_ID]],products[#All],3,0)</f>
        <v>Furniture</v>
      </c>
      <c r="L1224" s="1" t="str">
        <f>VLOOKUP(orders__17[[#This Row],[Product_ID]],products[#All],4,0)</f>
        <v>Desk</v>
      </c>
      <c r="M1224" s="1" t="str">
        <f>VLOOKUP(orders__17[[#This Row],[Order_ID]],returns[#All],2,0)</f>
        <v>Yes</v>
      </c>
    </row>
    <row r="1225" spans="1:13" x14ac:dyDescent="0.3">
      <c r="A1225" s="1" t="s">
        <v>1531</v>
      </c>
      <c r="B1225" s="2">
        <v>44845</v>
      </c>
      <c r="C1225" s="1" t="s">
        <v>739</v>
      </c>
      <c r="D1225" s="1" t="s">
        <v>48</v>
      </c>
      <c r="E1225">
        <v>3</v>
      </c>
      <c r="F1225" s="4">
        <v>1825.01</v>
      </c>
      <c r="G1225" s="3">
        <v>0.3</v>
      </c>
      <c r="H1225" s="4">
        <v>136.94999999999999</v>
      </c>
      <c r="I1225" t="str">
        <f>VLOOKUP(orders__17[[#This Row],[Customer_ID]],customers__2[#All],3,0)</f>
        <v>North</v>
      </c>
      <c r="J1225" t="str">
        <f>VLOOKUP(orders__17[[#This Row],[Customer_ID]],customers__2[#All],4,0)</f>
        <v>Consumer</v>
      </c>
      <c r="K1225" t="str">
        <f>VLOOKUP(orders__17[[#This Row],[Product_ID]],products[#All],3,0)</f>
        <v>Office Supplies</v>
      </c>
      <c r="L1225" s="1" t="str">
        <f>VLOOKUP(orders__17[[#This Row],[Product_ID]],products[#All],4,0)</f>
        <v>Pen</v>
      </c>
      <c r="M1225" s="1" t="str">
        <f>VLOOKUP(orders__17[[#This Row],[Order_ID]],returns[#All],2,0)</f>
        <v>Yes</v>
      </c>
    </row>
    <row r="1226" spans="1:13" x14ac:dyDescent="0.3">
      <c r="A1226" s="1" t="s">
        <v>1532</v>
      </c>
      <c r="B1226" s="2">
        <v>44790</v>
      </c>
      <c r="C1226" s="1" t="s">
        <v>198</v>
      </c>
      <c r="D1226" s="1" t="s">
        <v>59</v>
      </c>
      <c r="E1226">
        <v>3</v>
      </c>
      <c r="F1226" s="4">
        <v>1893.03</v>
      </c>
      <c r="G1226" s="3">
        <v>0</v>
      </c>
      <c r="H1226" s="4">
        <v>223.24</v>
      </c>
      <c r="I1226" t="str">
        <f>VLOOKUP(orders__17[[#This Row],[Customer_ID]],customers__2[#All],3,0)</f>
        <v>North</v>
      </c>
      <c r="J1226" t="str">
        <f>VLOOKUP(orders__17[[#This Row],[Customer_ID]],customers__2[#All],4,0)</f>
        <v>Consumer</v>
      </c>
      <c r="K1226" t="str">
        <f>VLOOKUP(orders__17[[#This Row],[Product_ID]],products[#All],3,0)</f>
        <v>Office Supplies</v>
      </c>
      <c r="L1226" s="1" t="str">
        <f>VLOOKUP(orders__17[[#This Row],[Product_ID]],products[#All],4,0)</f>
        <v>Paper</v>
      </c>
      <c r="M1226" s="1" t="str">
        <f>VLOOKUP(orders__17[[#This Row],[Order_ID]],returns[#All],2,0)</f>
        <v>No</v>
      </c>
    </row>
    <row r="1227" spans="1:13" x14ac:dyDescent="0.3">
      <c r="A1227" s="1" t="s">
        <v>1533</v>
      </c>
      <c r="B1227" s="2">
        <v>45321</v>
      </c>
      <c r="C1227" s="1" t="s">
        <v>978</v>
      </c>
      <c r="D1227" s="1" t="s">
        <v>215</v>
      </c>
      <c r="E1227">
        <v>4</v>
      </c>
      <c r="F1227" s="4">
        <v>1924.26</v>
      </c>
      <c r="G1227" s="3">
        <v>0.2</v>
      </c>
      <c r="H1227" s="4">
        <v>488.74</v>
      </c>
      <c r="I1227" t="str">
        <f>VLOOKUP(orders__17[[#This Row],[Customer_ID]],customers__2[#All],3,0)</f>
        <v>North</v>
      </c>
      <c r="J1227" t="str">
        <f>VLOOKUP(orders__17[[#This Row],[Customer_ID]],customers__2[#All],4,0)</f>
        <v>Home Office</v>
      </c>
      <c r="K1227" t="str">
        <f>VLOOKUP(orders__17[[#This Row],[Product_ID]],products[#All],3,0)</f>
        <v>Furniture</v>
      </c>
      <c r="L1227" s="1" t="str">
        <f>VLOOKUP(orders__17[[#This Row],[Product_ID]],products[#All],4,0)</f>
        <v>Table</v>
      </c>
      <c r="M1227" s="1" t="str">
        <f>VLOOKUP(orders__17[[#This Row],[Order_ID]],returns[#All],2,0)</f>
        <v>No</v>
      </c>
    </row>
    <row r="1228" spans="1:13" x14ac:dyDescent="0.3">
      <c r="A1228" s="1" t="s">
        <v>1534</v>
      </c>
      <c r="B1228" s="2">
        <v>44861</v>
      </c>
      <c r="C1228" s="1" t="s">
        <v>325</v>
      </c>
      <c r="D1228" s="1" t="s">
        <v>147</v>
      </c>
      <c r="E1228">
        <v>3</v>
      </c>
      <c r="F1228" s="4">
        <v>1090.77</v>
      </c>
      <c r="G1228" s="3">
        <v>0.3</v>
      </c>
      <c r="H1228" s="4">
        <v>157.69999999999999</v>
      </c>
      <c r="I1228" t="str">
        <f>VLOOKUP(orders__17[[#This Row],[Customer_ID]],customers__2[#All],3,0)</f>
        <v>North</v>
      </c>
      <c r="J1228" t="str">
        <f>VLOOKUP(orders__17[[#This Row],[Customer_ID]],customers__2[#All],4,0)</f>
        <v>Corporate</v>
      </c>
      <c r="K1228" t="str">
        <f>VLOOKUP(orders__17[[#This Row],[Product_ID]],products[#All],3,0)</f>
        <v>Technology</v>
      </c>
      <c r="L1228" s="1" t="str">
        <f>VLOOKUP(orders__17[[#This Row],[Product_ID]],products[#All],4,0)</f>
        <v>Laptop</v>
      </c>
      <c r="M1228" s="1" t="str">
        <f>VLOOKUP(orders__17[[#This Row],[Order_ID]],returns[#All],2,0)</f>
        <v>Yes</v>
      </c>
    </row>
    <row r="1229" spans="1:13" x14ac:dyDescent="0.3">
      <c r="A1229" s="1" t="s">
        <v>1535</v>
      </c>
      <c r="B1229" s="2">
        <v>45348</v>
      </c>
      <c r="C1229" s="1" t="s">
        <v>547</v>
      </c>
      <c r="D1229" s="1" t="s">
        <v>275</v>
      </c>
      <c r="E1229">
        <v>1</v>
      </c>
      <c r="F1229" s="4">
        <v>1956.89</v>
      </c>
      <c r="G1229" s="3">
        <v>0.2</v>
      </c>
      <c r="H1229" s="4">
        <v>141.09</v>
      </c>
      <c r="I1229" t="str">
        <f>VLOOKUP(orders__17[[#This Row],[Customer_ID]],customers__2[#All],3,0)</f>
        <v>West</v>
      </c>
      <c r="J1229" t="str">
        <f>VLOOKUP(orders__17[[#This Row],[Customer_ID]],customers__2[#All],4,0)</f>
        <v>Corporate</v>
      </c>
      <c r="K1229" t="str">
        <f>VLOOKUP(orders__17[[#This Row],[Product_ID]],products[#All],3,0)</f>
        <v>Furniture</v>
      </c>
      <c r="L1229" s="1" t="str">
        <f>VLOOKUP(orders__17[[#This Row],[Product_ID]],products[#All],4,0)</f>
        <v>Table</v>
      </c>
      <c r="M1229" s="1" t="str">
        <f>VLOOKUP(orders__17[[#This Row],[Order_ID]],returns[#All],2,0)</f>
        <v>Yes</v>
      </c>
    </row>
    <row r="1230" spans="1:13" x14ac:dyDescent="0.3">
      <c r="A1230" s="1" t="s">
        <v>1536</v>
      </c>
      <c r="B1230" s="2">
        <v>44592</v>
      </c>
      <c r="C1230" s="1" t="s">
        <v>442</v>
      </c>
      <c r="D1230" s="1" t="s">
        <v>304</v>
      </c>
      <c r="E1230">
        <v>3</v>
      </c>
      <c r="F1230" s="4">
        <v>1538.89</v>
      </c>
      <c r="G1230" s="3">
        <v>0.1</v>
      </c>
      <c r="H1230" s="4">
        <v>208.61</v>
      </c>
      <c r="I1230" t="str">
        <f>VLOOKUP(orders__17[[#This Row],[Customer_ID]],customers__2[#All],3,0)</f>
        <v>North</v>
      </c>
      <c r="J1230" t="str">
        <f>VLOOKUP(orders__17[[#This Row],[Customer_ID]],customers__2[#All],4,0)</f>
        <v>Consumer</v>
      </c>
      <c r="K1230" t="str">
        <f>VLOOKUP(orders__17[[#This Row],[Product_ID]],products[#All],3,0)</f>
        <v>Technology</v>
      </c>
      <c r="L1230" s="1" t="str">
        <f>VLOOKUP(orders__17[[#This Row],[Product_ID]],products[#All],4,0)</f>
        <v>Accessories</v>
      </c>
      <c r="M1230" s="1" t="str">
        <f>VLOOKUP(orders__17[[#This Row],[Order_ID]],returns[#All],2,0)</f>
        <v>No</v>
      </c>
    </row>
    <row r="1231" spans="1:13" x14ac:dyDescent="0.3">
      <c r="A1231" s="1" t="s">
        <v>1537</v>
      </c>
      <c r="B1231" s="2">
        <v>44741</v>
      </c>
      <c r="C1231" s="1" t="s">
        <v>319</v>
      </c>
      <c r="D1231" s="1" t="s">
        <v>127</v>
      </c>
      <c r="E1231">
        <v>5</v>
      </c>
      <c r="F1231" s="4">
        <v>407.18</v>
      </c>
      <c r="G1231" s="3">
        <v>0.2</v>
      </c>
      <c r="H1231" s="4">
        <v>120.26</v>
      </c>
      <c r="I1231" t="str">
        <f>VLOOKUP(orders__17[[#This Row],[Customer_ID]],customers__2[#All],3,0)</f>
        <v>East</v>
      </c>
      <c r="J1231" t="str">
        <f>VLOOKUP(orders__17[[#This Row],[Customer_ID]],customers__2[#All],4,0)</f>
        <v>Consumer</v>
      </c>
      <c r="K1231" t="str">
        <f>VLOOKUP(orders__17[[#This Row],[Product_ID]],products[#All],3,0)</f>
        <v>Furniture</v>
      </c>
      <c r="L1231" s="1" t="str">
        <f>VLOOKUP(orders__17[[#This Row],[Product_ID]],products[#All],4,0)</f>
        <v>Chair</v>
      </c>
      <c r="M1231" s="1" t="str">
        <f>VLOOKUP(orders__17[[#This Row],[Order_ID]],returns[#All],2,0)</f>
        <v>No</v>
      </c>
    </row>
    <row r="1232" spans="1:13" x14ac:dyDescent="0.3">
      <c r="A1232" s="1" t="s">
        <v>1538</v>
      </c>
      <c r="B1232" s="2">
        <v>45261</v>
      </c>
      <c r="C1232" s="1" t="s">
        <v>24</v>
      </c>
      <c r="D1232" s="1" t="s">
        <v>141</v>
      </c>
      <c r="E1232">
        <v>3</v>
      </c>
      <c r="F1232" s="4">
        <v>1006.11</v>
      </c>
      <c r="G1232" s="3">
        <v>0.1</v>
      </c>
      <c r="H1232" s="4">
        <v>208.69</v>
      </c>
      <c r="I1232" t="str">
        <f>VLOOKUP(orders__17[[#This Row],[Customer_ID]],customers__2[#All],3,0)</f>
        <v>North</v>
      </c>
      <c r="J1232" t="str">
        <f>VLOOKUP(orders__17[[#This Row],[Customer_ID]],customers__2[#All],4,0)</f>
        <v>Consumer</v>
      </c>
      <c r="K1232" t="str">
        <f>VLOOKUP(orders__17[[#This Row],[Product_ID]],products[#All],3,0)</f>
        <v>Technology</v>
      </c>
      <c r="L1232" s="1" t="str">
        <f>VLOOKUP(orders__17[[#This Row],[Product_ID]],products[#All],4,0)</f>
        <v>Phone</v>
      </c>
      <c r="M1232" s="1" t="str">
        <f>VLOOKUP(orders__17[[#This Row],[Order_ID]],returns[#All],2,0)</f>
        <v>No</v>
      </c>
    </row>
    <row r="1233" spans="1:13" x14ac:dyDescent="0.3">
      <c r="A1233" s="1" t="s">
        <v>1539</v>
      </c>
      <c r="B1233" s="2">
        <v>45018</v>
      </c>
      <c r="C1233" s="1" t="s">
        <v>442</v>
      </c>
      <c r="D1233" s="1" t="s">
        <v>130</v>
      </c>
      <c r="E1233">
        <v>2</v>
      </c>
      <c r="F1233" s="4">
        <v>1464.83</v>
      </c>
      <c r="G1233" s="3">
        <v>0.2</v>
      </c>
      <c r="H1233" s="4">
        <v>225.64</v>
      </c>
      <c r="I1233" t="str">
        <f>VLOOKUP(orders__17[[#This Row],[Customer_ID]],customers__2[#All],3,0)</f>
        <v>North</v>
      </c>
      <c r="J1233" t="str">
        <f>VLOOKUP(orders__17[[#This Row],[Customer_ID]],customers__2[#All],4,0)</f>
        <v>Consumer</v>
      </c>
      <c r="K1233" t="str">
        <f>VLOOKUP(orders__17[[#This Row],[Product_ID]],products[#All],3,0)</f>
        <v>Furniture</v>
      </c>
      <c r="L1233" s="1" t="str">
        <f>VLOOKUP(orders__17[[#This Row],[Product_ID]],products[#All],4,0)</f>
        <v>Desk</v>
      </c>
      <c r="M1233" s="1" t="str">
        <f>VLOOKUP(orders__17[[#This Row],[Order_ID]],returns[#All],2,0)</f>
        <v>Yes</v>
      </c>
    </row>
    <row r="1234" spans="1:13" x14ac:dyDescent="0.3">
      <c r="A1234" s="1" t="s">
        <v>1540</v>
      </c>
      <c r="B1234" s="2">
        <v>45374</v>
      </c>
      <c r="C1234" s="1" t="s">
        <v>559</v>
      </c>
      <c r="D1234" s="1" t="s">
        <v>143</v>
      </c>
      <c r="E1234">
        <v>1</v>
      </c>
      <c r="F1234" s="4">
        <v>569.95000000000005</v>
      </c>
      <c r="G1234" s="3">
        <v>0</v>
      </c>
      <c r="H1234" s="4">
        <v>52.23</v>
      </c>
      <c r="I1234" t="str">
        <f>VLOOKUP(orders__17[[#This Row],[Customer_ID]],customers__2[#All],3,0)</f>
        <v>South</v>
      </c>
      <c r="J1234" t="str">
        <f>VLOOKUP(orders__17[[#This Row],[Customer_ID]],customers__2[#All],4,0)</f>
        <v>Consumer</v>
      </c>
      <c r="K1234" t="str">
        <f>VLOOKUP(orders__17[[#This Row],[Product_ID]],products[#All],3,0)</f>
        <v>Furniture</v>
      </c>
      <c r="L1234" s="1" t="str">
        <f>VLOOKUP(orders__17[[#This Row],[Product_ID]],products[#All],4,0)</f>
        <v>Shelf</v>
      </c>
      <c r="M1234" s="1" t="str">
        <f>VLOOKUP(orders__17[[#This Row],[Order_ID]],returns[#All],2,0)</f>
        <v>No</v>
      </c>
    </row>
    <row r="1235" spans="1:13" x14ac:dyDescent="0.3">
      <c r="A1235" s="1" t="s">
        <v>1541</v>
      </c>
      <c r="B1235" s="2">
        <v>44629</v>
      </c>
      <c r="C1235" s="1" t="s">
        <v>344</v>
      </c>
      <c r="D1235" s="1" t="s">
        <v>288</v>
      </c>
      <c r="E1235">
        <v>2</v>
      </c>
      <c r="F1235" s="4">
        <v>1317.17</v>
      </c>
      <c r="G1235" s="3">
        <v>0.2</v>
      </c>
      <c r="H1235" s="4">
        <v>390.6</v>
      </c>
      <c r="I1235" t="str">
        <f>VLOOKUP(orders__17[[#This Row],[Customer_ID]],customers__2[#All],3,0)</f>
        <v>North</v>
      </c>
      <c r="J1235" t="str">
        <f>VLOOKUP(orders__17[[#This Row],[Customer_ID]],customers__2[#All],4,0)</f>
        <v>Home Office</v>
      </c>
      <c r="K1235" t="str">
        <f>VLOOKUP(orders__17[[#This Row],[Product_ID]],products[#All],3,0)</f>
        <v>Furniture</v>
      </c>
      <c r="L1235" s="1" t="str">
        <f>VLOOKUP(orders__17[[#This Row],[Product_ID]],products[#All],4,0)</f>
        <v>Chair</v>
      </c>
      <c r="M1235" s="1" t="str">
        <f>VLOOKUP(orders__17[[#This Row],[Order_ID]],returns[#All],2,0)</f>
        <v>Yes</v>
      </c>
    </row>
    <row r="1236" spans="1:13" x14ac:dyDescent="0.3">
      <c r="A1236" s="1" t="s">
        <v>1542</v>
      </c>
      <c r="B1236" s="2">
        <v>45088</v>
      </c>
      <c r="C1236" s="1" t="s">
        <v>554</v>
      </c>
      <c r="D1236" s="1" t="s">
        <v>186</v>
      </c>
      <c r="E1236">
        <v>2</v>
      </c>
      <c r="F1236" s="4">
        <v>1366.54</v>
      </c>
      <c r="G1236" s="3">
        <v>0</v>
      </c>
      <c r="H1236" s="4">
        <v>348.76</v>
      </c>
      <c r="I1236" t="str">
        <f>VLOOKUP(orders__17[[#This Row],[Customer_ID]],customers__2[#All],3,0)</f>
        <v>East</v>
      </c>
      <c r="J1236" t="str">
        <f>VLOOKUP(orders__17[[#This Row],[Customer_ID]],customers__2[#All],4,0)</f>
        <v>Consumer</v>
      </c>
      <c r="K1236" t="str">
        <f>VLOOKUP(orders__17[[#This Row],[Product_ID]],products[#All],3,0)</f>
        <v>Technology</v>
      </c>
      <c r="L1236" s="1" t="str">
        <f>VLOOKUP(orders__17[[#This Row],[Product_ID]],products[#All],4,0)</f>
        <v>Laptop</v>
      </c>
      <c r="M1236" s="1" t="str">
        <f>VLOOKUP(orders__17[[#This Row],[Order_ID]],returns[#All],2,0)</f>
        <v>Yes</v>
      </c>
    </row>
    <row r="1237" spans="1:13" x14ac:dyDescent="0.3">
      <c r="A1237" s="1" t="s">
        <v>1543</v>
      </c>
      <c r="B1237" s="2">
        <v>45002</v>
      </c>
      <c r="C1237" s="1" t="s">
        <v>39</v>
      </c>
      <c r="D1237" s="1" t="s">
        <v>211</v>
      </c>
      <c r="E1237">
        <v>5</v>
      </c>
      <c r="F1237" s="4">
        <v>409.13</v>
      </c>
      <c r="G1237" s="3">
        <v>0</v>
      </c>
      <c r="H1237" s="4">
        <v>49.25</v>
      </c>
      <c r="I1237" t="str">
        <f>VLOOKUP(orders__17[[#This Row],[Customer_ID]],customers__2[#All],3,0)</f>
        <v>West</v>
      </c>
      <c r="J1237" t="str">
        <f>VLOOKUP(orders__17[[#This Row],[Customer_ID]],customers__2[#All],4,0)</f>
        <v>Consumer</v>
      </c>
      <c r="K1237" t="str">
        <f>VLOOKUP(orders__17[[#This Row],[Product_ID]],products[#All],3,0)</f>
        <v>Office Supplies</v>
      </c>
      <c r="L1237" s="1" t="str">
        <f>VLOOKUP(orders__17[[#This Row],[Product_ID]],products[#All],4,0)</f>
        <v>Binder</v>
      </c>
      <c r="M1237" s="1" t="str">
        <f>VLOOKUP(orders__17[[#This Row],[Order_ID]],returns[#All],2,0)</f>
        <v>No</v>
      </c>
    </row>
    <row r="1238" spans="1:13" x14ac:dyDescent="0.3">
      <c r="A1238" s="1" t="s">
        <v>1544</v>
      </c>
      <c r="B1238" s="2">
        <v>45113</v>
      </c>
      <c r="C1238" s="1" t="s">
        <v>154</v>
      </c>
      <c r="D1238" s="1" t="s">
        <v>75</v>
      </c>
      <c r="E1238">
        <v>1</v>
      </c>
      <c r="F1238" s="4">
        <v>1173.6600000000001</v>
      </c>
      <c r="G1238" s="3">
        <v>0.3</v>
      </c>
      <c r="H1238" s="4">
        <v>79.239999999999995</v>
      </c>
      <c r="I1238" t="str">
        <f>VLOOKUP(orders__17[[#This Row],[Customer_ID]],customers__2[#All],3,0)</f>
        <v>West</v>
      </c>
      <c r="J1238" t="str">
        <f>VLOOKUP(orders__17[[#This Row],[Customer_ID]],customers__2[#All],4,0)</f>
        <v>Corporate</v>
      </c>
      <c r="K1238" t="str">
        <f>VLOOKUP(orders__17[[#This Row],[Product_ID]],products[#All],3,0)</f>
        <v>Technology</v>
      </c>
      <c r="L1238" s="1" t="str">
        <f>VLOOKUP(orders__17[[#This Row],[Product_ID]],products[#All],4,0)</f>
        <v>Tablet</v>
      </c>
      <c r="M1238" s="1" t="str">
        <f>VLOOKUP(orders__17[[#This Row],[Order_ID]],returns[#All],2,0)</f>
        <v>No</v>
      </c>
    </row>
    <row r="1239" spans="1:13" x14ac:dyDescent="0.3">
      <c r="A1239" s="1" t="s">
        <v>1545</v>
      </c>
      <c r="B1239" s="2">
        <v>44956</v>
      </c>
      <c r="C1239" s="1" t="s">
        <v>683</v>
      </c>
      <c r="D1239" s="1" t="s">
        <v>19</v>
      </c>
      <c r="E1239">
        <v>1</v>
      </c>
      <c r="F1239" s="4">
        <v>1566.09</v>
      </c>
      <c r="G1239" s="3">
        <v>0</v>
      </c>
      <c r="H1239" s="4">
        <v>100.47</v>
      </c>
      <c r="I1239" t="str">
        <f>VLOOKUP(orders__17[[#This Row],[Customer_ID]],customers__2[#All],3,0)</f>
        <v>East</v>
      </c>
      <c r="J1239" t="str">
        <f>VLOOKUP(orders__17[[#This Row],[Customer_ID]],customers__2[#All],4,0)</f>
        <v>Corporate</v>
      </c>
      <c r="K1239" t="str">
        <f>VLOOKUP(orders__17[[#This Row],[Product_ID]],products[#All],3,0)</f>
        <v>Office Supplies</v>
      </c>
      <c r="L1239" s="1" t="str">
        <f>VLOOKUP(orders__17[[#This Row],[Product_ID]],products[#All],4,0)</f>
        <v>Pen</v>
      </c>
      <c r="M1239" s="1" t="str">
        <f>VLOOKUP(orders__17[[#This Row],[Order_ID]],returns[#All],2,0)</f>
        <v>No</v>
      </c>
    </row>
    <row r="1240" spans="1:13" x14ac:dyDescent="0.3">
      <c r="A1240" s="1" t="s">
        <v>1546</v>
      </c>
      <c r="B1240" s="2">
        <v>44599</v>
      </c>
      <c r="C1240" s="1" t="s">
        <v>786</v>
      </c>
      <c r="D1240" s="1" t="s">
        <v>188</v>
      </c>
      <c r="E1240">
        <v>1</v>
      </c>
      <c r="F1240" s="4">
        <v>1047.9000000000001</v>
      </c>
      <c r="G1240" s="3">
        <v>0.1</v>
      </c>
      <c r="H1240" s="4">
        <v>83.93</v>
      </c>
      <c r="I1240" t="str">
        <f>VLOOKUP(orders__17[[#This Row],[Customer_ID]],customers__2[#All],3,0)</f>
        <v>East</v>
      </c>
      <c r="J1240" t="str">
        <f>VLOOKUP(orders__17[[#This Row],[Customer_ID]],customers__2[#All],4,0)</f>
        <v>Corporate</v>
      </c>
      <c r="K1240" t="str">
        <f>VLOOKUP(orders__17[[#This Row],[Product_ID]],products[#All],3,0)</f>
        <v>Technology</v>
      </c>
      <c r="L1240" s="1" t="str">
        <f>VLOOKUP(orders__17[[#This Row],[Product_ID]],products[#All],4,0)</f>
        <v>Laptop</v>
      </c>
      <c r="M1240" s="1" t="str">
        <f>VLOOKUP(orders__17[[#This Row],[Order_ID]],returns[#All],2,0)</f>
        <v>No</v>
      </c>
    </row>
    <row r="1241" spans="1:13" x14ac:dyDescent="0.3">
      <c r="A1241" s="1" t="s">
        <v>1547</v>
      </c>
      <c r="B1241" s="2">
        <v>44649</v>
      </c>
      <c r="C1241" s="1" t="s">
        <v>671</v>
      </c>
      <c r="D1241" s="1" t="s">
        <v>201</v>
      </c>
      <c r="E1241">
        <v>1</v>
      </c>
      <c r="F1241" s="4">
        <v>123</v>
      </c>
      <c r="G1241" s="3">
        <v>0.3</v>
      </c>
      <c r="H1241" s="4">
        <v>24.01</v>
      </c>
      <c r="I1241" t="str">
        <f>VLOOKUP(orders__17[[#This Row],[Customer_ID]],customers__2[#All],3,0)</f>
        <v>North</v>
      </c>
      <c r="J1241" t="str">
        <f>VLOOKUP(orders__17[[#This Row],[Customer_ID]],customers__2[#All],4,0)</f>
        <v>Corporate</v>
      </c>
      <c r="K1241" t="str">
        <f>VLOOKUP(orders__17[[#This Row],[Product_ID]],products[#All],3,0)</f>
        <v>Office Supplies</v>
      </c>
      <c r="L1241" s="1" t="str">
        <f>VLOOKUP(orders__17[[#This Row],[Product_ID]],products[#All],4,0)</f>
        <v>Paper</v>
      </c>
      <c r="M1241" s="1" t="str">
        <f>VLOOKUP(orders__17[[#This Row],[Order_ID]],returns[#All],2,0)</f>
        <v>No</v>
      </c>
    </row>
    <row r="1242" spans="1:13" x14ac:dyDescent="0.3">
      <c r="A1242" s="1" t="s">
        <v>1548</v>
      </c>
      <c r="B1242" s="2">
        <v>44636</v>
      </c>
      <c r="C1242" s="1" t="s">
        <v>192</v>
      </c>
      <c r="D1242" s="1" t="s">
        <v>163</v>
      </c>
      <c r="E1242">
        <v>1</v>
      </c>
      <c r="F1242" s="4">
        <v>117.17</v>
      </c>
      <c r="G1242" s="3">
        <v>0.3</v>
      </c>
      <c r="H1242" s="4">
        <v>33.06</v>
      </c>
      <c r="I1242" t="str">
        <f>VLOOKUP(orders__17[[#This Row],[Customer_ID]],customers__2[#All],3,0)</f>
        <v>South</v>
      </c>
      <c r="J1242" t="str">
        <f>VLOOKUP(orders__17[[#This Row],[Customer_ID]],customers__2[#All],4,0)</f>
        <v>Corporate</v>
      </c>
      <c r="K1242" t="str">
        <f>VLOOKUP(orders__17[[#This Row],[Product_ID]],products[#All],3,0)</f>
        <v>Furniture</v>
      </c>
      <c r="L1242" s="1" t="str">
        <f>VLOOKUP(orders__17[[#This Row],[Product_ID]],products[#All],4,0)</f>
        <v>Table</v>
      </c>
      <c r="M1242" s="1" t="str">
        <f>VLOOKUP(orders__17[[#This Row],[Order_ID]],returns[#All],2,0)</f>
        <v>No</v>
      </c>
    </row>
    <row r="1243" spans="1:13" x14ac:dyDescent="0.3">
      <c r="A1243" s="1" t="s">
        <v>1549</v>
      </c>
      <c r="B1243" s="2">
        <v>45105</v>
      </c>
      <c r="C1243" s="1" t="s">
        <v>526</v>
      </c>
      <c r="D1243" s="1" t="s">
        <v>147</v>
      </c>
      <c r="E1243">
        <v>5</v>
      </c>
      <c r="F1243" s="4">
        <v>778.36</v>
      </c>
      <c r="G1243" s="3">
        <v>0.2</v>
      </c>
      <c r="H1243" s="4">
        <v>135.58000000000001</v>
      </c>
      <c r="I1243" t="str">
        <f>VLOOKUP(orders__17[[#This Row],[Customer_ID]],customers__2[#All],3,0)</f>
        <v>West</v>
      </c>
      <c r="J1243" t="str">
        <f>VLOOKUP(orders__17[[#This Row],[Customer_ID]],customers__2[#All],4,0)</f>
        <v>Corporate</v>
      </c>
      <c r="K1243" t="str">
        <f>VLOOKUP(orders__17[[#This Row],[Product_ID]],products[#All],3,0)</f>
        <v>Technology</v>
      </c>
      <c r="L1243" s="1" t="str">
        <f>VLOOKUP(orders__17[[#This Row],[Product_ID]],products[#All],4,0)</f>
        <v>Laptop</v>
      </c>
      <c r="M1243" s="1" t="str">
        <f>VLOOKUP(orders__17[[#This Row],[Order_ID]],returns[#All],2,0)</f>
        <v>No</v>
      </c>
    </row>
    <row r="1244" spans="1:13" x14ac:dyDescent="0.3">
      <c r="A1244" s="1" t="s">
        <v>1550</v>
      </c>
      <c r="B1244" s="2">
        <v>45204</v>
      </c>
      <c r="C1244" s="1" t="s">
        <v>843</v>
      </c>
      <c r="D1244" s="1" t="s">
        <v>37</v>
      </c>
      <c r="E1244">
        <v>3</v>
      </c>
      <c r="F1244" s="4">
        <v>1859.77</v>
      </c>
      <c r="G1244" s="3">
        <v>0</v>
      </c>
      <c r="H1244" s="4">
        <v>484.91</v>
      </c>
      <c r="I1244" t="str">
        <f>VLOOKUP(orders__17[[#This Row],[Customer_ID]],customers__2[#All],3,0)</f>
        <v>North</v>
      </c>
      <c r="J1244" t="str">
        <f>VLOOKUP(orders__17[[#This Row],[Customer_ID]],customers__2[#All],4,0)</f>
        <v>Consumer</v>
      </c>
      <c r="K1244" t="str">
        <f>VLOOKUP(orders__17[[#This Row],[Product_ID]],products[#All],3,0)</f>
        <v>Furniture</v>
      </c>
      <c r="L1244" s="1" t="str">
        <f>VLOOKUP(orders__17[[#This Row],[Product_ID]],products[#All],4,0)</f>
        <v>Desk</v>
      </c>
      <c r="M1244" s="1" t="str">
        <f>VLOOKUP(orders__17[[#This Row],[Order_ID]],returns[#All],2,0)</f>
        <v>No</v>
      </c>
    </row>
    <row r="1245" spans="1:13" x14ac:dyDescent="0.3">
      <c r="A1245" s="1" t="s">
        <v>1551</v>
      </c>
      <c r="B1245" s="2">
        <v>44915</v>
      </c>
      <c r="C1245" s="1" t="s">
        <v>843</v>
      </c>
      <c r="D1245" s="1" t="s">
        <v>161</v>
      </c>
      <c r="E1245">
        <v>2</v>
      </c>
      <c r="F1245" s="4">
        <v>534.49</v>
      </c>
      <c r="G1245" s="3">
        <v>0</v>
      </c>
      <c r="H1245" s="4">
        <v>86.3</v>
      </c>
      <c r="I1245" t="str">
        <f>VLOOKUP(orders__17[[#This Row],[Customer_ID]],customers__2[#All],3,0)</f>
        <v>North</v>
      </c>
      <c r="J1245" t="str">
        <f>VLOOKUP(orders__17[[#This Row],[Customer_ID]],customers__2[#All],4,0)</f>
        <v>Consumer</v>
      </c>
      <c r="K1245" t="str">
        <f>VLOOKUP(orders__17[[#This Row],[Product_ID]],products[#All],3,0)</f>
        <v>Office Supplies</v>
      </c>
      <c r="L1245" s="1" t="str">
        <f>VLOOKUP(orders__17[[#This Row],[Product_ID]],products[#All],4,0)</f>
        <v>Binder</v>
      </c>
      <c r="M1245" s="1" t="str">
        <f>VLOOKUP(orders__17[[#This Row],[Order_ID]],returns[#All],2,0)</f>
        <v>No</v>
      </c>
    </row>
    <row r="1246" spans="1:13" x14ac:dyDescent="0.3">
      <c r="A1246" s="1" t="s">
        <v>1552</v>
      </c>
      <c r="B1246" s="2">
        <v>44883</v>
      </c>
      <c r="C1246" s="1" t="s">
        <v>491</v>
      </c>
      <c r="D1246" s="1" t="s">
        <v>249</v>
      </c>
      <c r="E1246">
        <v>1</v>
      </c>
      <c r="F1246" s="4">
        <v>1305.29</v>
      </c>
      <c r="G1246" s="3">
        <v>0.1</v>
      </c>
      <c r="H1246" s="4">
        <v>296.49</v>
      </c>
      <c r="I1246" t="str">
        <f>VLOOKUP(orders__17[[#This Row],[Customer_ID]],customers__2[#All],3,0)</f>
        <v>West</v>
      </c>
      <c r="J1246" t="str">
        <f>VLOOKUP(orders__17[[#This Row],[Customer_ID]],customers__2[#All],4,0)</f>
        <v>Corporate</v>
      </c>
      <c r="K1246" t="str">
        <f>VLOOKUP(orders__17[[#This Row],[Product_ID]],products[#All],3,0)</f>
        <v>Office Supplies</v>
      </c>
      <c r="L1246" s="1" t="str">
        <f>VLOOKUP(orders__17[[#This Row],[Product_ID]],products[#All],4,0)</f>
        <v>Paper</v>
      </c>
      <c r="M1246" s="1" t="str">
        <f>VLOOKUP(orders__17[[#This Row],[Order_ID]],returns[#All],2,0)</f>
        <v>No</v>
      </c>
    </row>
    <row r="1247" spans="1:13" x14ac:dyDescent="0.3">
      <c r="A1247" s="1" t="s">
        <v>1553</v>
      </c>
      <c r="B1247" s="2">
        <v>44576</v>
      </c>
      <c r="C1247" s="1" t="s">
        <v>1143</v>
      </c>
      <c r="D1247" s="1" t="s">
        <v>201</v>
      </c>
      <c r="E1247">
        <v>3</v>
      </c>
      <c r="F1247" s="4">
        <v>521.94000000000005</v>
      </c>
      <c r="G1247" s="3">
        <v>0.2</v>
      </c>
      <c r="H1247" s="4">
        <v>121.6</v>
      </c>
      <c r="I1247" t="str">
        <f>VLOOKUP(orders__17[[#This Row],[Customer_ID]],customers__2[#All],3,0)</f>
        <v>West</v>
      </c>
      <c r="J1247" t="str">
        <f>VLOOKUP(orders__17[[#This Row],[Customer_ID]],customers__2[#All],4,0)</f>
        <v>Corporate</v>
      </c>
      <c r="K1247" t="str">
        <f>VLOOKUP(orders__17[[#This Row],[Product_ID]],products[#All],3,0)</f>
        <v>Office Supplies</v>
      </c>
      <c r="L1247" s="1" t="str">
        <f>VLOOKUP(orders__17[[#This Row],[Product_ID]],products[#All],4,0)</f>
        <v>Paper</v>
      </c>
      <c r="M1247" s="1" t="str">
        <f>VLOOKUP(orders__17[[#This Row],[Order_ID]],returns[#All],2,0)</f>
        <v>No</v>
      </c>
    </row>
    <row r="1248" spans="1:13" x14ac:dyDescent="0.3">
      <c r="A1248" s="1" t="s">
        <v>1554</v>
      </c>
      <c r="B1248" s="2">
        <v>45146</v>
      </c>
      <c r="C1248" s="1" t="s">
        <v>671</v>
      </c>
      <c r="D1248" s="1" t="s">
        <v>43</v>
      </c>
      <c r="E1248">
        <v>3</v>
      </c>
      <c r="F1248" s="4">
        <v>711.17</v>
      </c>
      <c r="G1248" s="3">
        <v>0.2</v>
      </c>
      <c r="H1248" s="4">
        <v>66.489999999999995</v>
      </c>
      <c r="I1248" t="str">
        <f>VLOOKUP(orders__17[[#This Row],[Customer_ID]],customers__2[#All],3,0)</f>
        <v>North</v>
      </c>
      <c r="J1248" t="str">
        <f>VLOOKUP(orders__17[[#This Row],[Customer_ID]],customers__2[#All],4,0)</f>
        <v>Corporate</v>
      </c>
      <c r="K1248" t="str">
        <f>VLOOKUP(orders__17[[#This Row],[Product_ID]],products[#All],3,0)</f>
        <v>Technology</v>
      </c>
      <c r="L1248" s="1" t="str">
        <f>VLOOKUP(orders__17[[#This Row],[Product_ID]],products[#All],4,0)</f>
        <v>Tablet</v>
      </c>
      <c r="M1248" s="1" t="str">
        <f>VLOOKUP(orders__17[[#This Row],[Order_ID]],returns[#All],2,0)</f>
        <v>No</v>
      </c>
    </row>
    <row r="1249" spans="1:13" x14ac:dyDescent="0.3">
      <c r="A1249" s="1" t="s">
        <v>1555</v>
      </c>
      <c r="B1249" s="2">
        <v>45211</v>
      </c>
      <c r="C1249" s="1" t="s">
        <v>691</v>
      </c>
      <c r="D1249" s="1" t="s">
        <v>294</v>
      </c>
      <c r="E1249">
        <v>2</v>
      </c>
      <c r="F1249" s="4">
        <v>1711.28</v>
      </c>
      <c r="G1249" s="3">
        <v>0.3</v>
      </c>
      <c r="H1249" s="4">
        <v>240.1</v>
      </c>
      <c r="I1249" t="str">
        <f>VLOOKUP(orders__17[[#This Row],[Customer_ID]],customers__2[#All],3,0)</f>
        <v>West</v>
      </c>
      <c r="J1249" t="str">
        <f>VLOOKUP(orders__17[[#This Row],[Customer_ID]],customers__2[#All],4,0)</f>
        <v>Corporate</v>
      </c>
      <c r="K1249" t="str">
        <f>VLOOKUP(orders__17[[#This Row],[Product_ID]],products[#All],3,0)</f>
        <v>Technology</v>
      </c>
      <c r="L1249" s="1" t="str">
        <f>VLOOKUP(orders__17[[#This Row],[Product_ID]],products[#All],4,0)</f>
        <v>Tablet</v>
      </c>
      <c r="M1249" s="1" t="str">
        <f>VLOOKUP(orders__17[[#This Row],[Order_ID]],returns[#All],2,0)</f>
        <v>No</v>
      </c>
    </row>
    <row r="1250" spans="1:13" x14ac:dyDescent="0.3">
      <c r="A1250" s="1" t="s">
        <v>1556</v>
      </c>
      <c r="B1250" s="2">
        <v>45462</v>
      </c>
      <c r="C1250" s="1" t="s">
        <v>420</v>
      </c>
      <c r="D1250" s="1" t="s">
        <v>234</v>
      </c>
      <c r="E1250">
        <v>5</v>
      </c>
      <c r="F1250" s="4">
        <v>1484.84</v>
      </c>
      <c r="G1250" s="3">
        <v>0.3</v>
      </c>
      <c r="H1250" s="4">
        <v>310.81</v>
      </c>
      <c r="I1250" t="str">
        <f>VLOOKUP(orders__17[[#This Row],[Customer_ID]],customers__2[#All],3,0)</f>
        <v>West</v>
      </c>
      <c r="J1250" t="str">
        <f>VLOOKUP(orders__17[[#This Row],[Customer_ID]],customers__2[#All],4,0)</f>
        <v>Home Office</v>
      </c>
      <c r="K1250" t="str">
        <f>VLOOKUP(orders__17[[#This Row],[Product_ID]],products[#All],3,0)</f>
        <v>Furniture</v>
      </c>
      <c r="L1250" s="1" t="str">
        <f>VLOOKUP(orders__17[[#This Row],[Product_ID]],products[#All],4,0)</f>
        <v>Shelf</v>
      </c>
      <c r="M1250" s="1" t="str">
        <f>VLOOKUP(orders__17[[#This Row],[Order_ID]],returns[#All],2,0)</f>
        <v>No</v>
      </c>
    </row>
    <row r="1251" spans="1:13" x14ac:dyDescent="0.3">
      <c r="A1251" s="1" t="s">
        <v>1557</v>
      </c>
      <c r="B1251" s="2">
        <v>45378</v>
      </c>
      <c r="C1251" s="1" t="s">
        <v>268</v>
      </c>
      <c r="D1251" s="1" t="s">
        <v>25</v>
      </c>
      <c r="E1251">
        <v>4</v>
      </c>
      <c r="F1251" s="4">
        <v>281.26</v>
      </c>
      <c r="G1251" s="3">
        <v>0.3</v>
      </c>
      <c r="H1251" s="4">
        <v>19.03</v>
      </c>
      <c r="I1251" t="str">
        <f>VLOOKUP(orders__17[[#This Row],[Customer_ID]],customers__2[#All],3,0)</f>
        <v>East</v>
      </c>
      <c r="J1251" t="str">
        <f>VLOOKUP(orders__17[[#This Row],[Customer_ID]],customers__2[#All],4,0)</f>
        <v>Consumer</v>
      </c>
      <c r="K1251" t="str">
        <f>VLOOKUP(orders__17[[#This Row],[Product_ID]],products[#All],3,0)</f>
        <v>Office Supplies</v>
      </c>
      <c r="L1251" s="1" t="str">
        <f>VLOOKUP(orders__17[[#This Row],[Product_ID]],products[#All],4,0)</f>
        <v>Paper</v>
      </c>
      <c r="M1251" s="1" t="str">
        <f>VLOOKUP(orders__17[[#This Row],[Order_ID]],returns[#All],2,0)</f>
        <v>No</v>
      </c>
    </row>
    <row r="1252" spans="1:13" x14ac:dyDescent="0.3">
      <c r="A1252" s="1" t="s">
        <v>1558</v>
      </c>
      <c r="B1252" s="2">
        <v>45448</v>
      </c>
      <c r="C1252" s="1" t="s">
        <v>124</v>
      </c>
      <c r="D1252" s="1" t="s">
        <v>186</v>
      </c>
      <c r="E1252">
        <v>4</v>
      </c>
      <c r="F1252" s="4">
        <v>914.53</v>
      </c>
      <c r="G1252" s="3">
        <v>0.1</v>
      </c>
      <c r="H1252" s="4">
        <v>128.38999999999999</v>
      </c>
      <c r="I1252" t="str">
        <f>VLOOKUP(orders__17[[#This Row],[Customer_ID]],customers__2[#All],3,0)</f>
        <v>North</v>
      </c>
      <c r="J1252" t="str">
        <f>VLOOKUP(orders__17[[#This Row],[Customer_ID]],customers__2[#All],4,0)</f>
        <v>Consumer</v>
      </c>
      <c r="K1252" t="str">
        <f>VLOOKUP(orders__17[[#This Row],[Product_ID]],products[#All],3,0)</f>
        <v>Technology</v>
      </c>
      <c r="L1252" s="1" t="str">
        <f>VLOOKUP(orders__17[[#This Row],[Product_ID]],products[#All],4,0)</f>
        <v>Laptop</v>
      </c>
      <c r="M1252" s="1" t="str">
        <f>VLOOKUP(orders__17[[#This Row],[Order_ID]],returns[#All],2,0)</f>
        <v>No</v>
      </c>
    </row>
    <row r="1253" spans="1:13" x14ac:dyDescent="0.3">
      <c r="A1253" s="1" t="s">
        <v>1559</v>
      </c>
      <c r="B1253" s="2">
        <v>44847</v>
      </c>
      <c r="C1253" s="1" t="s">
        <v>751</v>
      </c>
      <c r="D1253" s="1" t="s">
        <v>111</v>
      </c>
      <c r="E1253">
        <v>3</v>
      </c>
      <c r="F1253" s="4">
        <v>155.41999999999999</v>
      </c>
      <c r="G1253" s="3">
        <v>0.1</v>
      </c>
      <c r="H1253" s="4">
        <v>28.55</v>
      </c>
      <c r="I1253" t="str">
        <f>VLOOKUP(orders__17[[#This Row],[Customer_ID]],customers__2[#All],3,0)</f>
        <v>North</v>
      </c>
      <c r="J1253" t="str">
        <f>VLOOKUP(orders__17[[#This Row],[Customer_ID]],customers__2[#All],4,0)</f>
        <v>Corporate</v>
      </c>
      <c r="K1253" t="str">
        <f>VLOOKUP(orders__17[[#This Row],[Product_ID]],products[#All],3,0)</f>
        <v>Technology</v>
      </c>
      <c r="L1253" s="1" t="str">
        <f>VLOOKUP(orders__17[[#This Row],[Product_ID]],products[#All],4,0)</f>
        <v>Accessories</v>
      </c>
      <c r="M1253" s="1" t="str">
        <f>VLOOKUP(orders__17[[#This Row],[Order_ID]],returns[#All],2,0)</f>
        <v>Yes</v>
      </c>
    </row>
    <row r="1254" spans="1:13" x14ac:dyDescent="0.3">
      <c r="A1254" s="1" t="s">
        <v>1560</v>
      </c>
      <c r="B1254" s="2">
        <v>44985</v>
      </c>
      <c r="C1254" s="1" t="s">
        <v>466</v>
      </c>
      <c r="D1254" s="1" t="s">
        <v>201</v>
      </c>
      <c r="E1254">
        <v>2</v>
      </c>
      <c r="F1254" s="4">
        <v>1013.69</v>
      </c>
      <c r="G1254" s="3">
        <v>0.3</v>
      </c>
      <c r="H1254" s="4">
        <v>303.14999999999998</v>
      </c>
      <c r="I1254" t="str">
        <f>VLOOKUP(orders__17[[#This Row],[Customer_ID]],customers__2[#All],3,0)</f>
        <v>South</v>
      </c>
      <c r="J1254" t="str">
        <f>VLOOKUP(orders__17[[#This Row],[Customer_ID]],customers__2[#All],4,0)</f>
        <v>Home Office</v>
      </c>
      <c r="K1254" t="str">
        <f>VLOOKUP(orders__17[[#This Row],[Product_ID]],products[#All],3,0)</f>
        <v>Office Supplies</v>
      </c>
      <c r="L1254" s="1" t="str">
        <f>VLOOKUP(orders__17[[#This Row],[Product_ID]],products[#All],4,0)</f>
        <v>Paper</v>
      </c>
      <c r="M1254" s="1" t="str">
        <f>VLOOKUP(orders__17[[#This Row],[Order_ID]],returns[#All],2,0)</f>
        <v>No</v>
      </c>
    </row>
    <row r="1255" spans="1:13" x14ac:dyDescent="0.3">
      <c r="A1255" s="1" t="s">
        <v>1561</v>
      </c>
      <c r="B1255" s="2">
        <v>44976</v>
      </c>
      <c r="C1255" s="1" t="s">
        <v>58</v>
      </c>
      <c r="D1255" s="1" t="s">
        <v>31</v>
      </c>
      <c r="E1255">
        <v>4</v>
      </c>
      <c r="F1255" s="4">
        <v>1358.62</v>
      </c>
      <c r="G1255" s="3">
        <v>0.2</v>
      </c>
      <c r="H1255" s="4">
        <v>229.11</v>
      </c>
      <c r="I1255" t="str">
        <f>VLOOKUP(orders__17[[#This Row],[Customer_ID]],customers__2[#All],3,0)</f>
        <v>West</v>
      </c>
      <c r="J1255" t="str">
        <f>VLOOKUP(orders__17[[#This Row],[Customer_ID]],customers__2[#All],4,0)</f>
        <v>Corporate</v>
      </c>
      <c r="K1255" t="str">
        <f>VLOOKUP(orders__17[[#This Row],[Product_ID]],products[#All],3,0)</f>
        <v>Furniture</v>
      </c>
      <c r="L1255" s="1" t="str">
        <f>VLOOKUP(orders__17[[#This Row],[Product_ID]],products[#All],4,0)</f>
        <v>Chair</v>
      </c>
      <c r="M1255" s="1" t="str">
        <f>VLOOKUP(orders__17[[#This Row],[Order_ID]],returns[#All],2,0)</f>
        <v>No</v>
      </c>
    </row>
    <row r="1256" spans="1:13" x14ac:dyDescent="0.3">
      <c r="A1256" s="1" t="s">
        <v>1562</v>
      </c>
      <c r="B1256" s="2">
        <v>45138</v>
      </c>
      <c r="C1256" s="1" t="s">
        <v>287</v>
      </c>
      <c r="D1256" s="1" t="s">
        <v>43</v>
      </c>
      <c r="E1256">
        <v>3</v>
      </c>
      <c r="F1256" s="4">
        <v>325.14999999999998</v>
      </c>
      <c r="G1256" s="3">
        <v>0.1</v>
      </c>
      <c r="H1256" s="4">
        <v>82.59</v>
      </c>
      <c r="I1256" t="str">
        <f>VLOOKUP(orders__17[[#This Row],[Customer_ID]],customers__2[#All],3,0)</f>
        <v>South</v>
      </c>
      <c r="J1256" t="str">
        <f>VLOOKUP(orders__17[[#This Row],[Customer_ID]],customers__2[#All],4,0)</f>
        <v>Consumer</v>
      </c>
      <c r="K1256" t="str">
        <f>VLOOKUP(orders__17[[#This Row],[Product_ID]],products[#All],3,0)</f>
        <v>Technology</v>
      </c>
      <c r="L1256" s="1" t="str">
        <f>VLOOKUP(orders__17[[#This Row],[Product_ID]],products[#All],4,0)</f>
        <v>Tablet</v>
      </c>
      <c r="M1256" s="1" t="str">
        <f>VLOOKUP(orders__17[[#This Row],[Order_ID]],returns[#All],2,0)</f>
        <v>No</v>
      </c>
    </row>
    <row r="1257" spans="1:13" x14ac:dyDescent="0.3">
      <c r="A1257" s="1" t="s">
        <v>1563</v>
      </c>
      <c r="B1257" s="2">
        <v>45428</v>
      </c>
      <c r="C1257" s="1" t="s">
        <v>287</v>
      </c>
      <c r="D1257" s="1" t="s">
        <v>45</v>
      </c>
      <c r="E1257">
        <v>5</v>
      </c>
      <c r="F1257" s="4">
        <v>648.88</v>
      </c>
      <c r="G1257" s="3">
        <v>0.2</v>
      </c>
      <c r="H1257" s="4">
        <v>102.53</v>
      </c>
      <c r="I1257" t="str">
        <f>VLOOKUP(orders__17[[#This Row],[Customer_ID]],customers__2[#All],3,0)</f>
        <v>South</v>
      </c>
      <c r="J1257" t="str">
        <f>VLOOKUP(orders__17[[#This Row],[Customer_ID]],customers__2[#All],4,0)</f>
        <v>Consumer</v>
      </c>
      <c r="K1257" t="str">
        <f>VLOOKUP(orders__17[[#This Row],[Product_ID]],products[#All],3,0)</f>
        <v>Office Supplies</v>
      </c>
      <c r="L1257" s="1" t="str">
        <f>VLOOKUP(orders__17[[#This Row],[Product_ID]],products[#All],4,0)</f>
        <v>Pen</v>
      </c>
      <c r="M1257" s="1" t="str">
        <f>VLOOKUP(orders__17[[#This Row],[Order_ID]],returns[#All],2,0)</f>
        <v>No</v>
      </c>
    </row>
    <row r="1258" spans="1:13" x14ac:dyDescent="0.3">
      <c r="A1258" s="1" t="s">
        <v>1564</v>
      </c>
      <c r="B1258" s="2">
        <v>44974</v>
      </c>
      <c r="C1258" s="1" t="s">
        <v>380</v>
      </c>
      <c r="D1258" s="1" t="s">
        <v>127</v>
      </c>
      <c r="E1258">
        <v>4</v>
      </c>
      <c r="F1258" s="4">
        <v>855.89</v>
      </c>
      <c r="G1258" s="3">
        <v>0.2</v>
      </c>
      <c r="H1258" s="4">
        <v>213.2</v>
      </c>
      <c r="I1258" t="str">
        <f>VLOOKUP(orders__17[[#This Row],[Customer_ID]],customers__2[#All],3,0)</f>
        <v>South</v>
      </c>
      <c r="J1258" t="str">
        <f>VLOOKUP(orders__17[[#This Row],[Customer_ID]],customers__2[#All],4,0)</f>
        <v>Home Office</v>
      </c>
      <c r="K1258" t="str">
        <f>VLOOKUP(orders__17[[#This Row],[Product_ID]],products[#All],3,0)</f>
        <v>Furniture</v>
      </c>
      <c r="L1258" s="1" t="str">
        <f>VLOOKUP(orders__17[[#This Row],[Product_ID]],products[#All],4,0)</f>
        <v>Chair</v>
      </c>
      <c r="M1258" s="1" t="str">
        <f>VLOOKUP(orders__17[[#This Row],[Order_ID]],returns[#All],2,0)</f>
        <v>Yes</v>
      </c>
    </row>
    <row r="1259" spans="1:13" x14ac:dyDescent="0.3">
      <c r="A1259" s="1" t="s">
        <v>1565</v>
      </c>
      <c r="B1259" s="2">
        <v>44939</v>
      </c>
      <c r="C1259" s="1" t="s">
        <v>260</v>
      </c>
      <c r="D1259" s="1" t="s">
        <v>296</v>
      </c>
      <c r="E1259">
        <v>3</v>
      </c>
      <c r="F1259" s="4">
        <v>1847.11</v>
      </c>
      <c r="G1259" s="3">
        <v>0</v>
      </c>
      <c r="H1259" s="4">
        <v>367.3</v>
      </c>
      <c r="I1259" t="str">
        <f>VLOOKUP(orders__17[[#This Row],[Customer_ID]],customers__2[#All],3,0)</f>
        <v>East</v>
      </c>
      <c r="J1259" t="str">
        <f>VLOOKUP(orders__17[[#This Row],[Customer_ID]],customers__2[#All],4,0)</f>
        <v>Consumer</v>
      </c>
      <c r="K1259" t="str">
        <f>VLOOKUP(orders__17[[#This Row],[Product_ID]],products[#All],3,0)</f>
        <v>Technology</v>
      </c>
      <c r="L1259" s="1" t="str">
        <f>VLOOKUP(orders__17[[#This Row],[Product_ID]],products[#All],4,0)</f>
        <v>Accessories</v>
      </c>
      <c r="M1259" s="1" t="str">
        <f>VLOOKUP(orders__17[[#This Row],[Order_ID]],returns[#All],2,0)</f>
        <v>No</v>
      </c>
    </row>
    <row r="1260" spans="1:13" x14ac:dyDescent="0.3">
      <c r="A1260" s="1" t="s">
        <v>1566</v>
      </c>
      <c r="B1260" s="2">
        <v>44749</v>
      </c>
      <c r="C1260" s="1" t="s">
        <v>308</v>
      </c>
      <c r="D1260" s="1" t="s">
        <v>78</v>
      </c>
      <c r="E1260">
        <v>3</v>
      </c>
      <c r="F1260" s="4">
        <v>1987.18</v>
      </c>
      <c r="G1260" s="3">
        <v>0.3</v>
      </c>
      <c r="H1260" s="4">
        <v>539.82000000000005</v>
      </c>
      <c r="I1260" t="str">
        <f>VLOOKUP(orders__17[[#This Row],[Customer_ID]],customers__2[#All],3,0)</f>
        <v>North</v>
      </c>
      <c r="J1260" t="str">
        <f>VLOOKUP(orders__17[[#This Row],[Customer_ID]],customers__2[#All],4,0)</f>
        <v>Home Office</v>
      </c>
      <c r="K1260" t="str">
        <f>VLOOKUP(orders__17[[#This Row],[Product_ID]],products[#All],3,0)</f>
        <v>Technology</v>
      </c>
      <c r="L1260" s="1" t="str">
        <f>VLOOKUP(orders__17[[#This Row],[Product_ID]],products[#All],4,0)</f>
        <v>Accessories</v>
      </c>
      <c r="M1260" s="1" t="str">
        <f>VLOOKUP(orders__17[[#This Row],[Order_ID]],returns[#All],2,0)</f>
        <v>No</v>
      </c>
    </row>
    <row r="1261" spans="1:13" x14ac:dyDescent="0.3">
      <c r="A1261" s="1" t="s">
        <v>1567</v>
      </c>
      <c r="B1261" s="2">
        <v>44914</v>
      </c>
      <c r="C1261" s="1" t="s">
        <v>233</v>
      </c>
      <c r="D1261" s="1" t="s">
        <v>139</v>
      </c>
      <c r="E1261">
        <v>1</v>
      </c>
      <c r="F1261" s="4">
        <v>185.33</v>
      </c>
      <c r="G1261" s="3">
        <v>0</v>
      </c>
      <c r="H1261" s="4">
        <v>28.31</v>
      </c>
      <c r="I1261" t="str">
        <f>VLOOKUP(orders__17[[#This Row],[Customer_ID]],customers__2[#All],3,0)</f>
        <v>South</v>
      </c>
      <c r="J1261" t="str">
        <f>VLOOKUP(orders__17[[#This Row],[Customer_ID]],customers__2[#All],4,0)</f>
        <v>Home Office</v>
      </c>
      <c r="K1261" t="str">
        <f>VLOOKUP(orders__17[[#This Row],[Product_ID]],products[#All],3,0)</f>
        <v>Furniture</v>
      </c>
      <c r="L1261" s="1" t="str">
        <f>VLOOKUP(orders__17[[#This Row],[Product_ID]],products[#All],4,0)</f>
        <v>Table</v>
      </c>
      <c r="M1261" s="1" t="str">
        <f>VLOOKUP(orders__17[[#This Row],[Order_ID]],returns[#All],2,0)</f>
        <v>No</v>
      </c>
    </row>
    <row r="1262" spans="1:13" x14ac:dyDescent="0.3">
      <c r="A1262" s="1" t="s">
        <v>1568</v>
      </c>
      <c r="B1262" s="2">
        <v>45369</v>
      </c>
      <c r="C1262" s="1" t="s">
        <v>396</v>
      </c>
      <c r="D1262" s="1" t="s">
        <v>34</v>
      </c>
      <c r="E1262">
        <v>5</v>
      </c>
      <c r="F1262" s="4">
        <v>1545.92</v>
      </c>
      <c r="G1262" s="3">
        <v>0.3</v>
      </c>
      <c r="H1262" s="4">
        <v>310.85000000000002</v>
      </c>
      <c r="I1262" t="str">
        <f>VLOOKUP(orders__17[[#This Row],[Customer_ID]],customers__2[#All],3,0)</f>
        <v>West</v>
      </c>
      <c r="J1262" t="str">
        <f>VLOOKUP(orders__17[[#This Row],[Customer_ID]],customers__2[#All],4,0)</f>
        <v>Home Office</v>
      </c>
      <c r="K1262" t="str">
        <f>VLOOKUP(orders__17[[#This Row],[Product_ID]],products[#All],3,0)</f>
        <v>Furniture</v>
      </c>
      <c r="L1262" s="1" t="str">
        <f>VLOOKUP(orders__17[[#This Row],[Product_ID]],products[#All],4,0)</f>
        <v>Table</v>
      </c>
      <c r="M1262" s="1" t="str">
        <f>VLOOKUP(orders__17[[#This Row],[Order_ID]],returns[#All],2,0)</f>
        <v>No</v>
      </c>
    </row>
    <row r="1263" spans="1:13" x14ac:dyDescent="0.3">
      <c r="A1263" s="1" t="s">
        <v>1569</v>
      </c>
      <c r="B1263" s="2">
        <v>44813</v>
      </c>
      <c r="C1263" s="1" t="s">
        <v>425</v>
      </c>
      <c r="D1263" s="1" t="s">
        <v>141</v>
      </c>
      <c r="E1263">
        <v>1</v>
      </c>
      <c r="F1263" s="4">
        <v>806.28</v>
      </c>
      <c r="G1263" s="3">
        <v>0.3</v>
      </c>
      <c r="H1263" s="4">
        <v>167.31</v>
      </c>
      <c r="I1263" t="str">
        <f>VLOOKUP(orders__17[[#This Row],[Customer_ID]],customers__2[#All],3,0)</f>
        <v>East</v>
      </c>
      <c r="J1263" t="str">
        <f>VLOOKUP(orders__17[[#This Row],[Customer_ID]],customers__2[#All],4,0)</f>
        <v>Home Office</v>
      </c>
      <c r="K1263" t="str">
        <f>VLOOKUP(orders__17[[#This Row],[Product_ID]],products[#All],3,0)</f>
        <v>Technology</v>
      </c>
      <c r="L1263" s="1" t="str">
        <f>VLOOKUP(orders__17[[#This Row],[Product_ID]],products[#All],4,0)</f>
        <v>Phone</v>
      </c>
      <c r="M1263" s="1" t="str">
        <f>VLOOKUP(orders__17[[#This Row],[Order_ID]],returns[#All],2,0)</f>
        <v>No</v>
      </c>
    </row>
    <row r="1264" spans="1:13" x14ac:dyDescent="0.3">
      <c r="A1264" s="1" t="s">
        <v>1570</v>
      </c>
      <c r="B1264" s="2">
        <v>44910</v>
      </c>
      <c r="C1264" s="1" t="s">
        <v>360</v>
      </c>
      <c r="D1264" s="1" t="s">
        <v>161</v>
      </c>
      <c r="E1264">
        <v>2</v>
      </c>
      <c r="F1264" s="4">
        <v>845.67</v>
      </c>
      <c r="G1264" s="3">
        <v>0.2</v>
      </c>
      <c r="H1264" s="4">
        <v>130.53</v>
      </c>
      <c r="I1264" t="str">
        <f>VLOOKUP(orders__17[[#This Row],[Customer_ID]],customers__2[#All],3,0)</f>
        <v>South</v>
      </c>
      <c r="J1264" t="str">
        <f>VLOOKUP(orders__17[[#This Row],[Customer_ID]],customers__2[#All],4,0)</f>
        <v>Home Office</v>
      </c>
      <c r="K1264" t="str">
        <f>VLOOKUP(orders__17[[#This Row],[Product_ID]],products[#All],3,0)</f>
        <v>Office Supplies</v>
      </c>
      <c r="L1264" s="1" t="str">
        <f>VLOOKUP(orders__17[[#This Row],[Product_ID]],products[#All],4,0)</f>
        <v>Binder</v>
      </c>
      <c r="M1264" s="1" t="str">
        <f>VLOOKUP(orders__17[[#This Row],[Order_ID]],returns[#All],2,0)</f>
        <v>No</v>
      </c>
    </row>
    <row r="1265" spans="1:13" x14ac:dyDescent="0.3">
      <c r="A1265" s="1" t="s">
        <v>1571</v>
      </c>
      <c r="B1265" s="2">
        <v>45320</v>
      </c>
      <c r="C1265" s="1" t="s">
        <v>691</v>
      </c>
      <c r="D1265" s="1" t="s">
        <v>221</v>
      </c>
      <c r="E1265">
        <v>1</v>
      </c>
      <c r="F1265" s="4">
        <v>1533.1</v>
      </c>
      <c r="G1265" s="3">
        <v>0.3</v>
      </c>
      <c r="H1265" s="4">
        <v>131.97</v>
      </c>
      <c r="I1265" t="str">
        <f>VLOOKUP(orders__17[[#This Row],[Customer_ID]],customers__2[#All],3,0)</f>
        <v>West</v>
      </c>
      <c r="J1265" t="str">
        <f>VLOOKUP(orders__17[[#This Row],[Customer_ID]],customers__2[#All],4,0)</f>
        <v>Corporate</v>
      </c>
      <c r="K1265" t="str">
        <f>VLOOKUP(orders__17[[#This Row],[Product_ID]],products[#All],3,0)</f>
        <v>Technology</v>
      </c>
      <c r="L1265" s="1" t="str">
        <f>VLOOKUP(orders__17[[#This Row],[Product_ID]],products[#All],4,0)</f>
        <v>Laptop</v>
      </c>
      <c r="M1265" s="1" t="str">
        <f>VLOOKUP(orders__17[[#This Row],[Order_ID]],returns[#All],2,0)</f>
        <v>No</v>
      </c>
    </row>
    <row r="1266" spans="1:13" x14ac:dyDescent="0.3">
      <c r="A1266" s="1" t="s">
        <v>1572</v>
      </c>
      <c r="B1266" s="2">
        <v>45355</v>
      </c>
      <c r="C1266" s="1" t="s">
        <v>198</v>
      </c>
      <c r="D1266" s="1" t="s">
        <v>400</v>
      </c>
      <c r="E1266">
        <v>1</v>
      </c>
      <c r="F1266" s="4">
        <v>1845.01</v>
      </c>
      <c r="G1266" s="3">
        <v>0.2</v>
      </c>
      <c r="H1266" s="4">
        <v>135.41</v>
      </c>
      <c r="I1266" t="str">
        <f>VLOOKUP(orders__17[[#This Row],[Customer_ID]],customers__2[#All],3,0)</f>
        <v>North</v>
      </c>
      <c r="J1266" t="str">
        <f>VLOOKUP(orders__17[[#This Row],[Customer_ID]],customers__2[#All],4,0)</f>
        <v>Consumer</v>
      </c>
      <c r="K1266" t="str">
        <f>VLOOKUP(orders__17[[#This Row],[Product_ID]],products[#All],3,0)</f>
        <v>Office Supplies</v>
      </c>
      <c r="L1266" s="1" t="str">
        <f>VLOOKUP(orders__17[[#This Row],[Product_ID]],products[#All],4,0)</f>
        <v>Paper</v>
      </c>
      <c r="M1266" s="1" t="str">
        <f>VLOOKUP(orders__17[[#This Row],[Order_ID]],returns[#All],2,0)</f>
        <v>Yes</v>
      </c>
    </row>
    <row r="1267" spans="1:13" x14ac:dyDescent="0.3">
      <c r="A1267" s="1" t="s">
        <v>1573</v>
      </c>
      <c r="B1267" s="2">
        <v>45179</v>
      </c>
      <c r="C1267" s="1" t="s">
        <v>208</v>
      </c>
      <c r="D1267" s="1" t="s">
        <v>156</v>
      </c>
      <c r="E1267">
        <v>4</v>
      </c>
      <c r="F1267" s="4">
        <v>1906.76</v>
      </c>
      <c r="G1267" s="3">
        <v>0.2</v>
      </c>
      <c r="H1267" s="4">
        <v>103.29</v>
      </c>
      <c r="I1267" t="str">
        <f>VLOOKUP(orders__17[[#This Row],[Customer_ID]],customers__2[#All],3,0)</f>
        <v>North</v>
      </c>
      <c r="J1267" t="str">
        <f>VLOOKUP(orders__17[[#This Row],[Customer_ID]],customers__2[#All],4,0)</f>
        <v>Home Office</v>
      </c>
      <c r="K1267" t="str">
        <f>VLOOKUP(orders__17[[#This Row],[Product_ID]],products[#All],3,0)</f>
        <v>Furniture</v>
      </c>
      <c r="L1267" s="1" t="str">
        <f>VLOOKUP(orders__17[[#This Row],[Product_ID]],products[#All],4,0)</f>
        <v>Desk</v>
      </c>
      <c r="M1267" s="1" t="str">
        <f>VLOOKUP(orders__17[[#This Row],[Order_ID]],returns[#All],2,0)</f>
        <v>No</v>
      </c>
    </row>
    <row r="1268" spans="1:13" x14ac:dyDescent="0.3">
      <c r="A1268" s="1" t="s">
        <v>1574</v>
      </c>
      <c r="B1268" s="2">
        <v>44735</v>
      </c>
      <c r="C1268" s="1" t="s">
        <v>306</v>
      </c>
      <c r="D1268" s="1" t="s">
        <v>242</v>
      </c>
      <c r="E1268">
        <v>3</v>
      </c>
      <c r="F1268" s="4">
        <v>1196.53</v>
      </c>
      <c r="G1268" s="3">
        <v>0.3</v>
      </c>
      <c r="H1268" s="4">
        <v>321.13</v>
      </c>
      <c r="I1268" t="str">
        <f>VLOOKUP(orders__17[[#This Row],[Customer_ID]],customers__2[#All],3,0)</f>
        <v>North</v>
      </c>
      <c r="J1268" t="str">
        <f>VLOOKUP(orders__17[[#This Row],[Customer_ID]],customers__2[#All],4,0)</f>
        <v>Consumer</v>
      </c>
      <c r="K1268" t="str">
        <f>VLOOKUP(orders__17[[#This Row],[Product_ID]],products[#All],3,0)</f>
        <v>Technology</v>
      </c>
      <c r="L1268" s="1" t="str">
        <f>VLOOKUP(orders__17[[#This Row],[Product_ID]],products[#All],4,0)</f>
        <v>Phone</v>
      </c>
      <c r="M1268" s="1" t="str">
        <f>VLOOKUP(orders__17[[#This Row],[Order_ID]],returns[#All],2,0)</f>
        <v>No</v>
      </c>
    </row>
    <row r="1269" spans="1:13" x14ac:dyDescent="0.3">
      <c r="A1269" s="1" t="s">
        <v>1575</v>
      </c>
      <c r="B1269" s="2">
        <v>45369</v>
      </c>
      <c r="C1269" s="1" t="s">
        <v>980</v>
      </c>
      <c r="D1269" s="1" t="s">
        <v>218</v>
      </c>
      <c r="E1269">
        <v>5</v>
      </c>
      <c r="F1269" s="4">
        <v>778.53</v>
      </c>
      <c r="G1269" s="3">
        <v>0.2</v>
      </c>
      <c r="H1269" s="4">
        <v>84.95</v>
      </c>
      <c r="I1269" t="str">
        <f>VLOOKUP(orders__17[[#This Row],[Customer_ID]],customers__2[#All],3,0)</f>
        <v>South</v>
      </c>
      <c r="J1269" t="str">
        <f>VLOOKUP(orders__17[[#This Row],[Customer_ID]],customers__2[#All],4,0)</f>
        <v>Home Office</v>
      </c>
      <c r="K1269" t="str">
        <f>VLOOKUP(orders__17[[#This Row],[Product_ID]],products[#All],3,0)</f>
        <v>Office Supplies</v>
      </c>
      <c r="L1269" s="1" t="str">
        <f>VLOOKUP(orders__17[[#This Row],[Product_ID]],products[#All],4,0)</f>
        <v>Storage</v>
      </c>
      <c r="M1269" s="1" t="str">
        <f>VLOOKUP(orders__17[[#This Row],[Order_ID]],returns[#All],2,0)</f>
        <v>No</v>
      </c>
    </row>
    <row r="1270" spans="1:13" x14ac:dyDescent="0.3">
      <c r="A1270" s="1" t="s">
        <v>1576</v>
      </c>
      <c r="B1270" s="2">
        <v>45239</v>
      </c>
      <c r="C1270" s="1" t="s">
        <v>406</v>
      </c>
      <c r="D1270" s="1" t="s">
        <v>301</v>
      </c>
      <c r="E1270">
        <v>1</v>
      </c>
      <c r="F1270" s="4">
        <v>1596.34</v>
      </c>
      <c r="G1270" s="3">
        <v>0.2</v>
      </c>
      <c r="H1270" s="4">
        <v>164.23</v>
      </c>
      <c r="I1270" t="str">
        <f>VLOOKUP(orders__17[[#This Row],[Customer_ID]],customers__2[#All],3,0)</f>
        <v>East</v>
      </c>
      <c r="J1270" t="str">
        <f>VLOOKUP(orders__17[[#This Row],[Customer_ID]],customers__2[#All],4,0)</f>
        <v>Home Office</v>
      </c>
      <c r="K1270" t="str">
        <f>VLOOKUP(orders__17[[#This Row],[Product_ID]],products[#All],3,0)</f>
        <v>Furniture</v>
      </c>
      <c r="L1270" s="1" t="str">
        <f>VLOOKUP(orders__17[[#This Row],[Product_ID]],products[#All],4,0)</f>
        <v>Table</v>
      </c>
      <c r="M1270" s="1" t="str">
        <f>VLOOKUP(orders__17[[#This Row],[Order_ID]],returns[#All],2,0)</f>
        <v>No</v>
      </c>
    </row>
    <row r="1271" spans="1:13" x14ac:dyDescent="0.3">
      <c r="A1271" s="1" t="s">
        <v>1577</v>
      </c>
      <c r="B1271" s="2">
        <v>44590</v>
      </c>
      <c r="C1271" s="1" t="s">
        <v>388</v>
      </c>
      <c r="D1271" s="1" t="s">
        <v>727</v>
      </c>
      <c r="E1271">
        <v>5</v>
      </c>
      <c r="F1271" s="4">
        <v>576.9</v>
      </c>
      <c r="G1271" s="3">
        <v>0.2</v>
      </c>
      <c r="H1271" s="4">
        <v>135</v>
      </c>
      <c r="I1271" t="str">
        <f>VLOOKUP(orders__17[[#This Row],[Customer_ID]],customers__2[#All],3,0)</f>
        <v>East</v>
      </c>
      <c r="J1271" t="str">
        <f>VLOOKUP(orders__17[[#This Row],[Customer_ID]],customers__2[#All],4,0)</f>
        <v>Home Office</v>
      </c>
      <c r="K1271" t="str">
        <f>VLOOKUP(orders__17[[#This Row],[Product_ID]],products[#All],3,0)</f>
        <v>Furniture</v>
      </c>
      <c r="L1271" s="1" t="str">
        <f>VLOOKUP(orders__17[[#This Row],[Product_ID]],products[#All],4,0)</f>
        <v>Chair</v>
      </c>
      <c r="M1271" s="1" t="str">
        <f>VLOOKUP(orders__17[[#This Row],[Order_ID]],returns[#All],2,0)</f>
        <v>No</v>
      </c>
    </row>
    <row r="1272" spans="1:13" x14ac:dyDescent="0.3">
      <c r="A1272" s="1" t="s">
        <v>1578</v>
      </c>
      <c r="B1272" s="2">
        <v>44696</v>
      </c>
      <c r="C1272" s="1" t="s">
        <v>99</v>
      </c>
      <c r="D1272" s="1" t="s">
        <v>10</v>
      </c>
      <c r="E1272">
        <v>1</v>
      </c>
      <c r="F1272" s="4">
        <v>1171.74</v>
      </c>
      <c r="G1272" s="3">
        <v>0.1</v>
      </c>
      <c r="H1272" s="4">
        <v>152.33000000000001</v>
      </c>
      <c r="I1272" t="str">
        <f>VLOOKUP(orders__17[[#This Row],[Customer_ID]],customers__2[#All],3,0)</f>
        <v>East</v>
      </c>
      <c r="J1272" t="str">
        <f>VLOOKUP(orders__17[[#This Row],[Customer_ID]],customers__2[#All],4,0)</f>
        <v>Corporate</v>
      </c>
      <c r="K1272" t="str">
        <f>VLOOKUP(orders__17[[#This Row],[Product_ID]],products[#All],3,0)</f>
        <v>Technology</v>
      </c>
      <c r="L1272" s="1" t="str">
        <f>VLOOKUP(orders__17[[#This Row],[Product_ID]],products[#All],4,0)</f>
        <v>Tablet</v>
      </c>
      <c r="M1272" s="1" t="str">
        <f>VLOOKUP(orders__17[[#This Row],[Order_ID]],returns[#All],2,0)</f>
        <v>Yes</v>
      </c>
    </row>
    <row r="1273" spans="1:13" x14ac:dyDescent="0.3">
      <c r="A1273" s="1" t="s">
        <v>1579</v>
      </c>
      <c r="B1273" s="2">
        <v>44901</v>
      </c>
      <c r="C1273" s="1" t="s">
        <v>436</v>
      </c>
      <c r="D1273" s="1" t="s">
        <v>141</v>
      </c>
      <c r="E1273">
        <v>2</v>
      </c>
      <c r="F1273" s="4">
        <v>781.3</v>
      </c>
      <c r="G1273" s="3">
        <v>0.2</v>
      </c>
      <c r="H1273" s="4">
        <v>137.91</v>
      </c>
      <c r="I1273" t="str">
        <f>VLOOKUP(orders__17[[#This Row],[Customer_ID]],customers__2[#All],3,0)</f>
        <v>East</v>
      </c>
      <c r="J1273" t="str">
        <f>VLOOKUP(orders__17[[#This Row],[Customer_ID]],customers__2[#All],4,0)</f>
        <v>Consumer</v>
      </c>
      <c r="K1273" t="str">
        <f>VLOOKUP(orders__17[[#This Row],[Product_ID]],products[#All],3,0)</f>
        <v>Technology</v>
      </c>
      <c r="L1273" s="1" t="str">
        <f>VLOOKUP(orders__17[[#This Row],[Product_ID]],products[#All],4,0)</f>
        <v>Phone</v>
      </c>
      <c r="M1273" s="1" t="str">
        <f>VLOOKUP(orders__17[[#This Row],[Order_ID]],returns[#All],2,0)</f>
        <v>Yes</v>
      </c>
    </row>
    <row r="1274" spans="1:13" x14ac:dyDescent="0.3">
      <c r="A1274" s="1" t="s">
        <v>1580</v>
      </c>
      <c r="B1274" s="2">
        <v>44606</v>
      </c>
      <c r="C1274" s="1" t="s">
        <v>176</v>
      </c>
      <c r="D1274" s="1" t="s">
        <v>660</v>
      </c>
      <c r="E1274">
        <v>1</v>
      </c>
      <c r="F1274" s="4">
        <v>1347.6</v>
      </c>
      <c r="G1274" s="3">
        <v>0.1</v>
      </c>
      <c r="H1274" s="4">
        <v>122.13</v>
      </c>
      <c r="I1274" t="str">
        <f>VLOOKUP(orders__17[[#This Row],[Customer_ID]],customers__2[#All],3,0)</f>
        <v>South</v>
      </c>
      <c r="J1274" t="str">
        <f>VLOOKUP(orders__17[[#This Row],[Customer_ID]],customers__2[#All],4,0)</f>
        <v>Home Office</v>
      </c>
      <c r="K1274" t="str">
        <f>VLOOKUP(orders__17[[#This Row],[Product_ID]],products[#All],3,0)</f>
        <v>Office Supplies</v>
      </c>
      <c r="L1274" s="1" t="str">
        <f>VLOOKUP(orders__17[[#This Row],[Product_ID]],products[#All],4,0)</f>
        <v>Storage</v>
      </c>
      <c r="M1274" s="1" t="str">
        <f>VLOOKUP(orders__17[[#This Row],[Order_ID]],returns[#All],2,0)</f>
        <v>No</v>
      </c>
    </row>
    <row r="1275" spans="1:13" x14ac:dyDescent="0.3">
      <c r="A1275" s="1" t="s">
        <v>1581</v>
      </c>
      <c r="B1275" s="2">
        <v>45129</v>
      </c>
      <c r="C1275" s="1" t="s">
        <v>1056</v>
      </c>
      <c r="D1275" s="1" t="s">
        <v>361</v>
      </c>
      <c r="E1275">
        <v>4</v>
      </c>
      <c r="F1275" s="4">
        <v>556.76</v>
      </c>
      <c r="G1275" s="3">
        <v>0.1</v>
      </c>
      <c r="H1275" s="4">
        <v>161.43</v>
      </c>
      <c r="I1275" t="str">
        <f>VLOOKUP(orders__17[[#This Row],[Customer_ID]],customers__2[#All],3,0)</f>
        <v>North</v>
      </c>
      <c r="J1275" t="str">
        <f>VLOOKUP(orders__17[[#This Row],[Customer_ID]],customers__2[#All],4,0)</f>
        <v>Corporate</v>
      </c>
      <c r="K1275" t="str">
        <f>VLOOKUP(orders__17[[#This Row],[Product_ID]],products[#All],3,0)</f>
        <v>Furniture</v>
      </c>
      <c r="L1275" s="1" t="str">
        <f>VLOOKUP(orders__17[[#This Row],[Product_ID]],products[#All],4,0)</f>
        <v>Shelf</v>
      </c>
      <c r="M1275" s="1" t="str">
        <f>VLOOKUP(orders__17[[#This Row],[Order_ID]],returns[#All],2,0)</f>
        <v>No</v>
      </c>
    </row>
    <row r="1276" spans="1:13" x14ac:dyDescent="0.3">
      <c r="A1276" s="1" t="s">
        <v>1582</v>
      </c>
      <c r="B1276" s="2">
        <v>44969</v>
      </c>
      <c r="C1276" s="1" t="s">
        <v>165</v>
      </c>
      <c r="D1276" s="1" t="s">
        <v>372</v>
      </c>
      <c r="E1276">
        <v>3</v>
      </c>
      <c r="F1276" s="4">
        <v>464.03</v>
      </c>
      <c r="G1276" s="3">
        <v>0.2</v>
      </c>
      <c r="H1276" s="4">
        <v>121.99</v>
      </c>
      <c r="I1276" t="str">
        <f>VLOOKUP(orders__17[[#This Row],[Customer_ID]],customers__2[#All],3,0)</f>
        <v>West</v>
      </c>
      <c r="J1276" t="str">
        <f>VLOOKUP(orders__17[[#This Row],[Customer_ID]],customers__2[#All],4,0)</f>
        <v>Corporate</v>
      </c>
      <c r="K1276" t="str">
        <f>VLOOKUP(orders__17[[#This Row],[Product_ID]],products[#All],3,0)</f>
        <v>Furniture</v>
      </c>
      <c r="L1276" s="1" t="str">
        <f>VLOOKUP(orders__17[[#This Row],[Product_ID]],products[#All],4,0)</f>
        <v>Shelf</v>
      </c>
      <c r="M1276" s="1" t="str">
        <f>VLOOKUP(orders__17[[#This Row],[Order_ID]],returns[#All],2,0)</f>
        <v>No</v>
      </c>
    </row>
    <row r="1277" spans="1:13" x14ac:dyDescent="0.3">
      <c r="A1277" s="1" t="s">
        <v>1583</v>
      </c>
      <c r="B1277" s="2">
        <v>45110</v>
      </c>
      <c r="C1277" s="1" t="s">
        <v>50</v>
      </c>
      <c r="D1277" s="1" t="s">
        <v>201</v>
      </c>
      <c r="E1277">
        <v>2</v>
      </c>
      <c r="F1277" s="4">
        <v>1844.65</v>
      </c>
      <c r="G1277" s="3">
        <v>0.2</v>
      </c>
      <c r="H1277" s="4">
        <v>490.58</v>
      </c>
      <c r="I1277" t="str">
        <f>VLOOKUP(orders__17[[#This Row],[Customer_ID]],customers__2[#All],3,0)</f>
        <v>East</v>
      </c>
      <c r="J1277" t="str">
        <f>VLOOKUP(orders__17[[#This Row],[Customer_ID]],customers__2[#All],4,0)</f>
        <v>Corporate</v>
      </c>
      <c r="K1277" t="str">
        <f>VLOOKUP(orders__17[[#This Row],[Product_ID]],products[#All],3,0)</f>
        <v>Office Supplies</v>
      </c>
      <c r="L1277" s="1" t="str">
        <f>VLOOKUP(orders__17[[#This Row],[Product_ID]],products[#All],4,0)</f>
        <v>Paper</v>
      </c>
      <c r="M1277" s="1" t="str">
        <f>VLOOKUP(orders__17[[#This Row],[Order_ID]],returns[#All],2,0)</f>
        <v>No</v>
      </c>
    </row>
    <row r="1278" spans="1:13" x14ac:dyDescent="0.3">
      <c r="A1278" s="1" t="s">
        <v>1584</v>
      </c>
      <c r="B1278" s="2">
        <v>45094</v>
      </c>
      <c r="C1278" s="1" t="s">
        <v>15</v>
      </c>
      <c r="D1278" s="1" t="s">
        <v>239</v>
      </c>
      <c r="E1278">
        <v>1</v>
      </c>
      <c r="F1278" s="4">
        <v>293.43</v>
      </c>
      <c r="G1278" s="3">
        <v>0.1</v>
      </c>
      <c r="H1278" s="4">
        <v>44.51</v>
      </c>
      <c r="I1278" t="str">
        <f>VLOOKUP(orders__17[[#This Row],[Customer_ID]],customers__2[#All],3,0)</f>
        <v>West</v>
      </c>
      <c r="J1278" t="str">
        <f>VLOOKUP(orders__17[[#This Row],[Customer_ID]],customers__2[#All],4,0)</f>
        <v>Corporate</v>
      </c>
      <c r="K1278" t="str">
        <f>VLOOKUP(orders__17[[#This Row],[Product_ID]],products[#All],3,0)</f>
        <v>Furniture</v>
      </c>
      <c r="L1278" s="1" t="str">
        <f>VLOOKUP(orders__17[[#This Row],[Product_ID]],products[#All],4,0)</f>
        <v>Shelf</v>
      </c>
      <c r="M1278" s="1" t="str">
        <f>VLOOKUP(orders__17[[#This Row],[Order_ID]],returns[#All],2,0)</f>
        <v>No</v>
      </c>
    </row>
    <row r="1279" spans="1:13" x14ac:dyDescent="0.3">
      <c r="A1279" s="1" t="s">
        <v>1585</v>
      </c>
      <c r="B1279" s="2">
        <v>44964</v>
      </c>
      <c r="C1279" s="1" t="s">
        <v>380</v>
      </c>
      <c r="D1279" s="1" t="s">
        <v>221</v>
      </c>
      <c r="E1279">
        <v>5</v>
      </c>
      <c r="F1279" s="4">
        <v>1061.32</v>
      </c>
      <c r="G1279" s="3">
        <v>0.1</v>
      </c>
      <c r="H1279" s="4">
        <v>255.34</v>
      </c>
      <c r="I1279" t="str">
        <f>VLOOKUP(orders__17[[#This Row],[Customer_ID]],customers__2[#All],3,0)</f>
        <v>South</v>
      </c>
      <c r="J1279" t="str">
        <f>VLOOKUP(orders__17[[#This Row],[Customer_ID]],customers__2[#All],4,0)</f>
        <v>Home Office</v>
      </c>
      <c r="K1279" t="str">
        <f>VLOOKUP(orders__17[[#This Row],[Product_ID]],products[#All],3,0)</f>
        <v>Technology</v>
      </c>
      <c r="L1279" s="1" t="str">
        <f>VLOOKUP(orders__17[[#This Row],[Product_ID]],products[#All],4,0)</f>
        <v>Laptop</v>
      </c>
      <c r="M1279" s="1" t="str">
        <f>VLOOKUP(orders__17[[#This Row],[Order_ID]],returns[#All],2,0)</f>
        <v>No</v>
      </c>
    </row>
    <row r="1280" spans="1:13" x14ac:dyDescent="0.3">
      <c r="A1280" s="1" t="s">
        <v>1586</v>
      </c>
      <c r="B1280" s="2">
        <v>45130</v>
      </c>
      <c r="C1280" s="1" t="s">
        <v>248</v>
      </c>
      <c r="D1280" s="1" t="s">
        <v>502</v>
      </c>
      <c r="E1280">
        <v>2</v>
      </c>
      <c r="F1280" s="4">
        <v>519.62</v>
      </c>
      <c r="G1280" s="3">
        <v>0.2</v>
      </c>
      <c r="H1280" s="4">
        <v>44.67</v>
      </c>
      <c r="I1280" t="str">
        <f>VLOOKUP(orders__17[[#This Row],[Customer_ID]],customers__2[#All],3,0)</f>
        <v>East</v>
      </c>
      <c r="J1280" t="str">
        <f>VLOOKUP(orders__17[[#This Row],[Customer_ID]],customers__2[#All],4,0)</f>
        <v>Corporate</v>
      </c>
      <c r="K1280" t="str">
        <f>VLOOKUP(orders__17[[#This Row],[Product_ID]],products[#All],3,0)</f>
        <v>Furniture</v>
      </c>
      <c r="L1280" s="1" t="str">
        <f>VLOOKUP(orders__17[[#This Row],[Product_ID]],products[#All],4,0)</f>
        <v>Shelf</v>
      </c>
      <c r="M1280" s="1" t="str">
        <f>VLOOKUP(orders__17[[#This Row],[Order_ID]],returns[#All],2,0)</f>
        <v>No</v>
      </c>
    </row>
    <row r="1281" spans="1:13" x14ac:dyDescent="0.3">
      <c r="A1281" s="1" t="s">
        <v>1587</v>
      </c>
      <c r="B1281" s="2">
        <v>45371</v>
      </c>
      <c r="C1281" s="1" t="s">
        <v>1143</v>
      </c>
      <c r="D1281" s="1" t="s">
        <v>43</v>
      </c>
      <c r="E1281">
        <v>2</v>
      </c>
      <c r="F1281" s="4">
        <v>173.97</v>
      </c>
      <c r="G1281" s="3">
        <v>0.2</v>
      </c>
      <c r="H1281" s="4">
        <v>9.07</v>
      </c>
      <c r="I1281" t="str">
        <f>VLOOKUP(orders__17[[#This Row],[Customer_ID]],customers__2[#All],3,0)</f>
        <v>West</v>
      </c>
      <c r="J1281" t="str">
        <f>VLOOKUP(orders__17[[#This Row],[Customer_ID]],customers__2[#All],4,0)</f>
        <v>Corporate</v>
      </c>
      <c r="K1281" t="str">
        <f>VLOOKUP(orders__17[[#This Row],[Product_ID]],products[#All],3,0)</f>
        <v>Technology</v>
      </c>
      <c r="L1281" s="1" t="str">
        <f>VLOOKUP(orders__17[[#This Row],[Product_ID]],products[#All],4,0)</f>
        <v>Tablet</v>
      </c>
      <c r="M1281" s="1" t="str">
        <f>VLOOKUP(orders__17[[#This Row],[Order_ID]],returns[#All],2,0)</f>
        <v>No</v>
      </c>
    </row>
    <row r="1282" spans="1:13" x14ac:dyDescent="0.3">
      <c r="A1282" s="1" t="s">
        <v>1588</v>
      </c>
      <c r="B1282" s="2">
        <v>45001</v>
      </c>
      <c r="C1282" s="1" t="s">
        <v>685</v>
      </c>
      <c r="D1282" s="1" t="s">
        <v>269</v>
      </c>
      <c r="E1282">
        <v>1</v>
      </c>
      <c r="F1282" s="4">
        <v>168.44</v>
      </c>
      <c r="G1282" s="3">
        <v>0.3</v>
      </c>
      <c r="H1282" s="4">
        <v>9.26</v>
      </c>
      <c r="I1282" t="str">
        <f>VLOOKUP(orders__17[[#This Row],[Customer_ID]],customers__2[#All],3,0)</f>
        <v>East</v>
      </c>
      <c r="J1282" t="str">
        <f>VLOOKUP(orders__17[[#This Row],[Customer_ID]],customers__2[#All],4,0)</f>
        <v>Home Office</v>
      </c>
      <c r="K1282" t="str">
        <f>VLOOKUP(orders__17[[#This Row],[Product_ID]],products[#All],3,0)</f>
        <v>Office Supplies</v>
      </c>
      <c r="L1282" s="1" t="str">
        <f>VLOOKUP(orders__17[[#This Row],[Product_ID]],products[#All],4,0)</f>
        <v>Pen</v>
      </c>
      <c r="M1282" s="1" t="str">
        <f>VLOOKUP(orders__17[[#This Row],[Order_ID]],returns[#All],2,0)</f>
        <v>Yes</v>
      </c>
    </row>
    <row r="1283" spans="1:13" x14ac:dyDescent="0.3">
      <c r="A1283" s="1" t="s">
        <v>1589</v>
      </c>
      <c r="B1283" s="2">
        <v>45443</v>
      </c>
      <c r="C1283" s="1" t="s">
        <v>63</v>
      </c>
      <c r="D1283" s="1" t="s">
        <v>43</v>
      </c>
      <c r="E1283">
        <v>2</v>
      </c>
      <c r="F1283" s="4">
        <v>432.92</v>
      </c>
      <c r="G1283" s="3">
        <v>0.1</v>
      </c>
      <c r="H1283" s="4">
        <v>85.13</v>
      </c>
      <c r="I1283" t="str">
        <f>VLOOKUP(orders__17[[#This Row],[Customer_ID]],customers__2[#All],3,0)</f>
        <v>East</v>
      </c>
      <c r="J1283" t="str">
        <f>VLOOKUP(orders__17[[#This Row],[Customer_ID]],customers__2[#All],4,0)</f>
        <v>Home Office</v>
      </c>
      <c r="K1283" t="str">
        <f>VLOOKUP(orders__17[[#This Row],[Product_ID]],products[#All],3,0)</f>
        <v>Technology</v>
      </c>
      <c r="L1283" s="1" t="str">
        <f>VLOOKUP(orders__17[[#This Row],[Product_ID]],products[#All],4,0)</f>
        <v>Tablet</v>
      </c>
      <c r="M1283" s="1" t="str">
        <f>VLOOKUP(orders__17[[#This Row],[Order_ID]],returns[#All],2,0)</f>
        <v>Yes</v>
      </c>
    </row>
    <row r="1284" spans="1:13" x14ac:dyDescent="0.3">
      <c r="A1284" s="1" t="s">
        <v>1590</v>
      </c>
      <c r="B1284" s="2">
        <v>45039</v>
      </c>
      <c r="C1284" s="1" t="s">
        <v>106</v>
      </c>
      <c r="D1284" s="1" t="s">
        <v>455</v>
      </c>
      <c r="E1284">
        <v>5</v>
      </c>
      <c r="F1284" s="4">
        <v>1746.86</v>
      </c>
      <c r="G1284" s="3">
        <v>0.1</v>
      </c>
      <c r="H1284" s="4">
        <v>286.22000000000003</v>
      </c>
      <c r="I1284" t="str">
        <f>VLOOKUP(orders__17[[#This Row],[Customer_ID]],customers__2[#All],3,0)</f>
        <v>South</v>
      </c>
      <c r="J1284" t="str">
        <f>VLOOKUP(orders__17[[#This Row],[Customer_ID]],customers__2[#All],4,0)</f>
        <v>Consumer</v>
      </c>
      <c r="K1284" t="str">
        <f>VLOOKUP(orders__17[[#This Row],[Product_ID]],products[#All],3,0)</f>
        <v>Furniture</v>
      </c>
      <c r="L1284" s="1" t="str">
        <f>VLOOKUP(orders__17[[#This Row],[Product_ID]],products[#All],4,0)</f>
        <v>Shelf</v>
      </c>
      <c r="M1284" s="1" t="str">
        <f>VLOOKUP(orders__17[[#This Row],[Order_ID]],returns[#All],2,0)</f>
        <v>Yes</v>
      </c>
    </row>
    <row r="1285" spans="1:13" x14ac:dyDescent="0.3">
      <c r="A1285" s="1" t="s">
        <v>1591</v>
      </c>
      <c r="B1285" s="2">
        <v>45095</v>
      </c>
      <c r="C1285" s="1" t="s">
        <v>344</v>
      </c>
      <c r="D1285" s="1" t="s">
        <v>122</v>
      </c>
      <c r="E1285">
        <v>2</v>
      </c>
      <c r="F1285" s="4">
        <v>636.71</v>
      </c>
      <c r="G1285" s="3">
        <v>0.3</v>
      </c>
      <c r="H1285" s="4">
        <v>114.29</v>
      </c>
      <c r="I1285" t="str">
        <f>VLOOKUP(orders__17[[#This Row],[Customer_ID]],customers__2[#All],3,0)</f>
        <v>North</v>
      </c>
      <c r="J1285" t="str">
        <f>VLOOKUP(orders__17[[#This Row],[Customer_ID]],customers__2[#All],4,0)</f>
        <v>Home Office</v>
      </c>
      <c r="K1285" t="str">
        <f>VLOOKUP(orders__17[[#This Row],[Product_ID]],products[#All],3,0)</f>
        <v>Office Supplies</v>
      </c>
      <c r="L1285" s="1" t="str">
        <f>VLOOKUP(orders__17[[#This Row],[Product_ID]],products[#All],4,0)</f>
        <v>Storage</v>
      </c>
      <c r="M1285" s="1" t="str">
        <f>VLOOKUP(orders__17[[#This Row],[Order_ID]],returns[#All],2,0)</f>
        <v>Yes</v>
      </c>
    </row>
    <row r="1286" spans="1:13" x14ac:dyDescent="0.3">
      <c r="A1286" s="1" t="s">
        <v>1592</v>
      </c>
      <c r="B1286" s="2">
        <v>44699</v>
      </c>
      <c r="C1286" s="1" t="s">
        <v>104</v>
      </c>
      <c r="D1286" s="1" t="s">
        <v>170</v>
      </c>
      <c r="E1286">
        <v>5</v>
      </c>
      <c r="F1286" s="4">
        <v>1905.87</v>
      </c>
      <c r="G1286" s="3">
        <v>0.1</v>
      </c>
      <c r="H1286" s="4">
        <v>98.85</v>
      </c>
      <c r="I1286" t="str">
        <f>VLOOKUP(orders__17[[#This Row],[Customer_ID]],customers__2[#All],3,0)</f>
        <v>West</v>
      </c>
      <c r="J1286" t="str">
        <f>VLOOKUP(orders__17[[#This Row],[Customer_ID]],customers__2[#All],4,0)</f>
        <v>Corporate</v>
      </c>
      <c r="K1286" t="str">
        <f>VLOOKUP(orders__17[[#This Row],[Product_ID]],products[#All],3,0)</f>
        <v>Furniture</v>
      </c>
      <c r="L1286" s="1" t="str">
        <f>VLOOKUP(orders__17[[#This Row],[Product_ID]],products[#All],4,0)</f>
        <v>Shelf</v>
      </c>
      <c r="M1286" s="1" t="str">
        <f>VLOOKUP(orders__17[[#This Row],[Order_ID]],returns[#All],2,0)</f>
        <v>Yes</v>
      </c>
    </row>
    <row r="1287" spans="1:13" x14ac:dyDescent="0.3">
      <c r="A1287" s="1" t="s">
        <v>1593</v>
      </c>
      <c r="B1287" s="2">
        <v>45043</v>
      </c>
      <c r="C1287" s="1" t="s">
        <v>252</v>
      </c>
      <c r="D1287" s="1" t="s">
        <v>269</v>
      </c>
      <c r="E1287">
        <v>1</v>
      </c>
      <c r="F1287" s="4">
        <v>1205.08</v>
      </c>
      <c r="G1287" s="3">
        <v>0</v>
      </c>
      <c r="H1287" s="4">
        <v>187.6</v>
      </c>
      <c r="I1287" t="str">
        <f>VLOOKUP(orders__17[[#This Row],[Customer_ID]],customers__2[#All],3,0)</f>
        <v>North</v>
      </c>
      <c r="J1287" t="str">
        <f>VLOOKUP(orders__17[[#This Row],[Customer_ID]],customers__2[#All],4,0)</f>
        <v>Home Office</v>
      </c>
      <c r="K1287" t="str">
        <f>VLOOKUP(orders__17[[#This Row],[Product_ID]],products[#All],3,0)</f>
        <v>Office Supplies</v>
      </c>
      <c r="L1287" s="1" t="str">
        <f>VLOOKUP(orders__17[[#This Row],[Product_ID]],products[#All],4,0)</f>
        <v>Pen</v>
      </c>
      <c r="M1287" s="1" t="str">
        <f>VLOOKUP(orders__17[[#This Row],[Order_ID]],returns[#All],2,0)</f>
        <v>No</v>
      </c>
    </row>
    <row r="1288" spans="1:13" x14ac:dyDescent="0.3">
      <c r="A1288" s="1" t="s">
        <v>1594</v>
      </c>
      <c r="B1288" s="2">
        <v>44886</v>
      </c>
      <c r="C1288" s="1" t="s">
        <v>165</v>
      </c>
      <c r="D1288" s="1" t="s">
        <v>378</v>
      </c>
      <c r="E1288">
        <v>3</v>
      </c>
      <c r="F1288" s="4">
        <v>929.57</v>
      </c>
      <c r="G1288" s="3">
        <v>0.1</v>
      </c>
      <c r="H1288" s="4">
        <v>213.35</v>
      </c>
      <c r="I1288" t="str">
        <f>VLOOKUP(orders__17[[#This Row],[Customer_ID]],customers__2[#All],3,0)</f>
        <v>West</v>
      </c>
      <c r="J1288" t="str">
        <f>VLOOKUP(orders__17[[#This Row],[Customer_ID]],customers__2[#All],4,0)</f>
        <v>Corporate</v>
      </c>
      <c r="K1288" t="str">
        <f>VLOOKUP(orders__17[[#This Row],[Product_ID]],products[#All],3,0)</f>
        <v>Office Supplies</v>
      </c>
      <c r="L1288" s="1" t="str">
        <f>VLOOKUP(orders__17[[#This Row],[Product_ID]],products[#All],4,0)</f>
        <v>Paper</v>
      </c>
      <c r="M1288" s="1" t="str">
        <f>VLOOKUP(orders__17[[#This Row],[Order_ID]],returns[#All],2,0)</f>
        <v>No</v>
      </c>
    </row>
    <row r="1289" spans="1:13" x14ac:dyDescent="0.3">
      <c r="A1289" s="1" t="s">
        <v>1595</v>
      </c>
      <c r="B1289" s="2">
        <v>44751</v>
      </c>
      <c r="C1289" s="1" t="s">
        <v>334</v>
      </c>
      <c r="D1289" s="1" t="s">
        <v>107</v>
      </c>
      <c r="E1289">
        <v>2</v>
      </c>
      <c r="F1289" s="4">
        <v>1202.17</v>
      </c>
      <c r="G1289" s="3">
        <v>0.3</v>
      </c>
      <c r="H1289" s="4">
        <v>193.16</v>
      </c>
      <c r="I1289" t="str">
        <f>VLOOKUP(orders__17[[#This Row],[Customer_ID]],customers__2[#All],3,0)</f>
        <v>East</v>
      </c>
      <c r="J1289" t="str">
        <f>VLOOKUP(orders__17[[#This Row],[Customer_ID]],customers__2[#All],4,0)</f>
        <v>Consumer</v>
      </c>
      <c r="K1289" t="str">
        <f>VLOOKUP(orders__17[[#This Row],[Product_ID]],products[#All],3,0)</f>
        <v>Office Supplies</v>
      </c>
      <c r="L1289" s="1" t="str">
        <f>VLOOKUP(orders__17[[#This Row],[Product_ID]],products[#All],4,0)</f>
        <v>Pen</v>
      </c>
      <c r="M1289" s="1" t="str">
        <f>VLOOKUP(orders__17[[#This Row],[Order_ID]],returns[#All],2,0)</f>
        <v>No</v>
      </c>
    </row>
    <row r="1290" spans="1:13" x14ac:dyDescent="0.3">
      <c r="A1290" s="1" t="s">
        <v>1596</v>
      </c>
      <c r="B1290" s="2">
        <v>44579</v>
      </c>
      <c r="C1290" s="1" t="s">
        <v>751</v>
      </c>
      <c r="D1290" s="1" t="s">
        <v>156</v>
      </c>
      <c r="E1290">
        <v>3</v>
      </c>
      <c r="F1290" s="4">
        <v>1081.73</v>
      </c>
      <c r="G1290" s="3">
        <v>0</v>
      </c>
      <c r="H1290" s="4">
        <v>252.1</v>
      </c>
      <c r="I1290" t="str">
        <f>VLOOKUP(orders__17[[#This Row],[Customer_ID]],customers__2[#All],3,0)</f>
        <v>North</v>
      </c>
      <c r="J1290" t="str">
        <f>VLOOKUP(orders__17[[#This Row],[Customer_ID]],customers__2[#All],4,0)</f>
        <v>Corporate</v>
      </c>
      <c r="K1290" t="str">
        <f>VLOOKUP(orders__17[[#This Row],[Product_ID]],products[#All],3,0)</f>
        <v>Furniture</v>
      </c>
      <c r="L1290" s="1" t="str">
        <f>VLOOKUP(orders__17[[#This Row],[Product_ID]],products[#All],4,0)</f>
        <v>Desk</v>
      </c>
      <c r="M1290" s="1" t="str">
        <f>VLOOKUP(orders__17[[#This Row],[Order_ID]],returns[#All],2,0)</f>
        <v>Yes</v>
      </c>
    </row>
    <row r="1291" spans="1:13" x14ac:dyDescent="0.3">
      <c r="A1291" s="1" t="s">
        <v>1597</v>
      </c>
      <c r="B1291" s="2">
        <v>45451</v>
      </c>
      <c r="C1291" s="1" t="s">
        <v>126</v>
      </c>
      <c r="D1291" s="1" t="s">
        <v>61</v>
      </c>
      <c r="E1291">
        <v>5</v>
      </c>
      <c r="F1291" s="4">
        <v>1541.67</v>
      </c>
      <c r="G1291" s="3">
        <v>0.2</v>
      </c>
      <c r="H1291" s="4">
        <v>166.89</v>
      </c>
      <c r="I1291" t="str">
        <f>VLOOKUP(orders__17[[#This Row],[Customer_ID]],customers__2[#All],3,0)</f>
        <v>North</v>
      </c>
      <c r="J1291" t="str">
        <f>VLOOKUP(orders__17[[#This Row],[Customer_ID]],customers__2[#All],4,0)</f>
        <v>Consumer</v>
      </c>
      <c r="K1291" t="str">
        <f>VLOOKUP(orders__17[[#This Row],[Product_ID]],products[#All],3,0)</f>
        <v>Office Supplies</v>
      </c>
      <c r="L1291" s="1" t="str">
        <f>VLOOKUP(orders__17[[#This Row],[Product_ID]],products[#All],4,0)</f>
        <v>Binder</v>
      </c>
      <c r="M1291" s="1" t="str">
        <f>VLOOKUP(orders__17[[#This Row],[Order_ID]],returns[#All],2,0)</f>
        <v>No</v>
      </c>
    </row>
    <row r="1292" spans="1:13" x14ac:dyDescent="0.3">
      <c r="A1292" s="1" t="s">
        <v>1598</v>
      </c>
      <c r="B1292" s="2">
        <v>45443</v>
      </c>
      <c r="C1292" s="1" t="s">
        <v>475</v>
      </c>
      <c r="D1292" s="1" t="s">
        <v>253</v>
      </c>
      <c r="E1292">
        <v>2</v>
      </c>
      <c r="F1292" s="4">
        <v>636.74</v>
      </c>
      <c r="G1292" s="3">
        <v>0.3</v>
      </c>
      <c r="H1292" s="4">
        <v>161.28</v>
      </c>
      <c r="I1292" t="str">
        <f>VLOOKUP(orders__17[[#This Row],[Customer_ID]],customers__2[#All],3,0)</f>
        <v>South</v>
      </c>
      <c r="J1292" t="str">
        <f>VLOOKUP(orders__17[[#This Row],[Customer_ID]],customers__2[#All],4,0)</f>
        <v>Corporate</v>
      </c>
      <c r="K1292" t="str">
        <f>VLOOKUP(orders__17[[#This Row],[Product_ID]],products[#All],3,0)</f>
        <v>Technology</v>
      </c>
      <c r="L1292" s="1" t="str">
        <f>VLOOKUP(orders__17[[#This Row],[Product_ID]],products[#All],4,0)</f>
        <v>Accessories</v>
      </c>
      <c r="M1292" s="1" t="str">
        <f>VLOOKUP(orders__17[[#This Row],[Order_ID]],returns[#All],2,0)</f>
        <v>No</v>
      </c>
    </row>
    <row r="1293" spans="1:13" x14ac:dyDescent="0.3">
      <c r="A1293" s="1" t="s">
        <v>1599</v>
      </c>
      <c r="B1293" s="2">
        <v>45132</v>
      </c>
      <c r="C1293" s="1" t="s">
        <v>468</v>
      </c>
      <c r="D1293" s="1" t="s">
        <v>323</v>
      </c>
      <c r="E1293">
        <v>4</v>
      </c>
      <c r="F1293" s="4">
        <v>770.8</v>
      </c>
      <c r="G1293" s="3">
        <v>0.3</v>
      </c>
      <c r="H1293" s="4">
        <v>151.93</v>
      </c>
      <c r="I1293" t="str">
        <f>VLOOKUP(orders__17[[#This Row],[Customer_ID]],customers__2[#All],3,0)</f>
        <v>South</v>
      </c>
      <c r="J1293" t="str">
        <f>VLOOKUP(orders__17[[#This Row],[Customer_ID]],customers__2[#All],4,0)</f>
        <v>Consumer</v>
      </c>
      <c r="K1293" t="str">
        <f>VLOOKUP(orders__17[[#This Row],[Product_ID]],products[#All],3,0)</f>
        <v>Technology</v>
      </c>
      <c r="L1293" s="1" t="str">
        <f>VLOOKUP(orders__17[[#This Row],[Product_ID]],products[#All],4,0)</f>
        <v>Tablet</v>
      </c>
      <c r="M1293" s="1" t="str">
        <f>VLOOKUP(orders__17[[#This Row],[Order_ID]],returns[#All],2,0)</f>
        <v>Yes</v>
      </c>
    </row>
    <row r="1294" spans="1:13" x14ac:dyDescent="0.3">
      <c r="A1294" s="1" t="s">
        <v>1600</v>
      </c>
      <c r="B1294" s="2">
        <v>45099</v>
      </c>
      <c r="C1294" s="1" t="s">
        <v>559</v>
      </c>
      <c r="D1294" s="1" t="s">
        <v>195</v>
      </c>
      <c r="E1294">
        <v>3</v>
      </c>
      <c r="F1294" s="4">
        <v>1798.78</v>
      </c>
      <c r="G1294" s="3">
        <v>0.2</v>
      </c>
      <c r="H1294" s="4">
        <v>184.72</v>
      </c>
      <c r="I1294" t="str">
        <f>VLOOKUP(orders__17[[#This Row],[Customer_ID]],customers__2[#All],3,0)</f>
        <v>South</v>
      </c>
      <c r="J1294" t="str">
        <f>VLOOKUP(orders__17[[#This Row],[Customer_ID]],customers__2[#All],4,0)</f>
        <v>Consumer</v>
      </c>
      <c r="K1294" t="str">
        <f>VLOOKUP(orders__17[[#This Row],[Product_ID]],products[#All],3,0)</f>
        <v>Furniture</v>
      </c>
      <c r="L1294" s="1" t="str">
        <f>VLOOKUP(orders__17[[#This Row],[Product_ID]],products[#All],4,0)</f>
        <v>Chair</v>
      </c>
      <c r="M1294" s="1" t="str">
        <f>VLOOKUP(orders__17[[#This Row],[Order_ID]],returns[#All],2,0)</f>
        <v>No</v>
      </c>
    </row>
    <row r="1295" spans="1:13" x14ac:dyDescent="0.3">
      <c r="A1295" s="1" t="s">
        <v>1601</v>
      </c>
      <c r="B1295" s="2">
        <v>44579</v>
      </c>
      <c r="C1295" s="1" t="s">
        <v>150</v>
      </c>
      <c r="D1295" s="1" t="s">
        <v>161</v>
      </c>
      <c r="E1295">
        <v>2</v>
      </c>
      <c r="F1295" s="4">
        <v>1898.27</v>
      </c>
      <c r="G1295" s="3">
        <v>0.3</v>
      </c>
      <c r="H1295" s="4">
        <v>207.25</v>
      </c>
      <c r="I1295" t="str">
        <f>VLOOKUP(orders__17[[#This Row],[Customer_ID]],customers__2[#All],3,0)</f>
        <v>West</v>
      </c>
      <c r="J1295" t="str">
        <f>VLOOKUP(orders__17[[#This Row],[Customer_ID]],customers__2[#All],4,0)</f>
        <v>Consumer</v>
      </c>
      <c r="K1295" t="str">
        <f>VLOOKUP(orders__17[[#This Row],[Product_ID]],products[#All],3,0)</f>
        <v>Office Supplies</v>
      </c>
      <c r="L1295" s="1" t="str">
        <f>VLOOKUP(orders__17[[#This Row],[Product_ID]],products[#All],4,0)</f>
        <v>Binder</v>
      </c>
      <c r="M1295" s="1" t="str">
        <f>VLOOKUP(orders__17[[#This Row],[Order_ID]],returns[#All],2,0)</f>
        <v>Yes</v>
      </c>
    </row>
    <row r="1296" spans="1:13" x14ac:dyDescent="0.3">
      <c r="A1296" s="1" t="s">
        <v>1602</v>
      </c>
      <c r="B1296" s="2">
        <v>44823</v>
      </c>
      <c r="C1296" s="1" t="s">
        <v>394</v>
      </c>
      <c r="D1296" s="1" t="s">
        <v>211</v>
      </c>
      <c r="E1296">
        <v>3</v>
      </c>
      <c r="F1296" s="4">
        <v>1795.86</v>
      </c>
      <c r="G1296" s="3">
        <v>0.1</v>
      </c>
      <c r="H1296" s="4">
        <v>371.76</v>
      </c>
      <c r="I1296" t="str">
        <f>VLOOKUP(orders__17[[#This Row],[Customer_ID]],customers__2[#All],3,0)</f>
        <v>West</v>
      </c>
      <c r="J1296" t="str">
        <f>VLOOKUP(orders__17[[#This Row],[Customer_ID]],customers__2[#All],4,0)</f>
        <v>Home Office</v>
      </c>
      <c r="K1296" t="str">
        <f>VLOOKUP(orders__17[[#This Row],[Product_ID]],products[#All],3,0)</f>
        <v>Office Supplies</v>
      </c>
      <c r="L1296" s="1" t="str">
        <f>VLOOKUP(orders__17[[#This Row],[Product_ID]],products[#All],4,0)</f>
        <v>Binder</v>
      </c>
      <c r="M1296" s="1" t="str">
        <f>VLOOKUP(orders__17[[#This Row],[Order_ID]],returns[#All],2,0)</f>
        <v>No</v>
      </c>
    </row>
    <row r="1297" spans="1:13" x14ac:dyDescent="0.3">
      <c r="A1297" s="1" t="s">
        <v>1603</v>
      </c>
      <c r="B1297" s="2">
        <v>45249</v>
      </c>
      <c r="C1297" s="1" t="s">
        <v>238</v>
      </c>
      <c r="D1297" s="1" t="s">
        <v>249</v>
      </c>
      <c r="E1297">
        <v>2</v>
      </c>
      <c r="F1297" s="4">
        <v>896.95</v>
      </c>
      <c r="G1297" s="3">
        <v>0.2</v>
      </c>
      <c r="H1297" s="4">
        <v>230.95</v>
      </c>
      <c r="I1297" t="str">
        <f>VLOOKUP(orders__17[[#This Row],[Customer_ID]],customers__2[#All],3,0)</f>
        <v>West</v>
      </c>
      <c r="J1297" t="str">
        <f>VLOOKUP(orders__17[[#This Row],[Customer_ID]],customers__2[#All],4,0)</f>
        <v>Corporate</v>
      </c>
      <c r="K1297" t="str">
        <f>VLOOKUP(orders__17[[#This Row],[Product_ID]],products[#All],3,0)</f>
        <v>Office Supplies</v>
      </c>
      <c r="L1297" s="1" t="str">
        <f>VLOOKUP(orders__17[[#This Row],[Product_ID]],products[#All],4,0)</f>
        <v>Paper</v>
      </c>
      <c r="M1297" s="1" t="str">
        <f>VLOOKUP(orders__17[[#This Row],[Order_ID]],returns[#All],2,0)</f>
        <v>No</v>
      </c>
    </row>
    <row r="1298" spans="1:13" x14ac:dyDescent="0.3">
      <c r="A1298" s="1" t="s">
        <v>1604</v>
      </c>
      <c r="B1298" s="2">
        <v>45153</v>
      </c>
      <c r="C1298" s="1" t="s">
        <v>425</v>
      </c>
      <c r="D1298" s="1" t="s">
        <v>296</v>
      </c>
      <c r="E1298">
        <v>1</v>
      </c>
      <c r="F1298" s="4">
        <v>1582.69</v>
      </c>
      <c r="G1298" s="3">
        <v>0.3</v>
      </c>
      <c r="H1298" s="4">
        <v>243.59</v>
      </c>
      <c r="I1298" t="str">
        <f>VLOOKUP(orders__17[[#This Row],[Customer_ID]],customers__2[#All],3,0)</f>
        <v>East</v>
      </c>
      <c r="J1298" t="str">
        <f>VLOOKUP(orders__17[[#This Row],[Customer_ID]],customers__2[#All],4,0)</f>
        <v>Home Office</v>
      </c>
      <c r="K1298" t="str">
        <f>VLOOKUP(orders__17[[#This Row],[Product_ID]],products[#All],3,0)</f>
        <v>Technology</v>
      </c>
      <c r="L1298" s="1" t="str">
        <f>VLOOKUP(orders__17[[#This Row],[Product_ID]],products[#All],4,0)</f>
        <v>Accessories</v>
      </c>
      <c r="M1298" s="1" t="str">
        <f>VLOOKUP(orders__17[[#This Row],[Order_ID]],returns[#All],2,0)</f>
        <v>No</v>
      </c>
    </row>
    <row r="1299" spans="1:13" x14ac:dyDescent="0.3">
      <c r="A1299" s="1" t="s">
        <v>1605</v>
      </c>
      <c r="B1299" s="2">
        <v>44714</v>
      </c>
      <c r="C1299" s="1" t="s">
        <v>751</v>
      </c>
      <c r="D1299" s="1" t="s">
        <v>392</v>
      </c>
      <c r="E1299">
        <v>3</v>
      </c>
      <c r="F1299" s="4">
        <v>1005.04</v>
      </c>
      <c r="G1299" s="3">
        <v>0.2</v>
      </c>
      <c r="H1299" s="4">
        <v>115.15</v>
      </c>
      <c r="I1299" t="str">
        <f>VLOOKUP(orders__17[[#This Row],[Customer_ID]],customers__2[#All],3,0)</f>
        <v>North</v>
      </c>
      <c r="J1299" t="str">
        <f>VLOOKUP(orders__17[[#This Row],[Customer_ID]],customers__2[#All],4,0)</f>
        <v>Corporate</v>
      </c>
      <c r="K1299" t="str">
        <f>VLOOKUP(orders__17[[#This Row],[Product_ID]],products[#All],3,0)</f>
        <v>Furniture</v>
      </c>
      <c r="L1299" s="1" t="str">
        <f>VLOOKUP(orders__17[[#This Row],[Product_ID]],products[#All],4,0)</f>
        <v>Desk</v>
      </c>
      <c r="M1299" s="1" t="str">
        <f>VLOOKUP(orders__17[[#This Row],[Order_ID]],returns[#All],2,0)</f>
        <v>No</v>
      </c>
    </row>
    <row r="1300" spans="1:13" x14ac:dyDescent="0.3">
      <c r="A1300" s="1" t="s">
        <v>1606</v>
      </c>
      <c r="B1300" s="2">
        <v>45432</v>
      </c>
      <c r="C1300" s="1" t="s">
        <v>248</v>
      </c>
      <c r="D1300" s="1" t="s">
        <v>669</v>
      </c>
      <c r="E1300">
        <v>4</v>
      </c>
      <c r="F1300" s="4">
        <v>1045.33</v>
      </c>
      <c r="G1300" s="3">
        <v>0.2</v>
      </c>
      <c r="H1300" s="4">
        <v>278.83999999999997</v>
      </c>
      <c r="I1300" t="str">
        <f>VLOOKUP(orders__17[[#This Row],[Customer_ID]],customers__2[#All],3,0)</f>
        <v>East</v>
      </c>
      <c r="J1300" t="str">
        <f>VLOOKUP(orders__17[[#This Row],[Customer_ID]],customers__2[#All],4,0)</f>
        <v>Corporate</v>
      </c>
      <c r="K1300" t="str">
        <f>VLOOKUP(orders__17[[#This Row],[Product_ID]],products[#All],3,0)</f>
        <v>Office Supplies</v>
      </c>
      <c r="L1300" s="1" t="str">
        <f>VLOOKUP(orders__17[[#This Row],[Product_ID]],products[#All],4,0)</f>
        <v>Pen</v>
      </c>
      <c r="M1300" s="1" t="str">
        <f>VLOOKUP(orders__17[[#This Row],[Order_ID]],returns[#All],2,0)</f>
        <v>No</v>
      </c>
    </row>
    <row r="1301" spans="1:13" x14ac:dyDescent="0.3">
      <c r="A1301" s="1" t="s">
        <v>1607</v>
      </c>
      <c r="B1301" s="2">
        <v>45115</v>
      </c>
      <c r="C1301" s="1" t="s">
        <v>647</v>
      </c>
      <c r="D1301" s="1" t="s">
        <v>269</v>
      </c>
      <c r="E1301">
        <v>4</v>
      </c>
      <c r="F1301" s="4">
        <v>488.89</v>
      </c>
      <c r="G1301" s="3">
        <v>0.2</v>
      </c>
      <c r="H1301" s="4">
        <v>106.24</v>
      </c>
      <c r="I1301" t="str">
        <f>VLOOKUP(orders__17[[#This Row],[Customer_ID]],customers__2[#All],3,0)</f>
        <v>South</v>
      </c>
      <c r="J1301" t="str">
        <f>VLOOKUP(orders__17[[#This Row],[Customer_ID]],customers__2[#All],4,0)</f>
        <v>Consumer</v>
      </c>
      <c r="K1301" t="str">
        <f>VLOOKUP(orders__17[[#This Row],[Product_ID]],products[#All],3,0)</f>
        <v>Office Supplies</v>
      </c>
      <c r="L1301" s="1" t="str">
        <f>VLOOKUP(orders__17[[#This Row],[Product_ID]],products[#All],4,0)</f>
        <v>Pen</v>
      </c>
      <c r="M1301" s="1" t="str">
        <f>VLOOKUP(orders__17[[#This Row],[Order_ID]],returns[#All],2,0)</f>
        <v>No</v>
      </c>
    </row>
    <row r="1302" spans="1:13" x14ac:dyDescent="0.3">
      <c r="A1302" s="1" t="s">
        <v>1608</v>
      </c>
      <c r="B1302" s="2">
        <v>45195</v>
      </c>
      <c r="C1302" s="1" t="s">
        <v>637</v>
      </c>
      <c r="D1302" s="1" t="s">
        <v>323</v>
      </c>
      <c r="E1302">
        <v>5</v>
      </c>
      <c r="F1302" s="4">
        <v>1223.1500000000001</v>
      </c>
      <c r="G1302" s="3">
        <v>0</v>
      </c>
      <c r="H1302" s="4">
        <v>198.18</v>
      </c>
      <c r="I1302" t="str">
        <f>VLOOKUP(orders__17[[#This Row],[Customer_ID]],customers__2[#All],3,0)</f>
        <v>North</v>
      </c>
      <c r="J1302" t="str">
        <f>VLOOKUP(orders__17[[#This Row],[Customer_ID]],customers__2[#All],4,0)</f>
        <v>Corporate</v>
      </c>
      <c r="K1302" t="str">
        <f>VLOOKUP(orders__17[[#This Row],[Product_ID]],products[#All],3,0)</f>
        <v>Technology</v>
      </c>
      <c r="L1302" s="1" t="str">
        <f>VLOOKUP(orders__17[[#This Row],[Product_ID]],products[#All],4,0)</f>
        <v>Tablet</v>
      </c>
      <c r="M1302" s="1" t="str">
        <f>VLOOKUP(orders__17[[#This Row],[Order_ID]],returns[#All],2,0)</f>
        <v>No</v>
      </c>
    </row>
    <row r="1303" spans="1:13" x14ac:dyDescent="0.3">
      <c r="A1303" s="1" t="s">
        <v>1609</v>
      </c>
      <c r="B1303" s="2">
        <v>45262</v>
      </c>
      <c r="C1303" s="1" t="s">
        <v>330</v>
      </c>
      <c r="D1303" s="1" t="s">
        <v>19</v>
      </c>
      <c r="E1303">
        <v>2</v>
      </c>
      <c r="F1303" s="4">
        <v>453.66</v>
      </c>
      <c r="G1303" s="3">
        <v>0.3</v>
      </c>
      <c r="H1303" s="4">
        <v>78.02</v>
      </c>
      <c r="I1303" t="str">
        <f>VLOOKUP(orders__17[[#This Row],[Customer_ID]],customers__2[#All],3,0)</f>
        <v>South</v>
      </c>
      <c r="J1303" t="str">
        <f>VLOOKUP(orders__17[[#This Row],[Customer_ID]],customers__2[#All],4,0)</f>
        <v>Consumer</v>
      </c>
      <c r="K1303" t="str">
        <f>VLOOKUP(orders__17[[#This Row],[Product_ID]],products[#All],3,0)</f>
        <v>Office Supplies</v>
      </c>
      <c r="L1303" s="1" t="str">
        <f>VLOOKUP(orders__17[[#This Row],[Product_ID]],products[#All],4,0)</f>
        <v>Pen</v>
      </c>
      <c r="M1303" s="1" t="str">
        <f>VLOOKUP(orders__17[[#This Row],[Order_ID]],returns[#All],2,0)</f>
        <v>Yes</v>
      </c>
    </row>
    <row r="1304" spans="1:13" x14ac:dyDescent="0.3">
      <c r="A1304" s="1" t="s">
        <v>1610</v>
      </c>
      <c r="B1304" s="2">
        <v>45221</v>
      </c>
      <c r="C1304" s="1" t="s">
        <v>53</v>
      </c>
      <c r="D1304" s="1" t="s">
        <v>269</v>
      </c>
      <c r="E1304">
        <v>3</v>
      </c>
      <c r="F1304" s="4">
        <v>729.97</v>
      </c>
      <c r="G1304" s="3">
        <v>0</v>
      </c>
      <c r="H1304" s="4">
        <v>73.77</v>
      </c>
      <c r="I1304" t="str">
        <f>VLOOKUP(orders__17[[#This Row],[Customer_ID]],customers__2[#All],3,0)</f>
        <v>West</v>
      </c>
      <c r="J1304" t="str">
        <f>VLOOKUP(orders__17[[#This Row],[Customer_ID]],customers__2[#All],4,0)</f>
        <v>Home Office</v>
      </c>
      <c r="K1304" t="str">
        <f>VLOOKUP(orders__17[[#This Row],[Product_ID]],products[#All],3,0)</f>
        <v>Office Supplies</v>
      </c>
      <c r="L1304" s="1" t="str">
        <f>VLOOKUP(orders__17[[#This Row],[Product_ID]],products[#All],4,0)</f>
        <v>Pen</v>
      </c>
      <c r="M1304" s="1" t="str">
        <f>VLOOKUP(orders__17[[#This Row],[Order_ID]],returns[#All],2,0)</f>
        <v>Yes</v>
      </c>
    </row>
    <row r="1305" spans="1:13" x14ac:dyDescent="0.3">
      <c r="A1305" s="1" t="s">
        <v>1611</v>
      </c>
      <c r="B1305" s="2">
        <v>45174</v>
      </c>
      <c r="C1305" s="1" t="s">
        <v>388</v>
      </c>
      <c r="D1305" s="1" t="s">
        <v>304</v>
      </c>
      <c r="E1305">
        <v>5</v>
      </c>
      <c r="F1305" s="4">
        <v>1724.56</v>
      </c>
      <c r="G1305" s="3">
        <v>0.3</v>
      </c>
      <c r="H1305" s="4">
        <v>356.47</v>
      </c>
      <c r="I1305" t="str">
        <f>VLOOKUP(orders__17[[#This Row],[Customer_ID]],customers__2[#All],3,0)</f>
        <v>East</v>
      </c>
      <c r="J1305" t="str">
        <f>VLOOKUP(orders__17[[#This Row],[Customer_ID]],customers__2[#All],4,0)</f>
        <v>Home Office</v>
      </c>
      <c r="K1305" t="str">
        <f>VLOOKUP(orders__17[[#This Row],[Product_ID]],products[#All],3,0)</f>
        <v>Technology</v>
      </c>
      <c r="L1305" s="1" t="str">
        <f>VLOOKUP(orders__17[[#This Row],[Product_ID]],products[#All],4,0)</f>
        <v>Accessories</v>
      </c>
      <c r="M1305" s="1" t="str">
        <f>VLOOKUP(orders__17[[#This Row],[Order_ID]],returns[#All],2,0)</f>
        <v>No</v>
      </c>
    </row>
    <row r="1306" spans="1:13" x14ac:dyDescent="0.3">
      <c r="A1306" s="1" t="s">
        <v>1612</v>
      </c>
      <c r="B1306" s="2">
        <v>45111</v>
      </c>
      <c r="C1306" s="1" t="s">
        <v>777</v>
      </c>
      <c r="D1306" s="1" t="s">
        <v>369</v>
      </c>
      <c r="E1306">
        <v>3</v>
      </c>
      <c r="F1306" s="4">
        <v>493.44</v>
      </c>
      <c r="G1306" s="3">
        <v>0.1</v>
      </c>
      <c r="H1306" s="4">
        <v>68.930000000000007</v>
      </c>
      <c r="I1306" t="str">
        <f>VLOOKUP(orders__17[[#This Row],[Customer_ID]],customers__2[#All],3,0)</f>
        <v>South</v>
      </c>
      <c r="J1306" t="str">
        <f>VLOOKUP(orders__17[[#This Row],[Customer_ID]],customers__2[#All],4,0)</f>
        <v>Home Office</v>
      </c>
      <c r="K1306" t="str">
        <f>VLOOKUP(orders__17[[#This Row],[Product_ID]],products[#All],3,0)</f>
        <v>Technology</v>
      </c>
      <c r="L1306" s="1" t="str">
        <f>VLOOKUP(orders__17[[#This Row],[Product_ID]],products[#All],4,0)</f>
        <v>Phone</v>
      </c>
      <c r="M1306" s="1" t="str">
        <f>VLOOKUP(orders__17[[#This Row],[Order_ID]],returns[#All],2,0)</f>
        <v>No</v>
      </c>
    </row>
    <row r="1307" spans="1:13" x14ac:dyDescent="0.3">
      <c r="A1307" s="1" t="s">
        <v>1613</v>
      </c>
      <c r="B1307" s="2">
        <v>44897</v>
      </c>
      <c r="C1307" s="1" t="s">
        <v>265</v>
      </c>
      <c r="D1307" s="1" t="s">
        <v>304</v>
      </c>
      <c r="E1307">
        <v>2</v>
      </c>
      <c r="F1307" s="4">
        <v>235.2</v>
      </c>
      <c r="G1307" s="3">
        <v>0.1</v>
      </c>
      <c r="H1307" s="4">
        <v>70.3</v>
      </c>
      <c r="I1307" t="str">
        <f>VLOOKUP(orders__17[[#This Row],[Customer_ID]],customers__2[#All],3,0)</f>
        <v>East</v>
      </c>
      <c r="J1307" t="str">
        <f>VLOOKUP(orders__17[[#This Row],[Customer_ID]],customers__2[#All],4,0)</f>
        <v>Consumer</v>
      </c>
      <c r="K1307" t="str">
        <f>VLOOKUP(orders__17[[#This Row],[Product_ID]],products[#All],3,0)</f>
        <v>Technology</v>
      </c>
      <c r="L1307" s="1" t="str">
        <f>VLOOKUP(orders__17[[#This Row],[Product_ID]],products[#All],4,0)</f>
        <v>Accessories</v>
      </c>
      <c r="M1307" s="1" t="str">
        <f>VLOOKUP(orders__17[[#This Row],[Order_ID]],returns[#All],2,0)</f>
        <v>No</v>
      </c>
    </row>
    <row r="1308" spans="1:13" x14ac:dyDescent="0.3">
      <c r="A1308" s="1" t="s">
        <v>1614</v>
      </c>
      <c r="B1308" s="2">
        <v>45376</v>
      </c>
      <c r="C1308" s="1" t="s">
        <v>33</v>
      </c>
      <c r="D1308" s="1" t="s">
        <v>221</v>
      </c>
      <c r="E1308">
        <v>4</v>
      </c>
      <c r="F1308" s="4">
        <v>231.11</v>
      </c>
      <c r="G1308" s="3">
        <v>0.1</v>
      </c>
      <c r="H1308" s="4">
        <v>39.299999999999997</v>
      </c>
      <c r="I1308" t="str">
        <f>VLOOKUP(orders__17[[#This Row],[Customer_ID]],customers__2[#All],3,0)</f>
        <v>East</v>
      </c>
      <c r="J1308" t="str">
        <f>VLOOKUP(orders__17[[#This Row],[Customer_ID]],customers__2[#All],4,0)</f>
        <v>Home Office</v>
      </c>
      <c r="K1308" t="str">
        <f>VLOOKUP(orders__17[[#This Row],[Product_ID]],products[#All],3,0)</f>
        <v>Technology</v>
      </c>
      <c r="L1308" s="1" t="str">
        <f>VLOOKUP(orders__17[[#This Row],[Product_ID]],products[#All],4,0)</f>
        <v>Laptop</v>
      </c>
      <c r="M1308" s="1" t="str">
        <f>VLOOKUP(orders__17[[#This Row],[Order_ID]],returns[#All],2,0)</f>
        <v>Yes</v>
      </c>
    </row>
    <row r="1309" spans="1:13" x14ac:dyDescent="0.3">
      <c r="A1309" s="1" t="s">
        <v>1615</v>
      </c>
      <c r="B1309" s="2">
        <v>44692</v>
      </c>
      <c r="C1309" s="1" t="s">
        <v>978</v>
      </c>
      <c r="D1309" s="1" t="s">
        <v>256</v>
      </c>
      <c r="E1309">
        <v>1</v>
      </c>
      <c r="F1309" s="4">
        <v>1887.49</v>
      </c>
      <c r="G1309" s="3">
        <v>0.3</v>
      </c>
      <c r="H1309" s="4">
        <v>323.64999999999998</v>
      </c>
      <c r="I1309" t="str">
        <f>VLOOKUP(orders__17[[#This Row],[Customer_ID]],customers__2[#All],3,0)</f>
        <v>North</v>
      </c>
      <c r="J1309" t="str">
        <f>VLOOKUP(orders__17[[#This Row],[Customer_ID]],customers__2[#All],4,0)</f>
        <v>Home Office</v>
      </c>
      <c r="K1309" t="str">
        <f>VLOOKUP(orders__17[[#This Row],[Product_ID]],products[#All],3,0)</f>
        <v>Office Supplies</v>
      </c>
      <c r="L1309" s="1" t="str">
        <f>VLOOKUP(orders__17[[#This Row],[Product_ID]],products[#All],4,0)</f>
        <v>Pen</v>
      </c>
      <c r="M1309" s="1" t="str">
        <f>VLOOKUP(orders__17[[#This Row],[Order_ID]],returns[#All],2,0)</f>
        <v>No</v>
      </c>
    </row>
    <row r="1310" spans="1:13" x14ac:dyDescent="0.3">
      <c r="A1310" s="1" t="s">
        <v>1616</v>
      </c>
      <c r="B1310" s="2">
        <v>45242</v>
      </c>
      <c r="C1310" s="1" t="s">
        <v>588</v>
      </c>
      <c r="D1310" s="1" t="s">
        <v>258</v>
      </c>
      <c r="E1310">
        <v>4</v>
      </c>
      <c r="F1310" s="4">
        <v>1063.1500000000001</v>
      </c>
      <c r="G1310" s="3">
        <v>0.2</v>
      </c>
      <c r="H1310" s="4">
        <v>203.55</v>
      </c>
      <c r="I1310" t="str">
        <f>VLOOKUP(orders__17[[#This Row],[Customer_ID]],customers__2[#All],3,0)</f>
        <v>South</v>
      </c>
      <c r="J1310" t="str">
        <f>VLOOKUP(orders__17[[#This Row],[Customer_ID]],customers__2[#All],4,0)</f>
        <v>Home Office</v>
      </c>
      <c r="K1310" t="str">
        <f>VLOOKUP(orders__17[[#This Row],[Product_ID]],products[#All],3,0)</f>
        <v>Technology</v>
      </c>
      <c r="L1310" s="1" t="str">
        <f>VLOOKUP(orders__17[[#This Row],[Product_ID]],products[#All],4,0)</f>
        <v>Phone</v>
      </c>
      <c r="M1310" s="1" t="str">
        <f>VLOOKUP(orders__17[[#This Row],[Order_ID]],returns[#All],2,0)</f>
        <v>No</v>
      </c>
    </row>
    <row r="1311" spans="1:13" x14ac:dyDescent="0.3">
      <c r="A1311" s="1" t="s">
        <v>1617</v>
      </c>
      <c r="B1311" s="2">
        <v>45404</v>
      </c>
      <c r="C1311" s="1" t="s">
        <v>1043</v>
      </c>
      <c r="D1311" s="1" t="s">
        <v>304</v>
      </c>
      <c r="E1311">
        <v>5</v>
      </c>
      <c r="F1311" s="4">
        <v>877.88</v>
      </c>
      <c r="G1311" s="3">
        <v>0.2</v>
      </c>
      <c r="H1311" s="4">
        <v>245.09</v>
      </c>
      <c r="I1311" t="str">
        <f>VLOOKUP(orders__17[[#This Row],[Customer_ID]],customers__2[#All],3,0)</f>
        <v>South</v>
      </c>
      <c r="J1311" t="str">
        <f>VLOOKUP(orders__17[[#This Row],[Customer_ID]],customers__2[#All],4,0)</f>
        <v>Corporate</v>
      </c>
      <c r="K1311" t="str">
        <f>VLOOKUP(orders__17[[#This Row],[Product_ID]],products[#All],3,0)</f>
        <v>Technology</v>
      </c>
      <c r="L1311" s="1" t="str">
        <f>VLOOKUP(orders__17[[#This Row],[Product_ID]],products[#All],4,0)</f>
        <v>Accessories</v>
      </c>
      <c r="M1311" s="1" t="str">
        <f>VLOOKUP(orders__17[[#This Row],[Order_ID]],returns[#All],2,0)</f>
        <v>No</v>
      </c>
    </row>
    <row r="1312" spans="1:13" x14ac:dyDescent="0.3">
      <c r="A1312" s="1" t="s">
        <v>1618</v>
      </c>
      <c r="B1312" s="2">
        <v>44631</v>
      </c>
      <c r="C1312" s="1" t="s">
        <v>12</v>
      </c>
      <c r="D1312" s="1" t="s">
        <v>341</v>
      </c>
      <c r="E1312">
        <v>1</v>
      </c>
      <c r="F1312" s="4">
        <v>1640.67</v>
      </c>
      <c r="G1312" s="3">
        <v>0</v>
      </c>
      <c r="H1312" s="4">
        <v>410.5</v>
      </c>
      <c r="I1312" t="str">
        <f>VLOOKUP(orders__17[[#This Row],[Customer_ID]],customers__2[#All],3,0)</f>
        <v>West</v>
      </c>
      <c r="J1312" t="str">
        <f>VLOOKUP(orders__17[[#This Row],[Customer_ID]],customers__2[#All],4,0)</f>
        <v>Home Office</v>
      </c>
      <c r="K1312" t="str">
        <f>VLOOKUP(orders__17[[#This Row],[Product_ID]],products[#All],3,0)</f>
        <v>Technology</v>
      </c>
      <c r="L1312" s="1" t="str">
        <f>VLOOKUP(orders__17[[#This Row],[Product_ID]],products[#All],4,0)</f>
        <v>Phone</v>
      </c>
      <c r="M1312" s="1" t="str">
        <f>VLOOKUP(orders__17[[#This Row],[Order_ID]],returns[#All],2,0)</f>
        <v>No</v>
      </c>
    </row>
    <row r="1313" spans="1:13" x14ac:dyDescent="0.3">
      <c r="A1313" s="1" t="s">
        <v>1619</v>
      </c>
      <c r="B1313" s="2">
        <v>44586</v>
      </c>
      <c r="C1313" s="1" t="s">
        <v>691</v>
      </c>
      <c r="D1313" s="1" t="s">
        <v>364</v>
      </c>
      <c r="E1313">
        <v>5</v>
      </c>
      <c r="F1313" s="4">
        <v>1688.07</v>
      </c>
      <c r="G1313" s="3">
        <v>0</v>
      </c>
      <c r="H1313" s="4">
        <v>274.79000000000002</v>
      </c>
      <c r="I1313" t="str">
        <f>VLOOKUP(orders__17[[#This Row],[Customer_ID]],customers__2[#All],3,0)</f>
        <v>West</v>
      </c>
      <c r="J1313" t="str">
        <f>VLOOKUP(orders__17[[#This Row],[Customer_ID]],customers__2[#All],4,0)</f>
        <v>Corporate</v>
      </c>
      <c r="K1313" t="str">
        <f>VLOOKUP(orders__17[[#This Row],[Product_ID]],products[#All],3,0)</f>
        <v>Technology</v>
      </c>
      <c r="L1313" s="1" t="str">
        <f>VLOOKUP(orders__17[[#This Row],[Product_ID]],products[#All],4,0)</f>
        <v>Accessories</v>
      </c>
      <c r="M1313" s="1" t="str">
        <f>VLOOKUP(orders__17[[#This Row],[Order_ID]],returns[#All],2,0)</f>
        <v>No</v>
      </c>
    </row>
    <row r="1314" spans="1:13" x14ac:dyDescent="0.3">
      <c r="A1314" s="1" t="s">
        <v>1620</v>
      </c>
      <c r="B1314" s="2">
        <v>44915</v>
      </c>
      <c r="C1314" s="1" t="s">
        <v>466</v>
      </c>
      <c r="D1314" s="1" t="s">
        <v>249</v>
      </c>
      <c r="E1314">
        <v>2</v>
      </c>
      <c r="F1314" s="4">
        <v>731.16</v>
      </c>
      <c r="G1314" s="3">
        <v>0.1</v>
      </c>
      <c r="H1314" s="4">
        <v>167.93</v>
      </c>
      <c r="I1314" t="str">
        <f>VLOOKUP(orders__17[[#This Row],[Customer_ID]],customers__2[#All],3,0)</f>
        <v>South</v>
      </c>
      <c r="J1314" t="str">
        <f>VLOOKUP(orders__17[[#This Row],[Customer_ID]],customers__2[#All],4,0)</f>
        <v>Home Office</v>
      </c>
      <c r="K1314" t="str">
        <f>VLOOKUP(orders__17[[#This Row],[Product_ID]],products[#All],3,0)</f>
        <v>Office Supplies</v>
      </c>
      <c r="L1314" s="1" t="str">
        <f>VLOOKUP(orders__17[[#This Row],[Product_ID]],products[#All],4,0)</f>
        <v>Paper</v>
      </c>
      <c r="M1314" s="1" t="str">
        <f>VLOOKUP(orders__17[[#This Row],[Order_ID]],returns[#All],2,0)</f>
        <v>Yes</v>
      </c>
    </row>
    <row r="1315" spans="1:13" x14ac:dyDescent="0.3">
      <c r="A1315" s="1" t="s">
        <v>1621</v>
      </c>
      <c r="B1315" s="2">
        <v>44631</v>
      </c>
      <c r="C1315" s="1" t="s">
        <v>332</v>
      </c>
      <c r="D1315" s="1" t="s">
        <v>458</v>
      </c>
      <c r="E1315">
        <v>1</v>
      </c>
      <c r="F1315" s="4">
        <v>1417.87</v>
      </c>
      <c r="G1315" s="3">
        <v>0</v>
      </c>
      <c r="H1315" s="4">
        <v>278.69</v>
      </c>
      <c r="I1315" t="str">
        <f>VLOOKUP(orders__17[[#This Row],[Customer_ID]],customers__2[#All],3,0)</f>
        <v>North</v>
      </c>
      <c r="J1315" t="str">
        <f>VLOOKUP(orders__17[[#This Row],[Customer_ID]],customers__2[#All],4,0)</f>
        <v>Home Office</v>
      </c>
      <c r="K1315" t="str">
        <f>VLOOKUP(orders__17[[#This Row],[Product_ID]],products[#All],3,0)</f>
        <v>Technology</v>
      </c>
      <c r="L1315" s="1" t="str">
        <f>VLOOKUP(orders__17[[#This Row],[Product_ID]],products[#All],4,0)</f>
        <v>Phone</v>
      </c>
      <c r="M1315" s="1" t="str">
        <f>VLOOKUP(orders__17[[#This Row],[Order_ID]],returns[#All],2,0)</f>
        <v>No</v>
      </c>
    </row>
    <row r="1316" spans="1:13" x14ac:dyDescent="0.3">
      <c r="A1316" s="1" t="s">
        <v>1622</v>
      </c>
      <c r="B1316" s="2">
        <v>45010</v>
      </c>
      <c r="C1316" s="1" t="s">
        <v>739</v>
      </c>
      <c r="D1316" s="1" t="s">
        <v>603</v>
      </c>
      <c r="E1316">
        <v>5</v>
      </c>
      <c r="F1316" s="4">
        <v>1565.13</v>
      </c>
      <c r="G1316" s="3">
        <v>0.3</v>
      </c>
      <c r="H1316" s="4">
        <v>270.91000000000003</v>
      </c>
      <c r="I1316" t="str">
        <f>VLOOKUP(orders__17[[#This Row],[Customer_ID]],customers__2[#All],3,0)</f>
        <v>North</v>
      </c>
      <c r="J1316" t="str">
        <f>VLOOKUP(orders__17[[#This Row],[Customer_ID]],customers__2[#All],4,0)</f>
        <v>Consumer</v>
      </c>
      <c r="K1316" t="str">
        <f>VLOOKUP(orders__17[[#This Row],[Product_ID]],products[#All],3,0)</f>
        <v>Technology</v>
      </c>
      <c r="L1316" s="1" t="str">
        <f>VLOOKUP(orders__17[[#This Row],[Product_ID]],products[#All],4,0)</f>
        <v>Accessories</v>
      </c>
      <c r="M1316" s="1" t="str">
        <f>VLOOKUP(orders__17[[#This Row],[Order_ID]],returns[#All],2,0)</f>
        <v>No</v>
      </c>
    </row>
    <row r="1317" spans="1:13" x14ac:dyDescent="0.3">
      <c r="A1317" s="1" t="s">
        <v>1623</v>
      </c>
      <c r="B1317" s="2">
        <v>45360</v>
      </c>
      <c r="C1317" s="1" t="s">
        <v>233</v>
      </c>
      <c r="D1317" s="1" t="s">
        <v>234</v>
      </c>
      <c r="E1317">
        <v>2</v>
      </c>
      <c r="F1317" s="4">
        <v>1343.84</v>
      </c>
      <c r="G1317" s="3">
        <v>0.3</v>
      </c>
      <c r="H1317" s="4">
        <v>131.80000000000001</v>
      </c>
      <c r="I1317" t="str">
        <f>VLOOKUP(orders__17[[#This Row],[Customer_ID]],customers__2[#All],3,0)</f>
        <v>South</v>
      </c>
      <c r="J1317" t="str">
        <f>VLOOKUP(orders__17[[#This Row],[Customer_ID]],customers__2[#All],4,0)</f>
        <v>Home Office</v>
      </c>
      <c r="K1317" t="str">
        <f>VLOOKUP(orders__17[[#This Row],[Product_ID]],products[#All],3,0)</f>
        <v>Furniture</v>
      </c>
      <c r="L1317" s="1" t="str">
        <f>VLOOKUP(orders__17[[#This Row],[Product_ID]],products[#All],4,0)</f>
        <v>Shelf</v>
      </c>
      <c r="M1317" s="1" t="str">
        <f>VLOOKUP(orders__17[[#This Row],[Order_ID]],returns[#All],2,0)</f>
        <v>No</v>
      </c>
    </row>
    <row r="1318" spans="1:13" x14ac:dyDescent="0.3">
      <c r="A1318" s="1" t="s">
        <v>1624</v>
      </c>
      <c r="B1318" s="2">
        <v>45371</v>
      </c>
      <c r="C1318" s="1" t="s">
        <v>248</v>
      </c>
      <c r="D1318" s="1" t="s">
        <v>61</v>
      </c>
      <c r="E1318">
        <v>4</v>
      </c>
      <c r="F1318" s="4">
        <v>388.03</v>
      </c>
      <c r="G1318" s="3">
        <v>0</v>
      </c>
      <c r="H1318" s="4">
        <v>64.41</v>
      </c>
      <c r="I1318" t="str">
        <f>VLOOKUP(orders__17[[#This Row],[Customer_ID]],customers__2[#All],3,0)</f>
        <v>East</v>
      </c>
      <c r="J1318" t="str">
        <f>VLOOKUP(orders__17[[#This Row],[Customer_ID]],customers__2[#All],4,0)</f>
        <v>Corporate</v>
      </c>
      <c r="K1318" t="str">
        <f>VLOOKUP(orders__17[[#This Row],[Product_ID]],products[#All],3,0)</f>
        <v>Office Supplies</v>
      </c>
      <c r="L1318" s="1" t="str">
        <f>VLOOKUP(orders__17[[#This Row],[Product_ID]],products[#All],4,0)</f>
        <v>Binder</v>
      </c>
      <c r="M1318" s="1" t="str">
        <f>VLOOKUP(orders__17[[#This Row],[Order_ID]],returns[#All],2,0)</f>
        <v>No</v>
      </c>
    </row>
    <row r="1319" spans="1:13" x14ac:dyDescent="0.3">
      <c r="A1319" s="1" t="s">
        <v>1625</v>
      </c>
      <c r="B1319" s="2">
        <v>45269</v>
      </c>
      <c r="C1319" s="1" t="s">
        <v>685</v>
      </c>
      <c r="D1319" s="1" t="s">
        <v>215</v>
      </c>
      <c r="E1319">
        <v>2</v>
      </c>
      <c r="F1319" s="4">
        <v>1764.18</v>
      </c>
      <c r="G1319" s="3">
        <v>0</v>
      </c>
      <c r="H1319" s="4">
        <v>196.63</v>
      </c>
      <c r="I1319" t="str">
        <f>VLOOKUP(orders__17[[#This Row],[Customer_ID]],customers__2[#All],3,0)</f>
        <v>East</v>
      </c>
      <c r="J1319" t="str">
        <f>VLOOKUP(orders__17[[#This Row],[Customer_ID]],customers__2[#All],4,0)</f>
        <v>Home Office</v>
      </c>
      <c r="K1319" t="str">
        <f>VLOOKUP(orders__17[[#This Row],[Product_ID]],products[#All],3,0)</f>
        <v>Furniture</v>
      </c>
      <c r="L1319" s="1" t="str">
        <f>VLOOKUP(orders__17[[#This Row],[Product_ID]],products[#All],4,0)</f>
        <v>Table</v>
      </c>
      <c r="M1319" s="1" t="str">
        <f>VLOOKUP(orders__17[[#This Row],[Order_ID]],returns[#All],2,0)</f>
        <v>No</v>
      </c>
    </row>
    <row r="1320" spans="1:13" x14ac:dyDescent="0.3">
      <c r="A1320" s="1" t="s">
        <v>1626</v>
      </c>
      <c r="B1320" s="2">
        <v>45428</v>
      </c>
      <c r="C1320" s="1" t="s">
        <v>396</v>
      </c>
      <c r="D1320" s="1" t="s">
        <v>16</v>
      </c>
      <c r="E1320">
        <v>3</v>
      </c>
      <c r="F1320" s="4">
        <v>1124.28</v>
      </c>
      <c r="G1320" s="3">
        <v>0</v>
      </c>
      <c r="H1320" s="4">
        <v>313.35000000000002</v>
      </c>
      <c r="I1320" t="str">
        <f>VLOOKUP(orders__17[[#This Row],[Customer_ID]],customers__2[#All],3,0)</f>
        <v>West</v>
      </c>
      <c r="J1320" t="str">
        <f>VLOOKUP(orders__17[[#This Row],[Customer_ID]],customers__2[#All],4,0)</f>
        <v>Home Office</v>
      </c>
      <c r="K1320" t="str">
        <f>VLOOKUP(orders__17[[#This Row],[Product_ID]],products[#All],3,0)</f>
        <v>Technology</v>
      </c>
      <c r="L1320" s="1" t="str">
        <f>VLOOKUP(orders__17[[#This Row],[Product_ID]],products[#All],4,0)</f>
        <v>Laptop</v>
      </c>
      <c r="M1320" s="1" t="str">
        <f>VLOOKUP(orders__17[[#This Row],[Order_ID]],returns[#All],2,0)</f>
        <v>No</v>
      </c>
    </row>
    <row r="1321" spans="1:13" x14ac:dyDescent="0.3">
      <c r="A1321" s="1" t="s">
        <v>1627</v>
      </c>
      <c r="B1321" s="2">
        <v>44906</v>
      </c>
      <c r="C1321" s="1" t="s">
        <v>647</v>
      </c>
      <c r="D1321" s="1" t="s">
        <v>364</v>
      </c>
      <c r="E1321">
        <v>2</v>
      </c>
      <c r="F1321" s="4">
        <v>636.70000000000005</v>
      </c>
      <c r="G1321" s="3">
        <v>0</v>
      </c>
      <c r="H1321" s="4">
        <v>85.22</v>
      </c>
      <c r="I1321" t="str">
        <f>VLOOKUP(orders__17[[#This Row],[Customer_ID]],customers__2[#All],3,0)</f>
        <v>South</v>
      </c>
      <c r="J1321" t="str">
        <f>VLOOKUP(orders__17[[#This Row],[Customer_ID]],customers__2[#All],4,0)</f>
        <v>Consumer</v>
      </c>
      <c r="K1321" t="str">
        <f>VLOOKUP(orders__17[[#This Row],[Product_ID]],products[#All],3,0)</f>
        <v>Technology</v>
      </c>
      <c r="L1321" s="1" t="str">
        <f>VLOOKUP(orders__17[[#This Row],[Product_ID]],products[#All],4,0)</f>
        <v>Accessories</v>
      </c>
      <c r="M1321" s="1" t="str">
        <f>VLOOKUP(orders__17[[#This Row],[Order_ID]],returns[#All],2,0)</f>
        <v>No</v>
      </c>
    </row>
    <row r="1322" spans="1:13" x14ac:dyDescent="0.3">
      <c r="A1322" s="1" t="s">
        <v>1628</v>
      </c>
      <c r="B1322" s="2">
        <v>45115</v>
      </c>
      <c r="C1322" s="1" t="s">
        <v>1143</v>
      </c>
      <c r="D1322" s="1" t="s">
        <v>10</v>
      </c>
      <c r="E1322">
        <v>2</v>
      </c>
      <c r="F1322" s="4">
        <v>907.93</v>
      </c>
      <c r="G1322" s="3">
        <v>0.1</v>
      </c>
      <c r="H1322" s="4">
        <v>261.54000000000002</v>
      </c>
      <c r="I1322" t="str">
        <f>VLOOKUP(orders__17[[#This Row],[Customer_ID]],customers__2[#All],3,0)</f>
        <v>West</v>
      </c>
      <c r="J1322" t="str">
        <f>VLOOKUP(orders__17[[#This Row],[Customer_ID]],customers__2[#All],4,0)</f>
        <v>Corporate</v>
      </c>
      <c r="K1322" t="str">
        <f>VLOOKUP(orders__17[[#This Row],[Product_ID]],products[#All],3,0)</f>
        <v>Technology</v>
      </c>
      <c r="L1322" s="1" t="str">
        <f>VLOOKUP(orders__17[[#This Row],[Product_ID]],products[#All],4,0)</f>
        <v>Tablet</v>
      </c>
      <c r="M1322" s="1" t="str">
        <f>VLOOKUP(orders__17[[#This Row],[Order_ID]],returns[#All],2,0)</f>
        <v>No</v>
      </c>
    </row>
    <row r="1323" spans="1:13" x14ac:dyDescent="0.3">
      <c r="A1323" s="1" t="s">
        <v>1629</v>
      </c>
      <c r="B1323" s="2">
        <v>44974</v>
      </c>
      <c r="C1323" s="1" t="s">
        <v>406</v>
      </c>
      <c r="D1323" s="1" t="s">
        <v>89</v>
      </c>
      <c r="E1323">
        <v>3</v>
      </c>
      <c r="F1323" s="4">
        <v>171.39</v>
      </c>
      <c r="G1323" s="3">
        <v>0.1</v>
      </c>
      <c r="H1323" s="4">
        <v>31.41</v>
      </c>
      <c r="I1323" t="str">
        <f>VLOOKUP(orders__17[[#This Row],[Customer_ID]],customers__2[#All],3,0)</f>
        <v>East</v>
      </c>
      <c r="J1323" t="str">
        <f>VLOOKUP(orders__17[[#This Row],[Customer_ID]],customers__2[#All],4,0)</f>
        <v>Home Office</v>
      </c>
      <c r="K1323" t="str">
        <f>VLOOKUP(orders__17[[#This Row],[Product_ID]],products[#All],3,0)</f>
        <v>Technology</v>
      </c>
      <c r="L1323" s="1" t="str">
        <f>VLOOKUP(orders__17[[#This Row],[Product_ID]],products[#All],4,0)</f>
        <v>Phone</v>
      </c>
      <c r="M1323" s="1" t="str">
        <f>VLOOKUP(orders__17[[#This Row],[Order_ID]],returns[#All],2,0)</f>
        <v>No</v>
      </c>
    </row>
    <row r="1324" spans="1:13" x14ac:dyDescent="0.3">
      <c r="A1324" s="1" t="s">
        <v>1630</v>
      </c>
      <c r="B1324" s="2">
        <v>44706</v>
      </c>
      <c r="C1324" s="1" t="s">
        <v>115</v>
      </c>
      <c r="D1324" s="1" t="s">
        <v>502</v>
      </c>
      <c r="E1324">
        <v>5</v>
      </c>
      <c r="F1324" s="4">
        <v>342.95</v>
      </c>
      <c r="G1324" s="3">
        <v>0</v>
      </c>
      <c r="H1324" s="4">
        <v>71.290000000000006</v>
      </c>
      <c r="I1324" t="str">
        <f>VLOOKUP(orders__17[[#This Row],[Customer_ID]],customers__2[#All],3,0)</f>
        <v>South</v>
      </c>
      <c r="J1324" t="str">
        <f>VLOOKUP(orders__17[[#This Row],[Customer_ID]],customers__2[#All],4,0)</f>
        <v>Consumer</v>
      </c>
      <c r="K1324" t="str">
        <f>VLOOKUP(orders__17[[#This Row],[Product_ID]],products[#All],3,0)</f>
        <v>Furniture</v>
      </c>
      <c r="L1324" s="1" t="str">
        <f>VLOOKUP(orders__17[[#This Row],[Product_ID]],products[#All],4,0)</f>
        <v>Shelf</v>
      </c>
      <c r="M1324" s="1" t="str">
        <f>VLOOKUP(orders__17[[#This Row],[Order_ID]],returns[#All],2,0)</f>
        <v>No</v>
      </c>
    </row>
    <row r="1325" spans="1:13" x14ac:dyDescent="0.3">
      <c r="A1325" s="1" t="s">
        <v>1631</v>
      </c>
      <c r="B1325" s="2">
        <v>45238</v>
      </c>
      <c r="C1325" s="1" t="s">
        <v>449</v>
      </c>
      <c r="D1325" s="1" t="s">
        <v>22</v>
      </c>
      <c r="E1325">
        <v>5</v>
      </c>
      <c r="F1325" s="4">
        <v>1554.54</v>
      </c>
      <c r="G1325" s="3">
        <v>0.3</v>
      </c>
      <c r="H1325" s="4">
        <v>288.73</v>
      </c>
      <c r="I1325" t="str">
        <f>VLOOKUP(orders__17[[#This Row],[Customer_ID]],customers__2[#All],3,0)</f>
        <v>North</v>
      </c>
      <c r="J1325" t="str">
        <f>VLOOKUP(orders__17[[#This Row],[Customer_ID]],customers__2[#All],4,0)</f>
        <v>Consumer</v>
      </c>
      <c r="K1325" t="str">
        <f>VLOOKUP(orders__17[[#This Row],[Product_ID]],products[#All],3,0)</f>
        <v>Furniture</v>
      </c>
      <c r="L1325" s="1" t="str">
        <f>VLOOKUP(orders__17[[#This Row],[Product_ID]],products[#All],4,0)</f>
        <v>Chair</v>
      </c>
      <c r="M1325" s="1" t="str">
        <f>VLOOKUP(orders__17[[#This Row],[Order_ID]],returns[#All],2,0)</f>
        <v>No</v>
      </c>
    </row>
    <row r="1326" spans="1:13" x14ac:dyDescent="0.3">
      <c r="A1326" s="1" t="s">
        <v>1632</v>
      </c>
      <c r="B1326" s="2">
        <v>45443</v>
      </c>
      <c r="C1326" s="1" t="s">
        <v>231</v>
      </c>
      <c r="D1326" s="1" t="s">
        <v>83</v>
      </c>
      <c r="E1326">
        <v>2</v>
      </c>
      <c r="F1326" s="4">
        <v>100.02</v>
      </c>
      <c r="G1326" s="3">
        <v>0.1</v>
      </c>
      <c r="H1326" s="4">
        <v>8.24</v>
      </c>
      <c r="I1326" t="str">
        <f>VLOOKUP(orders__17[[#This Row],[Customer_ID]],customers__2[#All],3,0)</f>
        <v>South</v>
      </c>
      <c r="J1326" t="str">
        <f>VLOOKUP(orders__17[[#This Row],[Customer_ID]],customers__2[#All],4,0)</f>
        <v>Consumer</v>
      </c>
      <c r="K1326" t="str">
        <f>VLOOKUP(orders__17[[#This Row],[Product_ID]],products[#All],3,0)</f>
        <v>Furniture</v>
      </c>
      <c r="L1326" s="1" t="str">
        <f>VLOOKUP(orders__17[[#This Row],[Product_ID]],products[#All],4,0)</f>
        <v>Table</v>
      </c>
      <c r="M1326" s="1" t="str">
        <f>VLOOKUP(orders__17[[#This Row],[Order_ID]],returns[#All],2,0)</f>
        <v>No</v>
      </c>
    </row>
    <row r="1327" spans="1:13" x14ac:dyDescent="0.3">
      <c r="A1327" s="1" t="s">
        <v>1633</v>
      </c>
      <c r="B1327" s="2">
        <v>45386</v>
      </c>
      <c r="C1327" s="1" t="s">
        <v>118</v>
      </c>
      <c r="D1327" s="1" t="s">
        <v>283</v>
      </c>
      <c r="E1327">
        <v>3</v>
      </c>
      <c r="F1327" s="4">
        <v>891.48</v>
      </c>
      <c r="G1327" s="3">
        <v>0.3</v>
      </c>
      <c r="H1327" s="4">
        <v>128.33000000000001</v>
      </c>
      <c r="I1327" t="str">
        <f>VLOOKUP(orders__17[[#This Row],[Customer_ID]],customers__2[#All],3,0)</f>
        <v>North</v>
      </c>
      <c r="J1327" t="str">
        <f>VLOOKUP(orders__17[[#This Row],[Customer_ID]],customers__2[#All],4,0)</f>
        <v>Consumer</v>
      </c>
      <c r="K1327" t="str">
        <f>VLOOKUP(orders__17[[#This Row],[Product_ID]],products[#All],3,0)</f>
        <v>Furniture</v>
      </c>
      <c r="L1327" s="1" t="str">
        <f>VLOOKUP(orders__17[[#This Row],[Product_ID]],products[#All],4,0)</f>
        <v>Chair</v>
      </c>
      <c r="M1327" s="1" t="str">
        <f>VLOOKUP(orders__17[[#This Row],[Order_ID]],returns[#All],2,0)</f>
        <v>No</v>
      </c>
    </row>
    <row r="1328" spans="1:13" x14ac:dyDescent="0.3">
      <c r="A1328" s="1" t="s">
        <v>1634</v>
      </c>
      <c r="B1328" s="2">
        <v>44772</v>
      </c>
      <c r="C1328" s="1" t="s">
        <v>192</v>
      </c>
      <c r="D1328" s="1" t="s">
        <v>147</v>
      </c>
      <c r="E1328">
        <v>3</v>
      </c>
      <c r="F1328" s="4">
        <v>1092.77</v>
      </c>
      <c r="G1328" s="3">
        <v>0.2</v>
      </c>
      <c r="H1328" s="4">
        <v>81.72</v>
      </c>
      <c r="I1328" t="str">
        <f>VLOOKUP(orders__17[[#This Row],[Customer_ID]],customers__2[#All],3,0)</f>
        <v>South</v>
      </c>
      <c r="J1328" t="str">
        <f>VLOOKUP(orders__17[[#This Row],[Customer_ID]],customers__2[#All],4,0)</f>
        <v>Corporate</v>
      </c>
      <c r="K1328" t="str">
        <f>VLOOKUP(orders__17[[#This Row],[Product_ID]],products[#All],3,0)</f>
        <v>Technology</v>
      </c>
      <c r="L1328" s="1" t="str">
        <f>VLOOKUP(orders__17[[#This Row],[Product_ID]],products[#All],4,0)</f>
        <v>Laptop</v>
      </c>
      <c r="M1328" s="1" t="str">
        <f>VLOOKUP(orders__17[[#This Row],[Order_ID]],returns[#All],2,0)</f>
        <v>Yes</v>
      </c>
    </row>
    <row r="1329" spans="1:13" x14ac:dyDescent="0.3">
      <c r="A1329" s="1" t="s">
        <v>1635</v>
      </c>
      <c r="B1329" s="2">
        <v>44773</v>
      </c>
      <c r="C1329" s="1" t="s">
        <v>150</v>
      </c>
      <c r="D1329" s="1" t="s">
        <v>278</v>
      </c>
      <c r="E1329">
        <v>4</v>
      </c>
      <c r="F1329" s="4">
        <v>203.81</v>
      </c>
      <c r="G1329" s="3">
        <v>0.3</v>
      </c>
      <c r="H1329" s="4">
        <v>41.93</v>
      </c>
      <c r="I1329" t="str">
        <f>VLOOKUP(orders__17[[#This Row],[Customer_ID]],customers__2[#All],3,0)</f>
        <v>West</v>
      </c>
      <c r="J1329" t="str">
        <f>VLOOKUP(orders__17[[#This Row],[Customer_ID]],customers__2[#All],4,0)</f>
        <v>Consumer</v>
      </c>
      <c r="K1329" t="str">
        <f>VLOOKUP(orders__17[[#This Row],[Product_ID]],products[#All],3,0)</f>
        <v>Office Supplies</v>
      </c>
      <c r="L1329" s="1" t="str">
        <f>VLOOKUP(orders__17[[#This Row],[Product_ID]],products[#All],4,0)</f>
        <v>Pen</v>
      </c>
      <c r="M1329" s="1" t="str">
        <f>VLOOKUP(orders__17[[#This Row],[Order_ID]],returns[#All],2,0)</f>
        <v>No</v>
      </c>
    </row>
    <row r="1330" spans="1:13" x14ac:dyDescent="0.3">
      <c r="A1330" s="1" t="s">
        <v>1636</v>
      </c>
      <c r="B1330" s="2">
        <v>44976</v>
      </c>
      <c r="C1330" s="1" t="s">
        <v>228</v>
      </c>
      <c r="D1330" s="1" t="s">
        <v>502</v>
      </c>
      <c r="E1330">
        <v>5</v>
      </c>
      <c r="F1330" s="4">
        <v>1948.85</v>
      </c>
      <c r="G1330" s="3">
        <v>0</v>
      </c>
      <c r="H1330" s="4">
        <v>315.17</v>
      </c>
      <c r="I1330" t="str">
        <f>VLOOKUP(orders__17[[#This Row],[Customer_ID]],customers__2[#All],3,0)</f>
        <v>North</v>
      </c>
      <c r="J1330" t="str">
        <f>VLOOKUP(orders__17[[#This Row],[Customer_ID]],customers__2[#All],4,0)</f>
        <v>Consumer</v>
      </c>
      <c r="K1330" t="str">
        <f>VLOOKUP(orders__17[[#This Row],[Product_ID]],products[#All],3,0)</f>
        <v>Furniture</v>
      </c>
      <c r="L1330" s="1" t="str">
        <f>VLOOKUP(orders__17[[#This Row],[Product_ID]],products[#All],4,0)</f>
        <v>Shelf</v>
      </c>
      <c r="M1330" s="1" t="str">
        <f>VLOOKUP(orders__17[[#This Row],[Order_ID]],returns[#All],2,0)</f>
        <v>Yes</v>
      </c>
    </row>
    <row r="1331" spans="1:13" x14ac:dyDescent="0.3">
      <c r="A1331" s="1" t="s">
        <v>1637</v>
      </c>
      <c r="B1331" s="2">
        <v>45132</v>
      </c>
      <c r="C1331" s="1" t="s">
        <v>238</v>
      </c>
      <c r="D1331" s="1" t="s">
        <v>226</v>
      </c>
      <c r="E1331">
        <v>1</v>
      </c>
      <c r="F1331" s="4">
        <v>529.64</v>
      </c>
      <c r="G1331" s="3">
        <v>0.2</v>
      </c>
      <c r="H1331" s="4">
        <v>129.49</v>
      </c>
      <c r="I1331" t="str">
        <f>VLOOKUP(orders__17[[#This Row],[Customer_ID]],customers__2[#All],3,0)</f>
        <v>West</v>
      </c>
      <c r="J1331" t="str">
        <f>VLOOKUP(orders__17[[#This Row],[Customer_ID]],customers__2[#All],4,0)</f>
        <v>Corporate</v>
      </c>
      <c r="K1331" t="str">
        <f>VLOOKUP(orders__17[[#This Row],[Product_ID]],products[#All],3,0)</f>
        <v>Technology</v>
      </c>
      <c r="L1331" s="1" t="str">
        <f>VLOOKUP(orders__17[[#This Row],[Product_ID]],products[#All],4,0)</f>
        <v>Laptop</v>
      </c>
      <c r="M1331" s="1" t="str">
        <f>VLOOKUP(orders__17[[#This Row],[Order_ID]],returns[#All],2,0)</f>
        <v>No</v>
      </c>
    </row>
    <row r="1332" spans="1:13" x14ac:dyDescent="0.3">
      <c r="A1332" s="1" t="s">
        <v>1638</v>
      </c>
      <c r="B1332" s="2">
        <v>44732</v>
      </c>
      <c r="C1332" s="1" t="s">
        <v>280</v>
      </c>
      <c r="D1332" s="1" t="s">
        <v>451</v>
      </c>
      <c r="E1332">
        <v>5</v>
      </c>
      <c r="F1332" s="4">
        <v>677.98</v>
      </c>
      <c r="G1332" s="3">
        <v>0.1</v>
      </c>
      <c r="H1332" s="4">
        <v>71.27</v>
      </c>
      <c r="I1332" t="str">
        <f>VLOOKUP(orders__17[[#This Row],[Customer_ID]],customers__2[#All],3,0)</f>
        <v>East</v>
      </c>
      <c r="J1332" t="str">
        <f>VLOOKUP(orders__17[[#This Row],[Customer_ID]],customers__2[#All],4,0)</f>
        <v>Corporate</v>
      </c>
      <c r="K1332" t="str">
        <f>VLOOKUP(orders__17[[#This Row],[Product_ID]],products[#All],3,0)</f>
        <v>Technology</v>
      </c>
      <c r="L1332" s="1" t="str">
        <f>VLOOKUP(orders__17[[#This Row],[Product_ID]],products[#All],4,0)</f>
        <v>Laptop</v>
      </c>
      <c r="M1332" s="1" t="str">
        <f>VLOOKUP(orders__17[[#This Row],[Order_ID]],returns[#All],2,0)</f>
        <v>No</v>
      </c>
    </row>
    <row r="1333" spans="1:13" x14ac:dyDescent="0.3">
      <c r="A1333" s="1" t="s">
        <v>1639</v>
      </c>
      <c r="B1333" s="2">
        <v>44803</v>
      </c>
      <c r="C1333" s="1" t="s">
        <v>53</v>
      </c>
      <c r="D1333" s="1" t="s">
        <v>294</v>
      </c>
      <c r="E1333">
        <v>5</v>
      </c>
      <c r="F1333" s="4">
        <v>677.49</v>
      </c>
      <c r="G1333" s="3">
        <v>0.1</v>
      </c>
      <c r="H1333" s="4">
        <v>61.75</v>
      </c>
      <c r="I1333" t="str">
        <f>VLOOKUP(orders__17[[#This Row],[Customer_ID]],customers__2[#All],3,0)</f>
        <v>West</v>
      </c>
      <c r="J1333" t="str">
        <f>VLOOKUP(orders__17[[#This Row],[Customer_ID]],customers__2[#All],4,0)</f>
        <v>Home Office</v>
      </c>
      <c r="K1333" t="str">
        <f>VLOOKUP(orders__17[[#This Row],[Product_ID]],products[#All],3,0)</f>
        <v>Technology</v>
      </c>
      <c r="L1333" s="1" t="str">
        <f>VLOOKUP(orders__17[[#This Row],[Product_ID]],products[#All],4,0)</f>
        <v>Tablet</v>
      </c>
      <c r="M1333" s="1" t="str">
        <f>VLOOKUP(orders__17[[#This Row],[Order_ID]],returns[#All],2,0)</f>
        <v>No</v>
      </c>
    </row>
    <row r="1334" spans="1:13" x14ac:dyDescent="0.3">
      <c r="A1334" s="1" t="s">
        <v>1640</v>
      </c>
      <c r="B1334" s="2">
        <v>44666</v>
      </c>
      <c r="C1334" s="1" t="s">
        <v>325</v>
      </c>
      <c r="D1334" s="1" t="s">
        <v>170</v>
      </c>
      <c r="E1334">
        <v>4</v>
      </c>
      <c r="F1334" s="4">
        <v>537.79</v>
      </c>
      <c r="G1334" s="3">
        <v>0.2</v>
      </c>
      <c r="H1334" s="4">
        <v>81.52</v>
      </c>
      <c r="I1334" t="str">
        <f>VLOOKUP(orders__17[[#This Row],[Customer_ID]],customers__2[#All],3,0)</f>
        <v>North</v>
      </c>
      <c r="J1334" t="str">
        <f>VLOOKUP(orders__17[[#This Row],[Customer_ID]],customers__2[#All],4,0)</f>
        <v>Corporate</v>
      </c>
      <c r="K1334" t="str">
        <f>VLOOKUP(orders__17[[#This Row],[Product_ID]],products[#All],3,0)</f>
        <v>Furniture</v>
      </c>
      <c r="L1334" s="1" t="str">
        <f>VLOOKUP(orders__17[[#This Row],[Product_ID]],products[#All],4,0)</f>
        <v>Shelf</v>
      </c>
      <c r="M1334" s="1" t="str">
        <f>VLOOKUP(orders__17[[#This Row],[Order_ID]],returns[#All],2,0)</f>
        <v>No</v>
      </c>
    </row>
    <row r="1335" spans="1:13" x14ac:dyDescent="0.3">
      <c r="A1335" s="1" t="s">
        <v>1641</v>
      </c>
      <c r="B1335" s="2">
        <v>44834</v>
      </c>
      <c r="C1335" s="1" t="s">
        <v>300</v>
      </c>
      <c r="D1335" s="1" t="s">
        <v>364</v>
      </c>
      <c r="E1335">
        <v>1</v>
      </c>
      <c r="F1335" s="4">
        <v>102.8</v>
      </c>
      <c r="G1335" s="3">
        <v>0.3</v>
      </c>
      <c r="H1335" s="4">
        <v>28.95</v>
      </c>
      <c r="I1335" t="str">
        <f>VLOOKUP(orders__17[[#This Row],[Customer_ID]],customers__2[#All],3,0)</f>
        <v>East</v>
      </c>
      <c r="J1335" t="str">
        <f>VLOOKUP(orders__17[[#This Row],[Customer_ID]],customers__2[#All],4,0)</f>
        <v>Home Office</v>
      </c>
      <c r="K1335" t="str">
        <f>VLOOKUP(orders__17[[#This Row],[Product_ID]],products[#All],3,0)</f>
        <v>Technology</v>
      </c>
      <c r="L1335" s="1" t="str">
        <f>VLOOKUP(orders__17[[#This Row],[Product_ID]],products[#All],4,0)</f>
        <v>Accessories</v>
      </c>
      <c r="M1335" s="1" t="str">
        <f>VLOOKUP(orders__17[[#This Row],[Order_ID]],returns[#All],2,0)</f>
        <v>No</v>
      </c>
    </row>
    <row r="1336" spans="1:13" x14ac:dyDescent="0.3">
      <c r="A1336" s="1" t="s">
        <v>1642</v>
      </c>
      <c r="B1336" s="2">
        <v>44860</v>
      </c>
      <c r="C1336" s="1" t="s">
        <v>179</v>
      </c>
      <c r="D1336" s="1" t="s">
        <v>263</v>
      </c>
      <c r="E1336">
        <v>4</v>
      </c>
      <c r="F1336" s="4">
        <v>1485.76</v>
      </c>
      <c r="G1336" s="3">
        <v>0.1</v>
      </c>
      <c r="H1336" s="4">
        <v>338.17</v>
      </c>
      <c r="I1336" t="str">
        <f>VLOOKUP(orders__17[[#This Row],[Customer_ID]],customers__2[#All],3,0)</f>
        <v>North</v>
      </c>
      <c r="J1336" t="str">
        <f>VLOOKUP(orders__17[[#This Row],[Customer_ID]],customers__2[#All],4,0)</f>
        <v>Consumer</v>
      </c>
      <c r="K1336" t="str">
        <f>VLOOKUP(orders__17[[#This Row],[Product_ID]],products[#All],3,0)</f>
        <v>Office Supplies</v>
      </c>
      <c r="L1336" s="1" t="str">
        <f>VLOOKUP(orders__17[[#This Row],[Product_ID]],products[#All],4,0)</f>
        <v>Storage</v>
      </c>
      <c r="M1336" s="1" t="str">
        <f>VLOOKUP(orders__17[[#This Row],[Order_ID]],returns[#All],2,0)</f>
        <v>No</v>
      </c>
    </row>
    <row r="1337" spans="1:13" x14ac:dyDescent="0.3">
      <c r="A1337" s="1" t="s">
        <v>1643</v>
      </c>
      <c r="B1337" s="2">
        <v>44681</v>
      </c>
      <c r="C1337" s="1" t="s">
        <v>610</v>
      </c>
      <c r="D1337" s="1" t="s">
        <v>19</v>
      </c>
      <c r="E1337">
        <v>1</v>
      </c>
      <c r="F1337" s="4">
        <v>1937.01</v>
      </c>
      <c r="G1337" s="3">
        <v>0</v>
      </c>
      <c r="H1337" s="4">
        <v>299.72000000000003</v>
      </c>
      <c r="I1337" t="str">
        <f>VLOOKUP(orders__17[[#This Row],[Customer_ID]],customers__2[#All],3,0)</f>
        <v>West</v>
      </c>
      <c r="J1337" t="str">
        <f>VLOOKUP(orders__17[[#This Row],[Customer_ID]],customers__2[#All],4,0)</f>
        <v>Home Office</v>
      </c>
      <c r="K1337" t="str">
        <f>VLOOKUP(orders__17[[#This Row],[Product_ID]],products[#All],3,0)</f>
        <v>Office Supplies</v>
      </c>
      <c r="L1337" s="1" t="str">
        <f>VLOOKUP(orders__17[[#This Row],[Product_ID]],products[#All],4,0)</f>
        <v>Pen</v>
      </c>
      <c r="M1337" s="1" t="str">
        <f>VLOOKUP(orders__17[[#This Row],[Order_ID]],returns[#All],2,0)</f>
        <v>Yes</v>
      </c>
    </row>
    <row r="1338" spans="1:13" x14ac:dyDescent="0.3">
      <c r="A1338" s="1" t="s">
        <v>1644</v>
      </c>
      <c r="B1338" s="2">
        <v>45362</v>
      </c>
      <c r="C1338" s="1" t="s">
        <v>729</v>
      </c>
      <c r="D1338" s="1" t="s">
        <v>161</v>
      </c>
      <c r="E1338">
        <v>2</v>
      </c>
      <c r="F1338" s="4">
        <v>526.16</v>
      </c>
      <c r="G1338" s="3">
        <v>0.2</v>
      </c>
      <c r="H1338" s="4">
        <v>94.35</v>
      </c>
      <c r="I1338" t="str">
        <f>VLOOKUP(orders__17[[#This Row],[Customer_ID]],customers__2[#All],3,0)</f>
        <v>North</v>
      </c>
      <c r="J1338" t="str">
        <f>VLOOKUP(orders__17[[#This Row],[Customer_ID]],customers__2[#All],4,0)</f>
        <v>Home Office</v>
      </c>
      <c r="K1338" t="str">
        <f>VLOOKUP(orders__17[[#This Row],[Product_ID]],products[#All],3,0)</f>
        <v>Office Supplies</v>
      </c>
      <c r="L1338" s="1" t="str">
        <f>VLOOKUP(orders__17[[#This Row],[Product_ID]],products[#All],4,0)</f>
        <v>Binder</v>
      </c>
      <c r="M1338" s="1" t="str">
        <f>VLOOKUP(orders__17[[#This Row],[Order_ID]],returns[#All],2,0)</f>
        <v>Yes</v>
      </c>
    </row>
    <row r="1339" spans="1:13" x14ac:dyDescent="0.3">
      <c r="A1339" s="1" t="s">
        <v>1645</v>
      </c>
      <c r="B1339" s="2">
        <v>44943</v>
      </c>
      <c r="C1339" s="1" t="s">
        <v>74</v>
      </c>
      <c r="D1339" s="1" t="s">
        <v>64</v>
      </c>
      <c r="E1339">
        <v>1</v>
      </c>
      <c r="F1339" s="4">
        <v>1359.79</v>
      </c>
      <c r="G1339" s="3">
        <v>0</v>
      </c>
      <c r="H1339" s="4">
        <v>96.62</v>
      </c>
      <c r="I1339" t="str">
        <f>VLOOKUP(orders__17[[#This Row],[Customer_ID]],customers__2[#All],3,0)</f>
        <v>North</v>
      </c>
      <c r="J1339" t="str">
        <f>VLOOKUP(orders__17[[#This Row],[Customer_ID]],customers__2[#All],4,0)</f>
        <v>Consumer</v>
      </c>
      <c r="K1339" t="str">
        <f>VLOOKUP(orders__17[[#This Row],[Product_ID]],products[#All],3,0)</f>
        <v>Office Supplies</v>
      </c>
      <c r="L1339" s="1" t="str">
        <f>VLOOKUP(orders__17[[#This Row],[Product_ID]],products[#All],4,0)</f>
        <v>Storage</v>
      </c>
      <c r="M1339" s="1" t="str">
        <f>VLOOKUP(orders__17[[#This Row],[Order_ID]],returns[#All],2,0)</f>
        <v>No</v>
      </c>
    </row>
    <row r="1340" spans="1:13" x14ac:dyDescent="0.3">
      <c r="A1340" s="1" t="s">
        <v>1646</v>
      </c>
      <c r="B1340" s="2">
        <v>45097</v>
      </c>
      <c r="C1340" s="1" t="s">
        <v>172</v>
      </c>
      <c r="D1340" s="1" t="s">
        <v>163</v>
      </c>
      <c r="E1340">
        <v>4</v>
      </c>
      <c r="F1340" s="4">
        <v>1509.6</v>
      </c>
      <c r="G1340" s="3">
        <v>0.2</v>
      </c>
      <c r="H1340" s="4">
        <v>447.06</v>
      </c>
      <c r="I1340" t="str">
        <f>VLOOKUP(orders__17[[#This Row],[Customer_ID]],customers__2[#All],3,0)</f>
        <v>East</v>
      </c>
      <c r="J1340" t="str">
        <f>VLOOKUP(orders__17[[#This Row],[Customer_ID]],customers__2[#All],4,0)</f>
        <v>Home Office</v>
      </c>
      <c r="K1340" t="str">
        <f>VLOOKUP(orders__17[[#This Row],[Product_ID]],products[#All],3,0)</f>
        <v>Furniture</v>
      </c>
      <c r="L1340" s="1" t="str">
        <f>VLOOKUP(orders__17[[#This Row],[Product_ID]],products[#All],4,0)</f>
        <v>Table</v>
      </c>
      <c r="M1340" s="1" t="str">
        <f>VLOOKUP(orders__17[[#This Row],[Order_ID]],returns[#All],2,0)</f>
        <v>No</v>
      </c>
    </row>
    <row r="1341" spans="1:13" x14ac:dyDescent="0.3">
      <c r="A1341" s="1" t="s">
        <v>1647</v>
      </c>
      <c r="B1341" s="2">
        <v>44617</v>
      </c>
      <c r="C1341" s="1" t="s">
        <v>657</v>
      </c>
      <c r="D1341" s="1" t="s">
        <v>64</v>
      </c>
      <c r="E1341">
        <v>5</v>
      </c>
      <c r="F1341" s="4">
        <v>1712.01</v>
      </c>
      <c r="G1341" s="3">
        <v>0.1</v>
      </c>
      <c r="H1341" s="4">
        <v>370.82</v>
      </c>
      <c r="I1341" t="str">
        <f>VLOOKUP(orders__17[[#This Row],[Customer_ID]],customers__2[#All],3,0)</f>
        <v>East</v>
      </c>
      <c r="J1341" t="str">
        <f>VLOOKUP(orders__17[[#This Row],[Customer_ID]],customers__2[#All],4,0)</f>
        <v>Corporate</v>
      </c>
      <c r="K1341" t="str">
        <f>VLOOKUP(orders__17[[#This Row],[Product_ID]],products[#All],3,0)</f>
        <v>Office Supplies</v>
      </c>
      <c r="L1341" s="1" t="str">
        <f>VLOOKUP(orders__17[[#This Row],[Product_ID]],products[#All],4,0)</f>
        <v>Storage</v>
      </c>
      <c r="M1341" s="1" t="str">
        <f>VLOOKUP(orders__17[[#This Row],[Order_ID]],returns[#All],2,0)</f>
        <v>Yes</v>
      </c>
    </row>
    <row r="1342" spans="1:13" x14ac:dyDescent="0.3">
      <c r="A1342" s="1" t="s">
        <v>1648</v>
      </c>
      <c r="B1342" s="2">
        <v>45090</v>
      </c>
      <c r="C1342" s="1" t="s">
        <v>542</v>
      </c>
      <c r="D1342" s="1" t="s">
        <v>757</v>
      </c>
      <c r="E1342">
        <v>1</v>
      </c>
      <c r="F1342" s="4">
        <v>903</v>
      </c>
      <c r="G1342" s="3">
        <v>0.3</v>
      </c>
      <c r="H1342" s="4">
        <v>109.58</v>
      </c>
      <c r="I1342" t="str">
        <f>VLOOKUP(orders__17[[#This Row],[Customer_ID]],customers__2[#All],3,0)</f>
        <v>West</v>
      </c>
      <c r="J1342" t="str">
        <f>VLOOKUP(orders__17[[#This Row],[Customer_ID]],customers__2[#All],4,0)</f>
        <v>Home Office</v>
      </c>
      <c r="K1342" t="str">
        <f>VLOOKUP(orders__17[[#This Row],[Product_ID]],products[#All],3,0)</f>
        <v>Office Supplies</v>
      </c>
      <c r="L1342" s="1" t="str">
        <f>VLOOKUP(orders__17[[#This Row],[Product_ID]],products[#All],4,0)</f>
        <v>Pen</v>
      </c>
      <c r="M1342" s="1" t="str">
        <f>VLOOKUP(orders__17[[#This Row],[Order_ID]],returns[#All],2,0)</f>
        <v>Yes</v>
      </c>
    </row>
    <row r="1343" spans="1:13" x14ac:dyDescent="0.3">
      <c r="A1343" s="1" t="s">
        <v>1649</v>
      </c>
      <c r="B1343" s="2">
        <v>45154</v>
      </c>
      <c r="C1343" s="1" t="s">
        <v>673</v>
      </c>
      <c r="D1343" s="1" t="s">
        <v>283</v>
      </c>
      <c r="E1343">
        <v>1</v>
      </c>
      <c r="F1343" s="4">
        <v>675.57</v>
      </c>
      <c r="G1343" s="3">
        <v>0.2</v>
      </c>
      <c r="H1343" s="4">
        <v>132.72</v>
      </c>
      <c r="I1343" t="str">
        <f>VLOOKUP(orders__17[[#This Row],[Customer_ID]],customers__2[#All],3,0)</f>
        <v>West</v>
      </c>
      <c r="J1343" t="str">
        <f>VLOOKUP(orders__17[[#This Row],[Customer_ID]],customers__2[#All],4,0)</f>
        <v>Consumer</v>
      </c>
      <c r="K1343" t="str">
        <f>VLOOKUP(orders__17[[#This Row],[Product_ID]],products[#All],3,0)</f>
        <v>Furniture</v>
      </c>
      <c r="L1343" s="1" t="str">
        <f>VLOOKUP(orders__17[[#This Row],[Product_ID]],products[#All],4,0)</f>
        <v>Chair</v>
      </c>
      <c r="M1343" s="1" t="str">
        <f>VLOOKUP(orders__17[[#This Row],[Order_ID]],returns[#All],2,0)</f>
        <v>No</v>
      </c>
    </row>
    <row r="1344" spans="1:13" x14ac:dyDescent="0.3">
      <c r="A1344" s="1" t="s">
        <v>1650</v>
      </c>
      <c r="B1344" s="2">
        <v>44831</v>
      </c>
      <c r="C1344" s="1" t="s">
        <v>53</v>
      </c>
      <c r="D1344" s="1" t="s">
        <v>130</v>
      </c>
      <c r="E1344">
        <v>3</v>
      </c>
      <c r="F1344" s="4">
        <v>718.06</v>
      </c>
      <c r="G1344" s="3">
        <v>0.2</v>
      </c>
      <c r="H1344" s="4">
        <v>55.56</v>
      </c>
      <c r="I1344" t="str">
        <f>VLOOKUP(orders__17[[#This Row],[Customer_ID]],customers__2[#All],3,0)</f>
        <v>West</v>
      </c>
      <c r="J1344" t="str">
        <f>VLOOKUP(orders__17[[#This Row],[Customer_ID]],customers__2[#All],4,0)</f>
        <v>Home Office</v>
      </c>
      <c r="K1344" t="str">
        <f>VLOOKUP(orders__17[[#This Row],[Product_ID]],products[#All],3,0)</f>
        <v>Furniture</v>
      </c>
      <c r="L1344" s="1" t="str">
        <f>VLOOKUP(orders__17[[#This Row],[Product_ID]],products[#All],4,0)</f>
        <v>Desk</v>
      </c>
      <c r="M1344" s="1" t="str">
        <f>VLOOKUP(orders__17[[#This Row],[Order_ID]],returns[#All],2,0)</f>
        <v>No</v>
      </c>
    </row>
    <row r="1345" spans="1:13" x14ac:dyDescent="0.3">
      <c r="A1345" s="1" t="s">
        <v>1651</v>
      </c>
      <c r="B1345" s="2">
        <v>44964</v>
      </c>
      <c r="C1345" s="1" t="s">
        <v>160</v>
      </c>
      <c r="D1345" s="1" t="s">
        <v>89</v>
      </c>
      <c r="E1345">
        <v>5</v>
      </c>
      <c r="F1345" s="4">
        <v>1453.98</v>
      </c>
      <c r="G1345" s="3">
        <v>0</v>
      </c>
      <c r="H1345" s="4">
        <v>423.78</v>
      </c>
      <c r="I1345" t="str">
        <f>VLOOKUP(orders__17[[#This Row],[Customer_ID]],customers__2[#All],3,0)</f>
        <v>East</v>
      </c>
      <c r="J1345" t="str">
        <f>VLOOKUP(orders__17[[#This Row],[Customer_ID]],customers__2[#All],4,0)</f>
        <v>Corporate</v>
      </c>
      <c r="K1345" t="str">
        <f>VLOOKUP(orders__17[[#This Row],[Product_ID]],products[#All],3,0)</f>
        <v>Technology</v>
      </c>
      <c r="L1345" s="1" t="str">
        <f>VLOOKUP(orders__17[[#This Row],[Product_ID]],products[#All],4,0)</f>
        <v>Phone</v>
      </c>
      <c r="M1345" s="1" t="str">
        <f>VLOOKUP(orders__17[[#This Row],[Order_ID]],returns[#All],2,0)</f>
        <v>No</v>
      </c>
    </row>
    <row r="1346" spans="1:13" x14ac:dyDescent="0.3">
      <c r="A1346" s="1" t="s">
        <v>1652</v>
      </c>
      <c r="B1346" s="2">
        <v>45031</v>
      </c>
      <c r="C1346" s="1" t="s">
        <v>637</v>
      </c>
      <c r="D1346" s="1" t="s">
        <v>201</v>
      </c>
      <c r="E1346">
        <v>2</v>
      </c>
      <c r="F1346" s="4">
        <v>1651.88</v>
      </c>
      <c r="G1346" s="3">
        <v>0.1</v>
      </c>
      <c r="H1346" s="4">
        <v>154.77000000000001</v>
      </c>
      <c r="I1346" t="str">
        <f>VLOOKUP(orders__17[[#This Row],[Customer_ID]],customers__2[#All],3,0)</f>
        <v>North</v>
      </c>
      <c r="J1346" t="str">
        <f>VLOOKUP(orders__17[[#This Row],[Customer_ID]],customers__2[#All],4,0)</f>
        <v>Corporate</v>
      </c>
      <c r="K1346" t="str">
        <f>VLOOKUP(orders__17[[#This Row],[Product_ID]],products[#All],3,0)</f>
        <v>Office Supplies</v>
      </c>
      <c r="L1346" s="1" t="str">
        <f>VLOOKUP(orders__17[[#This Row],[Product_ID]],products[#All],4,0)</f>
        <v>Paper</v>
      </c>
      <c r="M1346" s="1" t="str">
        <f>VLOOKUP(orders__17[[#This Row],[Order_ID]],returns[#All],2,0)</f>
        <v>Yes</v>
      </c>
    </row>
    <row r="1347" spans="1:13" x14ac:dyDescent="0.3">
      <c r="A1347" s="1" t="s">
        <v>1653</v>
      </c>
      <c r="B1347" s="2">
        <v>45407</v>
      </c>
      <c r="C1347" s="1" t="s">
        <v>282</v>
      </c>
      <c r="D1347" s="1" t="s">
        <v>40</v>
      </c>
      <c r="E1347">
        <v>4</v>
      </c>
      <c r="F1347" s="4">
        <v>445.07</v>
      </c>
      <c r="G1347" s="3">
        <v>0</v>
      </c>
      <c r="H1347" s="4">
        <v>94.36</v>
      </c>
      <c r="I1347" t="str">
        <f>VLOOKUP(orders__17[[#This Row],[Customer_ID]],customers__2[#All],3,0)</f>
        <v>South</v>
      </c>
      <c r="J1347" t="str">
        <f>VLOOKUP(orders__17[[#This Row],[Customer_ID]],customers__2[#All],4,0)</f>
        <v>Home Office</v>
      </c>
      <c r="K1347" t="str">
        <f>VLOOKUP(orders__17[[#This Row],[Product_ID]],products[#All],3,0)</f>
        <v>Office Supplies</v>
      </c>
      <c r="L1347" s="1" t="str">
        <f>VLOOKUP(orders__17[[#This Row],[Product_ID]],products[#All],4,0)</f>
        <v>Storage</v>
      </c>
      <c r="M1347" s="1" t="str">
        <f>VLOOKUP(orders__17[[#This Row],[Order_ID]],returns[#All],2,0)</f>
        <v>Yes</v>
      </c>
    </row>
    <row r="1348" spans="1:13" x14ac:dyDescent="0.3">
      <c r="A1348" s="1" t="s">
        <v>1654</v>
      </c>
      <c r="B1348" s="2">
        <v>44943</v>
      </c>
      <c r="C1348" s="1" t="s">
        <v>402</v>
      </c>
      <c r="D1348" s="1" t="s">
        <v>226</v>
      </c>
      <c r="E1348">
        <v>2</v>
      </c>
      <c r="F1348" s="4">
        <v>804.79</v>
      </c>
      <c r="G1348" s="3">
        <v>0.1</v>
      </c>
      <c r="H1348" s="4">
        <v>89.62</v>
      </c>
      <c r="I1348" t="str">
        <f>VLOOKUP(orders__17[[#This Row],[Customer_ID]],customers__2[#All],3,0)</f>
        <v>West</v>
      </c>
      <c r="J1348" t="str">
        <f>VLOOKUP(orders__17[[#This Row],[Customer_ID]],customers__2[#All],4,0)</f>
        <v>Consumer</v>
      </c>
      <c r="K1348" t="str">
        <f>VLOOKUP(orders__17[[#This Row],[Product_ID]],products[#All],3,0)</f>
        <v>Technology</v>
      </c>
      <c r="L1348" s="1" t="str">
        <f>VLOOKUP(orders__17[[#This Row],[Product_ID]],products[#All],4,0)</f>
        <v>Laptop</v>
      </c>
      <c r="M1348" s="1" t="str">
        <f>VLOOKUP(orders__17[[#This Row],[Order_ID]],returns[#All],2,0)</f>
        <v>No</v>
      </c>
    </row>
    <row r="1349" spans="1:13" x14ac:dyDescent="0.3">
      <c r="A1349" s="1" t="s">
        <v>1655</v>
      </c>
      <c r="B1349" s="2">
        <v>44896</v>
      </c>
      <c r="C1349" s="1" t="s">
        <v>510</v>
      </c>
      <c r="D1349" s="1" t="s">
        <v>45</v>
      </c>
      <c r="E1349">
        <v>5</v>
      </c>
      <c r="F1349" s="4">
        <v>1813.69</v>
      </c>
      <c r="G1349" s="3">
        <v>0</v>
      </c>
      <c r="H1349" s="4">
        <v>416.04</v>
      </c>
      <c r="I1349" t="str">
        <f>VLOOKUP(orders__17[[#This Row],[Customer_ID]],customers__2[#All],3,0)</f>
        <v>South</v>
      </c>
      <c r="J1349" t="str">
        <f>VLOOKUP(orders__17[[#This Row],[Customer_ID]],customers__2[#All],4,0)</f>
        <v>Consumer</v>
      </c>
      <c r="K1349" t="str">
        <f>VLOOKUP(orders__17[[#This Row],[Product_ID]],products[#All],3,0)</f>
        <v>Office Supplies</v>
      </c>
      <c r="L1349" s="1" t="str">
        <f>VLOOKUP(orders__17[[#This Row],[Product_ID]],products[#All],4,0)</f>
        <v>Pen</v>
      </c>
      <c r="M1349" s="1" t="str">
        <f>VLOOKUP(orders__17[[#This Row],[Order_ID]],returns[#All],2,0)</f>
        <v>No</v>
      </c>
    </row>
    <row r="1350" spans="1:13" x14ac:dyDescent="0.3">
      <c r="A1350" s="1" t="s">
        <v>1656</v>
      </c>
      <c r="B1350" s="2">
        <v>44968</v>
      </c>
      <c r="C1350" s="1" t="s">
        <v>422</v>
      </c>
      <c r="D1350" s="1" t="s">
        <v>502</v>
      </c>
      <c r="E1350">
        <v>1</v>
      </c>
      <c r="F1350" s="4">
        <v>1632.72</v>
      </c>
      <c r="G1350" s="3">
        <v>0.2</v>
      </c>
      <c r="H1350" s="4">
        <v>398.72</v>
      </c>
      <c r="I1350" t="str">
        <f>VLOOKUP(orders__17[[#This Row],[Customer_ID]],customers__2[#All],3,0)</f>
        <v>East</v>
      </c>
      <c r="J1350" t="str">
        <f>VLOOKUP(orders__17[[#This Row],[Customer_ID]],customers__2[#All],4,0)</f>
        <v>Home Office</v>
      </c>
      <c r="K1350" t="str">
        <f>VLOOKUP(orders__17[[#This Row],[Product_ID]],products[#All],3,0)</f>
        <v>Furniture</v>
      </c>
      <c r="L1350" s="1" t="str">
        <f>VLOOKUP(orders__17[[#This Row],[Product_ID]],products[#All],4,0)</f>
        <v>Shelf</v>
      </c>
      <c r="M1350" s="1" t="str">
        <f>VLOOKUP(orders__17[[#This Row],[Order_ID]],returns[#All],2,0)</f>
        <v>No</v>
      </c>
    </row>
    <row r="1351" spans="1:13" x14ac:dyDescent="0.3">
      <c r="A1351" s="1" t="s">
        <v>1657</v>
      </c>
      <c r="B1351" s="2">
        <v>44615</v>
      </c>
      <c r="C1351" s="1" t="s">
        <v>233</v>
      </c>
      <c r="D1351" s="1" t="s">
        <v>296</v>
      </c>
      <c r="E1351">
        <v>1</v>
      </c>
      <c r="F1351" s="4">
        <v>1971.23</v>
      </c>
      <c r="G1351" s="3">
        <v>0</v>
      </c>
      <c r="H1351" s="4">
        <v>430.43</v>
      </c>
      <c r="I1351" t="str">
        <f>VLOOKUP(orders__17[[#This Row],[Customer_ID]],customers__2[#All],3,0)</f>
        <v>South</v>
      </c>
      <c r="J1351" t="str">
        <f>VLOOKUP(orders__17[[#This Row],[Customer_ID]],customers__2[#All],4,0)</f>
        <v>Home Office</v>
      </c>
      <c r="K1351" t="str">
        <f>VLOOKUP(orders__17[[#This Row],[Product_ID]],products[#All],3,0)</f>
        <v>Technology</v>
      </c>
      <c r="L1351" s="1" t="str">
        <f>VLOOKUP(orders__17[[#This Row],[Product_ID]],products[#All],4,0)</f>
        <v>Accessories</v>
      </c>
      <c r="M1351" s="1" t="str">
        <f>VLOOKUP(orders__17[[#This Row],[Order_ID]],returns[#All],2,0)</f>
        <v>No</v>
      </c>
    </row>
    <row r="1352" spans="1:13" x14ac:dyDescent="0.3">
      <c r="A1352" s="1" t="s">
        <v>1658</v>
      </c>
      <c r="B1352" s="2">
        <v>44979</v>
      </c>
      <c r="C1352" s="1" t="s">
        <v>980</v>
      </c>
      <c r="D1352" s="1" t="s">
        <v>28</v>
      </c>
      <c r="E1352">
        <v>5</v>
      </c>
      <c r="F1352" s="4">
        <v>1533.07</v>
      </c>
      <c r="G1352" s="3">
        <v>0.3</v>
      </c>
      <c r="H1352" s="4">
        <v>312.17</v>
      </c>
      <c r="I1352" t="str">
        <f>VLOOKUP(orders__17[[#This Row],[Customer_ID]],customers__2[#All],3,0)</f>
        <v>South</v>
      </c>
      <c r="J1352" t="str">
        <f>VLOOKUP(orders__17[[#This Row],[Customer_ID]],customers__2[#All],4,0)</f>
        <v>Home Office</v>
      </c>
      <c r="K1352" t="str">
        <f>VLOOKUP(orders__17[[#This Row],[Product_ID]],products[#All],3,0)</f>
        <v>Office Supplies</v>
      </c>
      <c r="L1352" s="1" t="str">
        <f>VLOOKUP(orders__17[[#This Row],[Product_ID]],products[#All],4,0)</f>
        <v>Storage</v>
      </c>
      <c r="M1352" s="1" t="str">
        <f>VLOOKUP(orders__17[[#This Row],[Order_ID]],returns[#All],2,0)</f>
        <v>No</v>
      </c>
    </row>
    <row r="1353" spans="1:13" x14ac:dyDescent="0.3">
      <c r="A1353" s="1" t="s">
        <v>1659</v>
      </c>
      <c r="B1353" s="2">
        <v>45053</v>
      </c>
      <c r="C1353" s="1" t="s">
        <v>176</v>
      </c>
      <c r="D1353" s="1" t="s">
        <v>679</v>
      </c>
      <c r="E1353">
        <v>1</v>
      </c>
      <c r="F1353" s="4">
        <v>847.07</v>
      </c>
      <c r="G1353" s="3">
        <v>0.1</v>
      </c>
      <c r="H1353" s="4">
        <v>231.35</v>
      </c>
      <c r="I1353" t="str">
        <f>VLOOKUP(orders__17[[#This Row],[Customer_ID]],customers__2[#All],3,0)</f>
        <v>South</v>
      </c>
      <c r="J1353" t="str">
        <f>VLOOKUP(orders__17[[#This Row],[Customer_ID]],customers__2[#All],4,0)</f>
        <v>Home Office</v>
      </c>
      <c r="K1353" t="str">
        <f>VLOOKUP(orders__17[[#This Row],[Product_ID]],products[#All],3,0)</f>
        <v>Office Supplies</v>
      </c>
      <c r="L1353" s="1" t="str">
        <f>VLOOKUP(orders__17[[#This Row],[Product_ID]],products[#All],4,0)</f>
        <v>Paper</v>
      </c>
      <c r="M1353" s="1" t="str">
        <f>VLOOKUP(orders__17[[#This Row],[Order_ID]],returns[#All],2,0)</f>
        <v>Yes</v>
      </c>
    </row>
    <row r="1354" spans="1:13" x14ac:dyDescent="0.3">
      <c r="A1354" s="1" t="s">
        <v>1660</v>
      </c>
      <c r="B1354" s="2">
        <v>44997</v>
      </c>
      <c r="C1354" s="1" t="s">
        <v>946</v>
      </c>
      <c r="D1354" s="1" t="s">
        <v>211</v>
      </c>
      <c r="E1354">
        <v>1</v>
      </c>
      <c r="F1354" s="4">
        <v>1222.21</v>
      </c>
      <c r="G1354" s="3">
        <v>0.1</v>
      </c>
      <c r="H1354" s="4">
        <v>85.14</v>
      </c>
      <c r="I1354" t="str">
        <f>VLOOKUP(orders__17[[#This Row],[Customer_ID]],customers__2[#All],3,0)</f>
        <v>South</v>
      </c>
      <c r="J1354" t="str">
        <f>VLOOKUP(orders__17[[#This Row],[Customer_ID]],customers__2[#All],4,0)</f>
        <v>Corporate</v>
      </c>
      <c r="K1354" t="str">
        <f>VLOOKUP(orders__17[[#This Row],[Product_ID]],products[#All],3,0)</f>
        <v>Office Supplies</v>
      </c>
      <c r="L1354" s="1" t="str">
        <f>VLOOKUP(orders__17[[#This Row],[Product_ID]],products[#All],4,0)</f>
        <v>Binder</v>
      </c>
      <c r="M1354" s="1" t="str">
        <f>VLOOKUP(orders__17[[#This Row],[Order_ID]],returns[#All],2,0)</f>
        <v>No</v>
      </c>
    </row>
    <row r="1355" spans="1:13" x14ac:dyDescent="0.3">
      <c r="A1355" s="1" t="s">
        <v>1661</v>
      </c>
      <c r="B1355" s="2">
        <v>44923</v>
      </c>
      <c r="C1355" s="1" t="s">
        <v>287</v>
      </c>
      <c r="D1355" s="1" t="s">
        <v>186</v>
      </c>
      <c r="E1355">
        <v>1</v>
      </c>
      <c r="F1355" s="4">
        <v>1355.93</v>
      </c>
      <c r="G1355" s="3">
        <v>0.2</v>
      </c>
      <c r="H1355" s="4">
        <v>179.97</v>
      </c>
      <c r="I1355" t="str">
        <f>VLOOKUP(orders__17[[#This Row],[Customer_ID]],customers__2[#All],3,0)</f>
        <v>South</v>
      </c>
      <c r="J1355" t="str">
        <f>VLOOKUP(orders__17[[#This Row],[Customer_ID]],customers__2[#All],4,0)</f>
        <v>Consumer</v>
      </c>
      <c r="K1355" t="str">
        <f>VLOOKUP(orders__17[[#This Row],[Product_ID]],products[#All],3,0)</f>
        <v>Technology</v>
      </c>
      <c r="L1355" s="1" t="str">
        <f>VLOOKUP(orders__17[[#This Row],[Product_ID]],products[#All],4,0)</f>
        <v>Laptop</v>
      </c>
      <c r="M1355" s="1" t="str">
        <f>VLOOKUP(orders__17[[#This Row],[Order_ID]],returns[#All],2,0)</f>
        <v>No</v>
      </c>
    </row>
    <row r="1356" spans="1:13" x14ac:dyDescent="0.3">
      <c r="A1356" s="1" t="s">
        <v>1662</v>
      </c>
      <c r="B1356" s="2">
        <v>45061</v>
      </c>
      <c r="C1356" s="1" t="s">
        <v>491</v>
      </c>
      <c r="D1356" s="1" t="s">
        <v>397</v>
      </c>
      <c r="E1356">
        <v>4</v>
      </c>
      <c r="F1356" s="4">
        <v>249.07</v>
      </c>
      <c r="G1356" s="3">
        <v>0.1</v>
      </c>
      <c r="H1356" s="4">
        <v>27.91</v>
      </c>
      <c r="I1356" t="str">
        <f>VLOOKUP(orders__17[[#This Row],[Customer_ID]],customers__2[#All],3,0)</f>
        <v>West</v>
      </c>
      <c r="J1356" t="str">
        <f>VLOOKUP(orders__17[[#This Row],[Customer_ID]],customers__2[#All],4,0)</f>
        <v>Corporate</v>
      </c>
      <c r="K1356" t="str">
        <f>VLOOKUP(orders__17[[#This Row],[Product_ID]],products[#All],3,0)</f>
        <v>Office Supplies</v>
      </c>
      <c r="L1356" s="1" t="str">
        <f>VLOOKUP(orders__17[[#This Row],[Product_ID]],products[#All],4,0)</f>
        <v>Pen</v>
      </c>
      <c r="M1356" s="1" t="str">
        <f>VLOOKUP(orders__17[[#This Row],[Order_ID]],returns[#All],2,0)</f>
        <v>No</v>
      </c>
    </row>
    <row r="1357" spans="1:13" x14ac:dyDescent="0.3">
      <c r="A1357" s="1" t="s">
        <v>1663</v>
      </c>
      <c r="B1357" s="2">
        <v>45311</v>
      </c>
      <c r="C1357" s="1" t="s">
        <v>412</v>
      </c>
      <c r="D1357" s="1" t="s">
        <v>603</v>
      </c>
      <c r="E1357">
        <v>4</v>
      </c>
      <c r="F1357" s="4">
        <v>1134.54</v>
      </c>
      <c r="G1357" s="3">
        <v>0.3</v>
      </c>
      <c r="H1357" s="4">
        <v>336.96</v>
      </c>
      <c r="I1357" t="str">
        <f>VLOOKUP(orders__17[[#This Row],[Customer_ID]],customers__2[#All],3,0)</f>
        <v>North</v>
      </c>
      <c r="J1357" t="str">
        <f>VLOOKUP(orders__17[[#This Row],[Customer_ID]],customers__2[#All],4,0)</f>
        <v>Consumer</v>
      </c>
      <c r="K1357" t="str">
        <f>VLOOKUP(orders__17[[#This Row],[Product_ID]],products[#All],3,0)</f>
        <v>Technology</v>
      </c>
      <c r="L1357" s="1" t="str">
        <f>VLOOKUP(orders__17[[#This Row],[Product_ID]],products[#All],4,0)</f>
        <v>Accessories</v>
      </c>
      <c r="M1357" s="1" t="str">
        <f>VLOOKUP(orders__17[[#This Row],[Order_ID]],returns[#All],2,0)</f>
        <v>No</v>
      </c>
    </row>
    <row r="1358" spans="1:13" x14ac:dyDescent="0.3">
      <c r="A1358" s="1" t="s">
        <v>1664</v>
      </c>
      <c r="B1358" s="2">
        <v>45205</v>
      </c>
      <c r="C1358" s="1" t="s">
        <v>336</v>
      </c>
      <c r="D1358" s="1" t="s">
        <v>132</v>
      </c>
      <c r="E1358">
        <v>3</v>
      </c>
      <c r="F1358" s="4">
        <v>1447.71</v>
      </c>
      <c r="G1358" s="3">
        <v>0</v>
      </c>
      <c r="H1358" s="4">
        <v>213.32</v>
      </c>
      <c r="I1358" t="str">
        <f>VLOOKUP(orders__17[[#This Row],[Customer_ID]],customers__2[#All],3,0)</f>
        <v>South</v>
      </c>
      <c r="J1358" t="str">
        <f>VLOOKUP(orders__17[[#This Row],[Customer_ID]],customers__2[#All],4,0)</f>
        <v>Consumer</v>
      </c>
      <c r="K1358" t="str">
        <f>VLOOKUP(orders__17[[#This Row],[Product_ID]],products[#All],3,0)</f>
        <v>Furniture</v>
      </c>
      <c r="L1358" s="1" t="str">
        <f>VLOOKUP(orders__17[[#This Row],[Product_ID]],products[#All],4,0)</f>
        <v>Shelf</v>
      </c>
      <c r="M1358" s="1" t="str">
        <f>VLOOKUP(orders__17[[#This Row],[Order_ID]],returns[#All],2,0)</f>
        <v>No</v>
      </c>
    </row>
    <row r="1359" spans="1:13" x14ac:dyDescent="0.3">
      <c r="A1359" s="1" t="s">
        <v>1665</v>
      </c>
      <c r="B1359" s="2">
        <v>45237</v>
      </c>
      <c r="C1359" s="1" t="s">
        <v>290</v>
      </c>
      <c r="D1359" s="1" t="s">
        <v>40</v>
      </c>
      <c r="E1359">
        <v>2</v>
      </c>
      <c r="F1359" s="4">
        <v>417.91</v>
      </c>
      <c r="G1359" s="3">
        <v>0.2</v>
      </c>
      <c r="H1359" s="4">
        <v>97.44</v>
      </c>
      <c r="I1359" t="str">
        <f>VLOOKUP(orders__17[[#This Row],[Customer_ID]],customers__2[#All],3,0)</f>
        <v>East</v>
      </c>
      <c r="J1359" t="str">
        <f>VLOOKUP(orders__17[[#This Row],[Customer_ID]],customers__2[#All],4,0)</f>
        <v>Home Office</v>
      </c>
      <c r="K1359" t="str">
        <f>VLOOKUP(orders__17[[#This Row],[Product_ID]],products[#All],3,0)</f>
        <v>Office Supplies</v>
      </c>
      <c r="L1359" s="1" t="str">
        <f>VLOOKUP(orders__17[[#This Row],[Product_ID]],products[#All],4,0)</f>
        <v>Storage</v>
      </c>
      <c r="M1359" s="1" t="str">
        <f>VLOOKUP(orders__17[[#This Row],[Order_ID]],returns[#All],2,0)</f>
        <v>Yes</v>
      </c>
    </row>
    <row r="1360" spans="1:13" x14ac:dyDescent="0.3">
      <c r="A1360" s="1" t="s">
        <v>1666</v>
      </c>
      <c r="B1360" s="2">
        <v>45244</v>
      </c>
      <c r="C1360" s="1" t="s">
        <v>325</v>
      </c>
      <c r="D1360" s="1" t="s">
        <v>242</v>
      </c>
      <c r="E1360">
        <v>5</v>
      </c>
      <c r="F1360" s="4">
        <v>1583.2</v>
      </c>
      <c r="G1360" s="3">
        <v>0.3</v>
      </c>
      <c r="H1360" s="4">
        <v>350.17</v>
      </c>
      <c r="I1360" t="str">
        <f>VLOOKUP(orders__17[[#This Row],[Customer_ID]],customers__2[#All],3,0)</f>
        <v>North</v>
      </c>
      <c r="J1360" t="str">
        <f>VLOOKUP(orders__17[[#This Row],[Customer_ID]],customers__2[#All],4,0)</f>
        <v>Corporate</v>
      </c>
      <c r="K1360" t="str">
        <f>VLOOKUP(orders__17[[#This Row],[Product_ID]],products[#All],3,0)</f>
        <v>Technology</v>
      </c>
      <c r="L1360" s="1" t="str">
        <f>VLOOKUP(orders__17[[#This Row],[Product_ID]],products[#All],4,0)</f>
        <v>Phone</v>
      </c>
      <c r="M1360" s="1" t="str">
        <f>VLOOKUP(orders__17[[#This Row],[Order_ID]],returns[#All],2,0)</f>
        <v>No</v>
      </c>
    </row>
    <row r="1361" spans="1:13" x14ac:dyDescent="0.3">
      <c r="A1361" s="1" t="s">
        <v>1667</v>
      </c>
      <c r="B1361" s="2">
        <v>44648</v>
      </c>
      <c r="C1361" s="1" t="s">
        <v>198</v>
      </c>
      <c r="D1361" s="1" t="s">
        <v>309</v>
      </c>
      <c r="E1361">
        <v>5</v>
      </c>
      <c r="F1361" s="4">
        <v>1209.17</v>
      </c>
      <c r="G1361" s="3">
        <v>0.1</v>
      </c>
      <c r="H1361" s="4">
        <v>124.57</v>
      </c>
      <c r="I1361" t="str">
        <f>VLOOKUP(orders__17[[#This Row],[Customer_ID]],customers__2[#All],3,0)</f>
        <v>North</v>
      </c>
      <c r="J1361" t="str">
        <f>VLOOKUP(orders__17[[#This Row],[Customer_ID]],customers__2[#All],4,0)</f>
        <v>Consumer</v>
      </c>
      <c r="K1361" t="str">
        <f>VLOOKUP(orders__17[[#This Row],[Product_ID]],products[#All],3,0)</f>
        <v>Office Supplies</v>
      </c>
      <c r="L1361" s="1" t="str">
        <f>VLOOKUP(orders__17[[#This Row],[Product_ID]],products[#All],4,0)</f>
        <v>Pen</v>
      </c>
      <c r="M1361" s="1" t="str">
        <f>VLOOKUP(orders__17[[#This Row],[Order_ID]],returns[#All],2,0)</f>
        <v>No</v>
      </c>
    </row>
    <row r="1362" spans="1:13" x14ac:dyDescent="0.3">
      <c r="A1362" s="1" t="s">
        <v>1668</v>
      </c>
      <c r="B1362" s="2">
        <v>45447</v>
      </c>
      <c r="C1362" s="1" t="s">
        <v>380</v>
      </c>
      <c r="D1362" s="1" t="s">
        <v>253</v>
      </c>
      <c r="E1362">
        <v>5</v>
      </c>
      <c r="F1362" s="4">
        <v>1909.22</v>
      </c>
      <c r="G1362" s="3">
        <v>0.1</v>
      </c>
      <c r="H1362" s="4">
        <v>209.54</v>
      </c>
      <c r="I1362" t="str">
        <f>VLOOKUP(orders__17[[#This Row],[Customer_ID]],customers__2[#All],3,0)</f>
        <v>South</v>
      </c>
      <c r="J1362" t="str">
        <f>VLOOKUP(orders__17[[#This Row],[Customer_ID]],customers__2[#All],4,0)</f>
        <v>Home Office</v>
      </c>
      <c r="K1362" t="str">
        <f>VLOOKUP(orders__17[[#This Row],[Product_ID]],products[#All],3,0)</f>
        <v>Technology</v>
      </c>
      <c r="L1362" s="1" t="str">
        <f>VLOOKUP(orders__17[[#This Row],[Product_ID]],products[#All],4,0)</f>
        <v>Accessories</v>
      </c>
      <c r="M1362" s="1" t="str">
        <f>VLOOKUP(orders__17[[#This Row],[Order_ID]],returns[#All],2,0)</f>
        <v>No</v>
      </c>
    </row>
    <row r="1363" spans="1:13" x14ac:dyDescent="0.3">
      <c r="A1363" s="1" t="s">
        <v>1669</v>
      </c>
      <c r="B1363" s="2">
        <v>44695</v>
      </c>
      <c r="C1363" s="1" t="s">
        <v>260</v>
      </c>
      <c r="D1363" s="1" t="s">
        <v>364</v>
      </c>
      <c r="E1363">
        <v>3</v>
      </c>
      <c r="F1363" s="4">
        <v>180.6</v>
      </c>
      <c r="G1363" s="3">
        <v>0.3</v>
      </c>
      <c r="H1363" s="4">
        <v>21.73</v>
      </c>
      <c r="I1363" t="str">
        <f>VLOOKUP(orders__17[[#This Row],[Customer_ID]],customers__2[#All],3,0)</f>
        <v>East</v>
      </c>
      <c r="J1363" t="str">
        <f>VLOOKUP(orders__17[[#This Row],[Customer_ID]],customers__2[#All],4,0)</f>
        <v>Consumer</v>
      </c>
      <c r="K1363" t="str">
        <f>VLOOKUP(orders__17[[#This Row],[Product_ID]],products[#All],3,0)</f>
        <v>Technology</v>
      </c>
      <c r="L1363" s="1" t="str">
        <f>VLOOKUP(orders__17[[#This Row],[Product_ID]],products[#All],4,0)</f>
        <v>Accessories</v>
      </c>
      <c r="M1363" s="1" t="str">
        <f>VLOOKUP(orders__17[[#This Row],[Order_ID]],returns[#All],2,0)</f>
        <v>No</v>
      </c>
    </row>
    <row r="1364" spans="1:13" x14ac:dyDescent="0.3">
      <c r="A1364" s="1" t="s">
        <v>1670</v>
      </c>
      <c r="B1364" s="2">
        <v>45083</v>
      </c>
      <c r="C1364" s="1" t="s">
        <v>15</v>
      </c>
      <c r="D1364" s="1" t="s">
        <v>221</v>
      </c>
      <c r="E1364">
        <v>4</v>
      </c>
      <c r="F1364" s="4">
        <v>604.12</v>
      </c>
      <c r="G1364" s="3">
        <v>0</v>
      </c>
      <c r="H1364" s="4">
        <v>92.3</v>
      </c>
      <c r="I1364" t="str">
        <f>VLOOKUP(orders__17[[#This Row],[Customer_ID]],customers__2[#All],3,0)</f>
        <v>West</v>
      </c>
      <c r="J1364" t="str">
        <f>VLOOKUP(orders__17[[#This Row],[Customer_ID]],customers__2[#All],4,0)</f>
        <v>Corporate</v>
      </c>
      <c r="K1364" t="str">
        <f>VLOOKUP(orders__17[[#This Row],[Product_ID]],products[#All],3,0)</f>
        <v>Technology</v>
      </c>
      <c r="L1364" s="1" t="str">
        <f>VLOOKUP(orders__17[[#This Row],[Product_ID]],products[#All],4,0)</f>
        <v>Laptop</v>
      </c>
      <c r="M1364" s="1" t="str">
        <f>VLOOKUP(orders__17[[#This Row],[Order_ID]],returns[#All],2,0)</f>
        <v>No</v>
      </c>
    </row>
    <row r="1365" spans="1:13" x14ac:dyDescent="0.3">
      <c r="A1365" s="1" t="s">
        <v>1671</v>
      </c>
      <c r="B1365" s="2">
        <v>44758</v>
      </c>
      <c r="C1365" s="1" t="s">
        <v>466</v>
      </c>
      <c r="D1365" s="1" t="s">
        <v>323</v>
      </c>
      <c r="E1365">
        <v>3</v>
      </c>
      <c r="F1365" s="4">
        <v>1242.95</v>
      </c>
      <c r="G1365" s="3">
        <v>0</v>
      </c>
      <c r="H1365" s="4">
        <v>134.96</v>
      </c>
      <c r="I1365" t="str">
        <f>VLOOKUP(orders__17[[#This Row],[Customer_ID]],customers__2[#All],3,0)</f>
        <v>South</v>
      </c>
      <c r="J1365" t="str">
        <f>VLOOKUP(orders__17[[#This Row],[Customer_ID]],customers__2[#All],4,0)</f>
        <v>Home Office</v>
      </c>
      <c r="K1365" t="str">
        <f>VLOOKUP(orders__17[[#This Row],[Product_ID]],products[#All],3,0)</f>
        <v>Technology</v>
      </c>
      <c r="L1365" s="1" t="str">
        <f>VLOOKUP(orders__17[[#This Row],[Product_ID]],products[#All],4,0)</f>
        <v>Tablet</v>
      </c>
      <c r="M1365" s="1" t="str">
        <f>VLOOKUP(orders__17[[#This Row],[Order_ID]],returns[#All],2,0)</f>
        <v>No</v>
      </c>
    </row>
    <row r="1366" spans="1:13" x14ac:dyDescent="0.3">
      <c r="A1366" s="1" t="s">
        <v>1672</v>
      </c>
      <c r="B1366" s="2">
        <v>45129</v>
      </c>
      <c r="C1366" s="1" t="s">
        <v>184</v>
      </c>
      <c r="D1366" s="1" t="s">
        <v>278</v>
      </c>
      <c r="E1366">
        <v>5</v>
      </c>
      <c r="F1366" s="4">
        <v>663.46</v>
      </c>
      <c r="G1366" s="3">
        <v>0.2</v>
      </c>
      <c r="H1366" s="4">
        <v>36.43</v>
      </c>
      <c r="I1366" t="str">
        <f>VLOOKUP(orders__17[[#This Row],[Customer_ID]],customers__2[#All],3,0)</f>
        <v>East</v>
      </c>
      <c r="J1366" t="str">
        <f>VLOOKUP(orders__17[[#This Row],[Customer_ID]],customers__2[#All],4,0)</f>
        <v>Consumer</v>
      </c>
      <c r="K1366" t="str">
        <f>VLOOKUP(orders__17[[#This Row],[Product_ID]],products[#All],3,0)</f>
        <v>Office Supplies</v>
      </c>
      <c r="L1366" s="1" t="str">
        <f>VLOOKUP(orders__17[[#This Row],[Product_ID]],products[#All],4,0)</f>
        <v>Pen</v>
      </c>
      <c r="M1366" s="1" t="str">
        <f>VLOOKUP(orders__17[[#This Row],[Order_ID]],returns[#All],2,0)</f>
        <v>No</v>
      </c>
    </row>
    <row r="1367" spans="1:13" x14ac:dyDescent="0.3">
      <c r="A1367" s="1" t="s">
        <v>1673</v>
      </c>
      <c r="B1367" s="2">
        <v>45158</v>
      </c>
      <c r="C1367" s="1" t="s">
        <v>205</v>
      </c>
      <c r="D1367" s="1" t="s">
        <v>209</v>
      </c>
      <c r="E1367">
        <v>2</v>
      </c>
      <c r="F1367" s="4">
        <v>1457.41</v>
      </c>
      <c r="G1367" s="3">
        <v>0.1</v>
      </c>
      <c r="H1367" s="4">
        <v>393.28</v>
      </c>
      <c r="I1367" t="str">
        <f>VLOOKUP(orders__17[[#This Row],[Customer_ID]],customers__2[#All],3,0)</f>
        <v>North</v>
      </c>
      <c r="J1367" t="str">
        <f>VLOOKUP(orders__17[[#This Row],[Customer_ID]],customers__2[#All],4,0)</f>
        <v>Consumer</v>
      </c>
      <c r="K1367" t="str">
        <f>VLOOKUP(orders__17[[#This Row],[Product_ID]],products[#All],3,0)</f>
        <v>Office Supplies</v>
      </c>
      <c r="L1367" s="1" t="str">
        <f>VLOOKUP(orders__17[[#This Row],[Product_ID]],products[#All],4,0)</f>
        <v>Paper</v>
      </c>
      <c r="M1367" s="1" t="str">
        <f>VLOOKUP(orders__17[[#This Row],[Order_ID]],returns[#All],2,0)</f>
        <v>Yes</v>
      </c>
    </row>
    <row r="1368" spans="1:13" x14ac:dyDescent="0.3">
      <c r="A1368" s="1" t="s">
        <v>1674</v>
      </c>
      <c r="B1368" s="2">
        <v>44963</v>
      </c>
      <c r="C1368" s="1" t="s">
        <v>30</v>
      </c>
      <c r="D1368" s="1" t="s">
        <v>269</v>
      </c>
      <c r="E1368">
        <v>1</v>
      </c>
      <c r="F1368" s="4">
        <v>1542.11</v>
      </c>
      <c r="G1368" s="3">
        <v>0.3</v>
      </c>
      <c r="H1368" s="4">
        <v>449.37</v>
      </c>
      <c r="I1368" t="str">
        <f>VLOOKUP(orders__17[[#This Row],[Customer_ID]],customers__2[#All],3,0)</f>
        <v>South</v>
      </c>
      <c r="J1368" t="str">
        <f>VLOOKUP(orders__17[[#This Row],[Customer_ID]],customers__2[#All],4,0)</f>
        <v>Home Office</v>
      </c>
      <c r="K1368" t="str">
        <f>VLOOKUP(orders__17[[#This Row],[Product_ID]],products[#All],3,0)</f>
        <v>Office Supplies</v>
      </c>
      <c r="L1368" s="1" t="str">
        <f>VLOOKUP(orders__17[[#This Row],[Product_ID]],products[#All],4,0)</f>
        <v>Pen</v>
      </c>
      <c r="M1368" s="1" t="str">
        <f>VLOOKUP(orders__17[[#This Row],[Order_ID]],returns[#All],2,0)</f>
        <v>No</v>
      </c>
    </row>
    <row r="1369" spans="1:13" x14ac:dyDescent="0.3">
      <c r="A1369" s="1" t="s">
        <v>1675</v>
      </c>
      <c r="B1369" s="2">
        <v>44726</v>
      </c>
      <c r="C1369" s="1" t="s">
        <v>542</v>
      </c>
      <c r="D1369" s="1" t="s">
        <v>369</v>
      </c>
      <c r="E1369">
        <v>4</v>
      </c>
      <c r="F1369" s="4">
        <v>294.77999999999997</v>
      </c>
      <c r="G1369" s="3">
        <v>0</v>
      </c>
      <c r="H1369" s="4">
        <v>39.909999999999997</v>
      </c>
      <c r="I1369" t="str">
        <f>VLOOKUP(orders__17[[#This Row],[Customer_ID]],customers__2[#All],3,0)</f>
        <v>West</v>
      </c>
      <c r="J1369" t="str">
        <f>VLOOKUP(orders__17[[#This Row],[Customer_ID]],customers__2[#All],4,0)</f>
        <v>Home Office</v>
      </c>
      <c r="K1369" t="str">
        <f>VLOOKUP(orders__17[[#This Row],[Product_ID]],products[#All],3,0)</f>
        <v>Technology</v>
      </c>
      <c r="L1369" s="1" t="str">
        <f>VLOOKUP(orders__17[[#This Row],[Product_ID]],products[#All],4,0)</f>
        <v>Phone</v>
      </c>
      <c r="M1369" s="1" t="str">
        <f>VLOOKUP(orders__17[[#This Row],[Order_ID]],returns[#All],2,0)</f>
        <v>Yes</v>
      </c>
    </row>
    <row r="1370" spans="1:13" x14ac:dyDescent="0.3">
      <c r="A1370" s="1" t="s">
        <v>1676</v>
      </c>
      <c r="B1370" s="2">
        <v>44804</v>
      </c>
      <c r="C1370" s="1" t="s">
        <v>160</v>
      </c>
      <c r="D1370" s="1" t="s">
        <v>296</v>
      </c>
      <c r="E1370">
        <v>4</v>
      </c>
      <c r="F1370" s="4">
        <v>1076.32</v>
      </c>
      <c r="G1370" s="3">
        <v>0.2</v>
      </c>
      <c r="H1370" s="4">
        <v>144.9</v>
      </c>
      <c r="I1370" t="str">
        <f>VLOOKUP(orders__17[[#This Row],[Customer_ID]],customers__2[#All],3,0)</f>
        <v>East</v>
      </c>
      <c r="J1370" t="str">
        <f>VLOOKUP(orders__17[[#This Row],[Customer_ID]],customers__2[#All],4,0)</f>
        <v>Corporate</v>
      </c>
      <c r="K1370" t="str">
        <f>VLOOKUP(orders__17[[#This Row],[Product_ID]],products[#All],3,0)</f>
        <v>Technology</v>
      </c>
      <c r="L1370" s="1" t="str">
        <f>VLOOKUP(orders__17[[#This Row],[Product_ID]],products[#All],4,0)</f>
        <v>Accessories</v>
      </c>
      <c r="M1370" s="1" t="str">
        <f>VLOOKUP(orders__17[[#This Row],[Order_ID]],returns[#All],2,0)</f>
        <v>No</v>
      </c>
    </row>
    <row r="1371" spans="1:13" x14ac:dyDescent="0.3">
      <c r="A1371" s="1" t="s">
        <v>1677</v>
      </c>
      <c r="B1371" s="2">
        <v>45384</v>
      </c>
      <c r="C1371" s="1" t="s">
        <v>473</v>
      </c>
      <c r="D1371" s="1" t="s">
        <v>309</v>
      </c>
      <c r="E1371">
        <v>3</v>
      </c>
      <c r="F1371" s="4">
        <v>1066.8900000000001</v>
      </c>
      <c r="G1371" s="3">
        <v>0.1</v>
      </c>
      <c r="H1371" s="4">
        <v>55.24</v>
      </c>
      <c r="I1371" t="str">
        <f>VLOOKUP(orders__17[[#This Row],[Customer_ID]],customers__2[#All],3,0)</f>
        <v>North</v>
      </c>
      <c r="J1371" t="str">
        <f>VLOOKUP(orders__17[[#This Row],[Customer_ID]],customers__2[#All],4,0)</f>
        <v>Corporate</v>
      </c>
      <c r="K1371" t="str">
        <f>VLOOKUP(orders__17[[#This Row],[Product_ID]],products[#All],3,0)</f>
        <v>Office Supplies</v>
      </c>
      <c r="L1371" s="1" t="str">
        <f>VLOOKUP(orders__17[[#This Row],[Product_ID]],products[#All],4,0)</f>
        <v>Pen</v>
      </c>
      <c r="M1371" s="1" t="str">
        <f>VLOOKUP(orders__17[[#This Row],[Order_ID]],returns[#All],2,0)</f>
        <v>No</v>
      </c>
    </row>
    <row r="1372" spans="1:13" x14ac:dyDescent="0.3">
      <c r="A1372" s="1" t="s">
        <v>1678</v>
      </c>
      <c r="B1372" s="2">
        <v>45444</v>
      </c>
      <c r="C1372" s="1" t="s">
        <v>69</v>
      </c>
      <c r="D1372" s="1" t="s">
        <v>170</v>
      </c>
      <c r="E1372">
        <v>4</v>
      </c>
      <c r="F1372" s="4">
        <v>801.63</v>
      </c>
      <c r="G1372" s="3">
        <v>0.1</v>
      </c>
      <c r="H1372" s="4">
        <v>176.41</v>
      </c>
      <c r="I1372" t="str">
        <f>VLOOKUP(orders__17[[#This Row],[Customer_ID]],customers__2[#All],3,0)</f>
        <v>West</v>
      </c>
      <c r="J1372" t="str">
        <f>VLOOKUP(orders__17[[#This Row],[Customer_ID]],customers__2[#All],4,0)</f>
        <v>Corporate</v>
      </c>
      <c r="K1372" t="str">
        <f>VLOOKUP(orders__17[[#This Row],[Product_ID]],products[#All],3,0)</f>
        <v>Furniture</v>
      </c>
      <c r="L1372" s="1" t="str">
        <f>VLOOKUP(orders__17[[#This Row],[Product_ID]],products[#All],4,0)</f>
        <v>Shelf</v>
      </c>
      <c r="M1372" s="1" t="str">
        <f>VLOOKUP(orders__17[[#This Row],[Order_ID]],returns[#All],2,0)</f>
        <v>No</v>
      </c>
    </row>
    <row r="1373" spans="1:13" x14ac:dyDescent="0.3">
      <c r="A1373" s="1" t="s">
        <v>1679</v>
      </c>
      <c r="B1373" s="2">
        <v>45044</v>
      </c>
      <c r="C1373" s="1" t="s">
        <v>182</v>
      </c>
      <c r="D1373" s="1" t="s">
        <v>256</v>
      </c>
      <c r="E1373">
        <v>5</v>
      </c>
      <c r="F1373" s="4">
        <v>1872.56</v>
      </c>
      <c r="G1373" s="3">
        <v>0.2</v>
      </c>
      <c r="H1373" s="4">
        <v>480.05</v>
      </c>
      <c r="I1373" t="str">
        <f>VLOOKUP(orders__17[[#This Row],[Customer_ID]],customers__2[#All],3,0)</f>
        <v>South</v>
      </c>
      <c r="J1373" t="str">
        <f>VLOOKUP(orders__17[[#This Row],[Customer_ID]],customers__2[#All],4,0)</f>
        <v>Consumer</v>
      </c>
      <c r="K1373" t="str">
        <f>VLOOKUP(orders__17[[#This Row],[Product_ID]],products[#All],3,0)</f>
        <v>Office Supplies</v>
      </c>
      <c r="L1373" s="1" t="str">
        <f>VLOOKUP(orders__17[[#This Row],[Product_ID]],products[#All],4,0)</f>
        <v>Pen</v>
      </c>
      <c r="M1373" s="1" t="str">
        <f>VLOOKUP(orders__17[[#This Row],[Order_ID]],returns[#All],2,0)</f>
        <v>No</v>
      </c>
    </row>
    <row r="1374" spans="1:13" x14ac:dyDescent="0.3">
      <c r="A1374" s="1" t="s">
        <v>1680</v>
      </c>
      <c r="B1374" s="2">
        <v>44767</v>
      </c>
      <c r="C1374" s="1" t="s">
        <v>129</v>
      </c>
      <c r="D1374" s="1" t="s">
        <v>679</v>
      </c>
      <c r="E1374">
        <v>5</v>
      </c>
      <c r="F1374" s="4">
        <v>1672.26</v>
      </c>
      <c r="G1374" s="3">
        <v>0.2</v>
      </c>
      <c r="H1374" s="4">
        <v>144.9</v>
      </c>
      <c r="I1374" t="str">
        <f>VLOOKUP(orders__17[[#This Row],[Customer_ID]],customers__2[#All],3,0)</f>
        <v>South</v>
      </c>
      <c r="J1374" t="str">
        <f>VLOOKUP(orders__17[[#This Row],[Customer_ID]],customers__2[#All],4,0)</f>
        <v>Corporate</v>
      </c>
      <c r="K1374" t="str">
        <f>VLOOKUP(orders__17[[#This Row],[Product_ID]],products[#All],3,0)</f>
        <v>Office Supplies</v>
      </c>
      <c r="L1374" s="1" t="str">
        <f>VLOOKUP(orders__17[[#This Row],[Product_ID]],products[#All],4,0)</f>
        <v>Paper</v>
      </c>
      <c r="M1374" s="1" t="str">
        <f>VLOOKUP(orders__17[[#This Row],[Order_ID]],returns[#All],2,0)</f>
        <v>No</v>
      </c>
    </row>
    <row r="1375" spans="1:13" x14ac:dyDescent="0.3">
      <c r="A1375" s="1" t="s">
        <v>1681</v>
      </c>
      <c r="B1375" s="2">
        <v>45223</v>
      </c>
      <c r="C1375" s="1" t="s">
        <v>436</v>
      </c>
      <c r="D1375" s="1" t="s">
        <v>86</v>
      </c>
      <c r="E1375">
        <v>3</v>
      </c>
      <c r="F1375" s="4">
        <v>1424.7</v>
      </c>
      <c r="G1375" s="3">
        <v>0</v>
      </c>
      <c r="H1375" s="4">
        <v>128.1</v>
      </c>
      <c r="I1375" t="str">
        <f>VLOOKUP(orders__17[[#This Row],[Customer_ID]],customers__2[#All],3,0)</f>
        <v>East</v>
      </c>
      <c r="J1375" t="str">
        <f>VLOOKUP(orders__17[[#This Row],[Customer_ID]],customers__2[#All],4,0)</f>
        <v>Consumer</v>
      </c>
      <c r="K1375" t="str">
        <f>VLOOKUP(orders__17[[#This Row],[Product_ID]],products[#All],3,0)</f>
        <v>Furniture</v>
      </c>
      <c r="L1375" s="1" t="str">
        <f>VLOOKUP(orders__17[[#This Row],[Product_ID]],products[#All],4,0)</f>
        <v>Table</v>
      </c>
      <c r="M1375" s="1" t="str">
        <f>VLOOKUP(orders__17[[#This Row],[Order_ID]],returns[#All],2,0)</f>
        <v>Yes</v>
      </c>
    </row>
    <row r="1376" spans="1:13" x14ac:dyDescent="0.3">
      <c r="A1376" s="1" t="s">
        <v>1682</v>
      </c>
      <c r="B1376" s="2">
        <v>44813</v>
      </c>
      <c r="C1376" s="1" t="s">
        <v>388</v>
      </c>
      <c r="D1376" s="1" t="s">
        <v>234</v>
      </c>
      <c r="E1376">
        <v>5</v>
      </c>
      <c r="F1376" s="4">
        <v>1457.22</v>
      </c>
      <c r="G1376" s="3">
        <v>0.3</v>
      </c>
      <c r="H1376" s="4">
        <v>360.69</v>
      </c>
      <c r="I1376" t="str">
        <f>VLOOKUP(orders__17[[#This Row],[Customer_ID]],customers__2[#All],3,0)</f>
        <v>East</v>
      </c>
      <c r="J1376" t="str">
        <f>VLOOKUP(orders__17[[#This Row],[Customer_ID]],customers__2[#All],4,0)</f>
        <v>Home Office</v>
      </c>
      <c r="K1376" t="str">
        <f>VLOOKUP(orders__17[[#This Row],[Product_ID]],products[#All],3,0)</f>
        <v>Furniture</v>
      </c>
      <c r="L1376" s="1" t="str">
        <f>VLOOKUP(orders__17[[#This Row],[Product_ID]],products[#All],4,0)</f>
        <v>Shelf</v>
      </c>
      <c r="M1376" s="1" t="str">
        <f>VLOOKUP(orders__17[[#This Row],[Order_ID]],returns[#All],2,0)</f>
        <v>No</v>
      </c>
    </row>
    <row r="1377" spans="1:13" x14ac:dyDescent="0.3">
      <c r="A1377" s="1" t="s">
        <v>1683</v>
      </c>
      <c r="B1377" s="2">
        <v>44904</v>
      </c>
      <c r="C1377" s="1" t="s">
        <v>85</v>
      </c>
      <c r="D1377" s="1" t="s">
        <v>97</v>
      </c>
      <c r="E1377">
        <v>2</v>
      </c>
      <c r="F1377" s="4">
        <v>977.26</v>
      </c>
      <c r="G1377" s="3">
        <v>0.1</v>
      </c>
      <c r="H1377" s="4">
        <v>199.43</v>
      </c>
      <c r="I1377" t="str">
        <f>VLOOKUP(orders__17[[#This Row],[Customer_ID]],customers__2[#All],3,0)</f>
        <v>East</v>
      </c>
      <c r="J1377" t="str">
        <f>VLOOKUP(orders__17[[#This Row],[Customer_ID]],customers__2[#All],4,0)</f>
        <v>Corporate</v>
      </c>
      <c r="K1377" t="str">
        <f>VLOOKUP(orders__17[[#This Row],[Product_ID]],products[#All],3,0)</f>
        <v>Technology</v>
      </c>
      <c r="L1377" s="1" t="str">
        <f>VLOOKUP(orders__17[[#This Row],[Product_ID]],products[#All],4,0)</f>
        <v>Tablet</v>
      </c>
      <c r="M1377" s="1" t="str">
        <f>VLOOKUP(orders__17[[#This Row],[Order_ID]],returns[#All],2,0)</f>
        <v>Yes</v>
      </c>
    </row>
    <row r="1378" spans="1:13" x14ac:dyDescent="0.3">
      <c r="A1378" s="1" t="s">
        <v>1684</v>
      </c>
      <c r="B1378" s="2">
        <v>44948</v>
      </c>
      <c r="C1378" s="1" t="s">
        <v>169</v>
      </c>
      <c r="D1378" s="1" t="s">
        <v>455</v>
      </c>
      <c r="E1378">
        <v>3</v>
      </c>
      <c r="F1378" s="4">
        <v>1849.89</v>
      </c>
      <c r="G1378" s="3">
        <v>0.3</v>
      </c>
      <c r="H1378" s="4">
        <v>113.24</v>
      </c>
      <c r="I1378" t="str">
        <f>VLOOKUP(orders__17[[#This Row],[Customer_ID]],customers__2[#All],3,0)</f>
        <v>East</v>
      </c>
      <c r="J1378" t="str">
        <f>VLOOKUP(orders__17[[#This Row],[Customer_ID]],customers__2[#All],4,0)</f>
        <v>Home Office</v>
      </c>
      <c r="K1378" t="str">
        <f>VLOOKUP(orders__17[[#This Row],[Product_ID]],products[#All],3,0)</f>
        <v>Furniture</v>
      </c>
      <c r="L1378" s="1" t="str">
        <f>VLOOKUP(orders__17[[#This Row],[Product_ID]],products[#All],4,0)</f>
        <v>Shelf</v>
      </c>
      <c r="M1378" s="1" t="str">
        <f>VLOOKUP(orders__17[[#This Row],[Order_ID]],returns[#All],2,0)</f>
        <v>No</v>
      </c>
    </row>
    <row r="1379" spans="1:13" x14ac:dyDescent="0.3">
      <c r="A1379" s="1" t="s">
        <v>1685</v>
      </c>
      <c r="B1379" s="2">
        <v>44710</v>
      </c>
      <c r="C1379" s="1" t="s">
        <v>529</v>
      </c>
      <c r="D1379" s="1" t="s">
        <v>89</v>
      </c>
      <c r="E1379">
        <v>2</v>
      </c>
      <c r="F1379" s="4">
        <v>1419.73</v>
      </c>
      <c r="G1379" s="3">
        <v>0.1</v>
      </c>
      <c r="H1379" s="4">
        <v>291.95</v>
      </c>
      <c r="I1379" t="str">
        <f>VLOOKUP(orders__17[[#This Row],[Customer_ID]],customers__2[#All],3,0)</f>
        <v>South</v>
      </c>
      <c r="J1379" t="str">
        <f>VLOOKUP(orders__17[[#This Row],[Customer_ID]],customers__2[#All],4,0)</f>
        <v>Corporate</v>
      </c>
      <c r="K1379" t="str">
        <f>VLOOKUP(orders__17[[#This Row],[Product_ID]],products[#All],3,0)</f>
        <v>Technology</v>
      </c>
      <c r="L1379" s="1" t="str">
        <f>VLOOKUP(orders__17[[#This Row],[Product_ID]],products[#All],4,0)</f>
        <v>Phone</v>
      </c>
      <c r="M1379" s="1" t="str">
        <f>VLOOKUP(orders__17[[#This Row],[Order_ID]],returns[#All],2,0)</f>
        <v>No</v>
      </c>
    </row>
    <row r="1380" spans="1:13" x14ac:dyDescent="0.3">
      <c r="A1380" s="1" t="s">
        <v>1686</v>
      </c>
      <c r="B1380" s="2">
        <v>45207</v>
      </c>
      <c r="C1380" s="1" t="s">
        <v>605</v>
      </c>
      <c r="D1380" s="1" t="s">
        <v>364</v>
      </c>
      <c r="E1380">
        <v>1</v>
      </c>
      <c r="F1380" s="4">
        <v>1485.06</v>
      </c>
      <c r="G1380" s="3">
        <v>0.1</v>
      </c>
      <c r="H1380" s="4">
        <v>188.94</v>
      </c>
      <c r="I1380" t="str">
        <f>VLOOKUP(orders__17[[#This Row],[Customer_ID]],customers__2[#All],3,0)</f>
        <v>West</v>
      </c>
      <c r="J1380" t="str">
        <f>VLOOKUP(orders__17[[#This Row],[Customer_ID]],customers__2[#All],4,0)</f>
        <v>Corporate</v>
      </c>
      <c r="K1380" t="str">
        <f>VLOOKUP(orders__17[[#This Row],[Product_ID]],products[#All],3,0)</f>
        <v>Technology</v>
      </c>
      <c r="L1380" s="1" t="str">
        <f>VLOOKUP(orders__17[[#This Row],[Product_ID]],products[#All],4,0)</f>
        <v>Accessories</v>
      </c>
      <c r="M1380" s="1" t="str">
        <f>VLOOKUP(orders__17[[#This Row],[Order_ID]],returns[#All],2,0)</f>
        <v>No</v>
      </c>
    </row>
    <row r="1381" spans="1:13" x14ac:dyDescent="0.3">
      <c r="A1381" s="1" t="s">
        <v>1687</v>
      </c>
      <c r="B1381" s="2">
        <v>45186</v>
      </c>
      <c r="C1381" s="1" t="s">
        <v>526</v>
      </c>
      <c r="D1381" s="1" t="s">
        <v>170</v>
      </c>
      <c r="E1381">
        <v>2</v>
      </c>
      <c r="F1381" s="4">
        <v>1737.21</v>
      </c>
      <c r="G1381" s="3">
        <v>0.3</v>
      </c>
      <c r="H1381" s="4">
        <v>247</v>
      </c>
      <c r="I1381" t="str">
        <f>VLOOKUP(orders__17[[#This Row],[Customer_ID]],customers__2[#All],3,0)</f>
        <v>West</v>
      </c>
      <c r="J1381" t="str">
        <f>VLOOKUP(orders__17[[#This Row],[Customer_ID]],customers__2[#All],4,0)</f>
        <v>Corporate</v>
      </c>
      <c r="K1381" t="str">
        <f>VLOOKUP(orders__17[[#This Row],[Product_ID]],products[#All],3,0)</f>
        <v>Furniture</v>
      </c>
      <c r="L1381" s="1" t="str">
        <f>VLOOKUP(orders__17[[#This Row],[Product_ID]],products[#All],4,0)</f>
        <v>Shelf</v>
      </c>
      <c r="M1381" s="1" t="str">
        <f>VLOOKUP(orders__17[[#This Row],[Order_ID]],returns[#All],2,0)</f>
        <v>No</v>
      </c>
    </row>
    <row r="1382" spans="1:13" x14ac:dyDescent="0.3">
      <c r="A1382" s="1" t="s">
        <v>1688</v>
      </c>
      <c r="B1382" s="2">
        <v>45115</v>
      </c>
      <c r="C1382" s="1" t="s">
        <v>417</v>
      </c>
      <c r="D1382" s="1" t="s">
        <v>25</v>
      </c>
      <c r="E1382">
        <v>1</v>
      </c>
      <c r="F1382" s="4">
        <v>620.74</v>
      </c>
      <c r="G1382" s="3">
        <v>0.2</v>
      </c>
      <c r="H1382" s="4">
        <v>150.49</v>
      </c>
      <c r="I1382" t="str">
        <f>VLOOKUP(orders__17[[#This Row],[Customer_ID]],customers__2[#All],3,0)</f>
        <v>East</v>
      </c>
      <c r="J1382" t="str">
        <f>VLOOKUP(orders__17[[#This Row],[Customer_ID]],customers__2[#All],4,0)</f>
        <v>Consumer</v>
      </c>
      <c r="K1382" t="str">
        <f>VLOOKUP(orders__17[[#This Row],[Product_ID]],products[#All],3,0)</f>
        <v>Office Supplies</v>
      </c>
      <c r="L1382" s="1" t="str">
        <f>VLOOKUP(orders__17[[#This Row],[Product_ID]],products[#All],4,0)</f>
        <v>Paper</v>
      </c>
      <c r="M1382" s="1" t="str">
        <f>VLOOKUP(orders__17[[#This Row],[Order_ID]],returns[#All],2,0)</f>
        <v>Yes</v>
      </c>
    </row>
    <row r="1383" spans="1:13" x14ac:dyDescent="0.3">
      <c r="A1383" s="1" t="s">
        <v>1689</v>
      </c>
      <c r="B1383" s="2">
        <v>45303</v>
      </c>
      <c r="C1383" s="1" t="s">
        <v>344</v>
      </c>
      <c r="D1383" s="1" t="s">
        <v>78</v>
      </c>
      <c r="E1383">
        <v>1</v>
      </c>
      <c r="F1383" s="4">
        <v>1633.43</v>
      </c>
      <c r="G1383" s="3">
        <v>0</v>
      </c>
      <c r="H1383" s="4">
        <v>412.82</v>
      </c>
      <c r="I1383" t="str">
        <f>VLOOKUP(orders__17[[#This Row],[Customer_ID]],customers__2[#All],3,0)</f>
        <v>North</v>
      </c>
      <c r="J1383" t="str">
        <f>VLOOKUP(orders__17[[#This Row],[Customer_ID]],customers__2[#All],4,0)</f>
        <v>Home Office</v>
      </c>
      <c r="K1383" t="str">
        <f>VLOOKUP(orders__17[[#This Row],[Product_ID]],products[#All],3,0)</f>
        <v>Technology</v>
      </c>
      <c r="L1383" s="1" t="str">
        <f>VLOOKUP(orders__17[[#This Row],[Product_ID]],products[#All],4,0)</f>
        <v>Accessories</v>
      </c>
      <c r="M1383" s="1" t="str">
        <f>VLOOKUP(orders__17[[#This Row],[Order_ID]],returns[#All],2,0)</f>
        <v>Yes</v>
      </c>
    </row>
    <row r="1384" spans="1:13" x14ac:dyDescent="0.3">
      <c r="A1384" s="1" t="s">
        <v>1690</v>
      </c>
      <c r="B1384" s="2">
        <v>45186</v>
      </c>
      <c r="C1384" s="1" t="s">
        <v>1043</v>
      </c>
      <c r="D1384" s="1" t="s">
        <v>400</v>
      </c>
      <c r="E1384">
        <v>2</v>
      </c>
      <c r="F1384" s="4">
        <v>470.96</v>
      </c>
      <c r="G1384" s="3">
        <v>0.1</v>
      </c>
      <c r="H1384" s="4">
        <v>70.69</v>
      </c>
      <c r="I1384" t="str">
        <f>VLOOKUP(orders__17[[#This Row],[Customer_ID]],customers__2[#All],3,0)</f>
        <v>South</v>
      </c>
      <c r="J1384" t="str">
        <f>VLOOKUP(orders__17[[#This Row],[Customer_ID]],customers__2[#All],4,0)</f>
        <v>Corporate</v>
      </c>
      <c r="K1384" t="str">
        <f>VLOOKUP(orders__17[[#This Row],[Product_ID]],products[#All],3,0)</f>
        <v>Office Supplies</v>
      </c>
      <c r="L1384" s="1" t="str">
        <f>VLOOKUP(orders__17[[#This Row],[Product_ID]],products[#All],4,0)</f>
        <v>Paper</v>
      </c>
      <c r="M1384" s="1" t="str">
        <f>VLOOKUP(orders__17[[#This Row],[Order_ID]],returns[#All],2,0)</f>
        <v>No</v>
      </c>
    </row>
    <row r="1385" spans="1:13" x14ac:dyDescent="0.3">
      <c r="A1385" s="1" t="s">
        <v>1691</v>
      </c>
      <c r="B1385" s="2">
        <v>45313</v>
      </c>
      <c r="C1385" s="1" t="s">
        <v>282</v>
      </c>
      <c r="D1385" s="1" t="s">
        <v>226</v>
      </c>
      <c r="E1385">
        <v>3</v>
      </c>
      <c r="F1385" s="4">
        <v>756.15</v>
      </c>
      <c r="G1385" s="3">
        <v>0.2</v>
      </c>
      <c r="H1385" s="4">
        <v>216.85</v>
      </c>
      <c r="I1385" t="str">
        <f>VLOOKUP(orders__17[[#This Row],[Customer_ID]],customers__2[#All],3,0)</f>
        <v>South</v>
      </c>
      <c r="J1385" t="str">
        <f>VLOOKUP(orders__17[[#This Row],[Customer_ID]],customers__2[#All],4,0)</f>
        <v>Home Office</v>
      </c>
      <c r="K1385" t="str">
        <f>VLOOKUP(orders__17[[#This Row],[Product_ID]],products[#All],3,0)</f>
        <v>Technology</v>
      </c>
      <c r="L1385" s="1" t="str">
        <f>VLOOKUP(orders__17[[#This Row],[Product_ID]],products[#All],4,0)</f>
        <v>Laptop</v>
      </c>
      <c r="M1385" s="1" t="str">
        <f>VLOOKUP(orders__17[[#This Row],[Order_ID]],returns[#All],2,0)</f>
        <v>No</v>
      </c>
    </row>
    <row r="1386" spans="1:13" x14ac:dyDescent="0.3">
      <c r="A1386" s="1" t="s">
        <v>1692</v>
      </c>
      <c r="B1386" s="2">
        <v>44965</v>
      </c>
      <c r="C1386" s="1" t="s">
        <v>744</v>
      </c>
      <c r="D1386" s="1" t="s">
        <v>253</v>
      </c>
      <c r="E1386">
        <v>5</v>
      </c>
      <c r="F1386" s="4">
        <v>737.66</v>
      </c>
      <c r="G1386" s="3">
        <v>0.1</v>
      </c>
      <c r="H1386" s="4">
        <v>111.84</v>
      </c>
      <c r="I1386" t="str">
        <f>VLOOKUP(orders__17[[#This Row],[Customer_ID]],customers__2[#All],3,0)</f>
        <v>East</v>
      </c>
      <c r="J1386" t="str">
        <f>VLOOKUP(orders__17[[#This Row],[Customer_ID]],customers__2[#All],4,0)</f>
        <v>Consumer</v>
      </c>
      <c r="K1386" t="str">
        <f>VLOOKUP(orders__17[[#This Row],[Product_ID]],products[#All],3,0)</f>
        <v>Technology</v>
      </c>
      <c r="L1386" s="1" t="str">
        <f>VLOOKUP(orders__17[[#This Row],[Product_ID]],products[#All],4,0)</f>
        <v>Accessories</v>
      </c>
      <c r="M1386" s="1" t="str">
        <f>VLOOKUP(orders__17[[#This Row],[Order_ID]],returns[#All],2,0)</f>
        <v>Yes</v>
      </c>
    </row>
    <row r="1387" spans="1:13" x14ac:dyDescent="0.3">
      <c r="A1387" s="1" t="s">
        <v>1693</v>
      </c>
      <c r="B1387" s="2">
        <v>44678</v>
      </c>
      <c r="C1387" s="1" t="s">
        <v>332</v>
      </c>
      <c r="D1387" s="1" t="s">
        <v>180</v>
      </c>
      <c r="E1387">
        <v>5</v>
      </c>
      <c r="F1387" s="4">
        <v>1959.2</v>
      </c>
      <c r="G1387" s="3">
        <v>0</v>
      </c>
      <c r="H1387" s="4">
        <v>476.01</v>
      </c>
      <c r="I1387" t="str">
        <f>VLOOKUP(orders__17[[#This Row],[Customer_ID]],customers__2[#All],3,0)</f>
        <v>North</v>
      </c>
      <c r="J1387" t="str">
        <f>VLOOKUP(orders__17[[#This Row],[Customer_ID]],customers__2[#All],4,0)</f>
        <v>Home Office</v>
      </c>
      <c r="K1387" t="str">
        <f>VLOOKUP(orders__17[[#This Row],[Product_ID]],products[#All],3,0)</f>
        <v>Furniture</v>
      </c>
      <c r="L1387" s="1" t="str">
        <f>VLOOKUP(orders__17[[#This Row],[Product_ID]],products[#All],4,0)</f>
        <v>Chair</v>
      </c>
      <c r="M1387" s="1" t="str">
        <f>VLOOKUP(orders__17[[#This Row],[Order_ID]],returns[#All],2,0)</f>
        <v>No</v>
      </c>
    </row>
    <row r="1388" spans="1:13" x14ac:dyDescent="0.3">
      <c r="A1388" s="1" t="s">
        <v>1694</v>
      </c>
      <c r="B1388" s="2">
        <v>44970</v>
      </c>
      <c r="C1388" s="1" t="s">
        <v>777</v>
      </c>
      <c r="D1388" s="1" t="s">
        <v>72</v>
      </c>
      <c r="E1388">
        <v>1</v>
      </c>
      <c r="F1388" s="4">
        <v>1727.42</v>
      </c>
      <c r="G1388" s="3">
        <v>0.1</v>
      </c>
      <c r="H1388" s="4">
        <v>295.33999999999997</v>
      </c>
      <c r="I1388" t="str">
        <f>VLOOKUP(orders__17[[#This Row],[Customer_ID]],customers__2[#All],3,0)</f>
        <v>South</v>
      </c>
      <c r="J1388" t="str">
        <f>VLOOKUP(orders__17[[#This Row],[Customer_ID]],customers__2[#All],4,0)</f>
        <v>Home Office</v>
      </c>
      <c r="K1388" t="str">
        <f>VLOOKUP(orders__17[[#This Row],[Product_ID]],products[#All],3,0)</f>
        <v>Furniture</v>
      </c>
      <c r="L1388" s="1" t="str">
        <f>VLOOKUP(orders__17[[#This Row],[Product_ID]],products[#All],4,0)</f>
        <v>Chair</v>
      </c>
      <c r="M1388" s="1" t="str">
        <f>VLOOKUP(orders__17[[#This Row],[Order_ID]],returns[#All],2,0)</f>
        <v>No</v>
      </c>
    </row>
    <row r="1389" spans="1:13" x14ac:dyDescent="0.3">
      <c r="A1389" s="1" t="s">
        <v>1695</v>
      </c>
      <c r="B1389" s="2">
        <v>44882</v>
      </c>
      <c r="C1389" s="1" t="s">
        <v>610</v>
      </c>
      <c r="D1389" s="1" t="s">
        <v>188</v>
      </c>
      <c r="E1389">
        <v>1</v>
      </c>
      <c r="F1389" s="4">
        <v>1432.22</v>
      </c>
      <c r="G1389" s="3">
        <v>0</v>
      </c>
      <c r="H1389" s="4">
        <v>392.98</v>
      </c>
      <c r="I1389" t="str">
        <f>VLOOKUP(orders__17[[#This Row],[Customer_ID]],customers__2[#All],3,0)</f>
        <v>West</v>
      </c>
      <c r="J1389" t="str">
        <f>VLOOKUP(orders__17[[#This Row],[Customer_ID]],customers__2[#All],4,0)</f>
        <v>Home Office</v>
      </c>
      <c r="K1389" t="str">
        <f>VLOOKUP(orders__17[[#This Row],[Product_ID]],products[#All],3,0)</f>
        <v>Technology</v>
      </c>
      <c r="L1389" s="1" t="str">
        <f>VLOOKUP(orders__17[[#This Row],[Product_ID]],products[#All],4,0)</f>
        <v>Laptop</v>
      </c>
      <c r="M1389" s="1" t="str">
        <f>VLOOKUP(orders__17[[#This Row],[Order_ID]],returns[#All],2,0)</f>
        <v>Yes</v>
      </c>
    </row>
    <row r="1390" spans="1:13" x14ac:dyDescent="0.3">
      <c r="A1390" s="1" t="s">
        <v>1696</v>
      </c>
      <c r="B1390" s="2">
        <v>44973</v>
      </c>
      <c r="C1390" s="1" t="s">
        <v>420</v>
      </c>
      <c r="D1390" s="1" t="s">
        <v>19</v>
      </c>
      <c r="E1390">
        <v>3</v>
      </c>
      <c r="F1390" s="4">
        <v>1481.41</v>
      </c>
      <c r="G1390" s="3">
        <v>0</v>
      </c>
      <c r="H1390" s="4">
        <v>410.26</v>
      </c>
      <c r="I1390" t="str">
        <f>VLOOKUP(orders__17[[#This Row],[Customer_ID]],customers__2[#All],3,0)</f>
        <v>West</v>
      </c>
      <c r="J1390" t="str">
        <f>VLOOKUP(orders__17[[#This Row],[Customer_ID]],customers__2[#All],4,0)</f>
        <v>Home Office</v>
      </c>
      <c r="K1390" t="str">
        <f>VLOOKUP(orders__17[[#This Row],[Product_ID]],products[#All],3,0)</f>
        <v>Office Supplies</v>
      </c>
      <c r="L1390" s="1" t="str">
        <f>VLOOKUP(orders__17[[#This Row],[Product_ID]],products[#All],4,0)</f>
        <v>Pen</v>
      </c>
      <c r="M1390" s="1" t="str">
        <f>VLOOKUP(orders__17[[#This Row],[Order_ID]],returns[#All],2,0)</f>
        <v>No</v>
      </c>
    </row>
    <row r="1391" spans="1:13" x14ac:dyDescent="0.3">
      <c r="A1391" s="1" t="s">
        <v>1697</v>
      </c>
      <c r="B1391" s="2">
        <v>44876</v>
      </c>
      <c r="C1391" s="1" t="s">
        <v>167</v>
      </c>
      <c r="D1391" s="1" t="s">
        <v>314</v>
      </c>
      <c r="E1391">
        <v>4</v>
      </c>
      <c r="F1391" s="4">
        <v>1167.94</v>
      </c>
      <c r="G1391" s="3">
        <v>0.1</v>
      </c>
      <c r="H1391" s="4">
        <v>83.92</v>
      </c>
      <c r="I1391" t="str">
        <f>VLOOKUP(orders__17[[#This Row],[Customer_ID]],customers__2[#All],3,0)</f>
        <v>East</v>
      </c>
      <c r="J1391" t="str">
        <f>VLOOKUP(orders__17[[#This Row],[Customer_ID]],customers__2[#All],4,0)</f>
        <v>Corporate</v>
      </c>
      <c r="K1391" t="str">
        <f>VLOOKUP(orders__17[[#This Row],[Product_ID]],products[#All],3,0)</f>
        <v>Office Supplies</v>
      </c>
      <c r="L1391" s="1" t="str">
        <f>VLOOKUP(orders__17[[#This Row],[Product_ID]],products[#All],4,0)</f>
        <v>Paper</v>
      </c>
      <c r="M1391" s="1" t="str">
        <f>VLOOKUP(orders__17[[#This Row],[Order_ID]],returns[#All],2,0)</f>
        <v>Yes</v>
      </c>
    </row>
    <row r="1392" spans="1:13" x14ac:dyDescent="0.3">
      <c r="A1392" s="1" t="s">
        <v>1698</v>
      </c>
      <c r="B1392" s="2">
        <v>44763</v>
      </c>
      <c r="C1392" s="1" t="s">
        <v>203</v>
      </c>
      <c r="D1392" s="1" t="s">
        <v>249</v>
      </c>
      <c r="E1392">
        <v>2</v>
      </c>
      <c r="F1392" s="4">
        <v>1899.47</v>
      </c>
      <c r="G1392" s="3">
        <v>0.1</v>
      </c>
      <c r="H1392" s="4">
        <v>539.67999999999995</v>
      </c>
      <c r="I1392" t="str">
        <f>VLOOKUP(orders__17[[#This Row],[Customer_ID]],customers__2[#All],3,0)</f>
        <v>West</v>
      </c>
      <c r="J1392" t="str">
        <f>VLOOKUP(orders__17[[#This Row],[Customer_ID]],customers__2[#All],4,0)</f>
        <v>Corporate</v>
      </c>
      <c r="K1392" t="str">
        <f>VLOOKUP(orders__17[[#This Row],[Product_ID]],products[#All],3,0)</f>
        <v>Office Supplies</v>
      </c>
      <c r="L1392" s="1" t="str">
        <f>VLOOKUP(orders__17[[#This Row],[Product_ID]],products[#All],4,0)</f>
        <v>Paper</v>
      </c>
      <c r="M1392" s="1" t="str">
        <f>VLOOKUP(orders__17[[#This Row],[Order_ID]],returns[#All],2,0)</f>
        <v>No</v>
      </c>
    </row>
    <row r="1393" spans="1:13" x14ac:dyDescent="0.3">
      <c r="A1393" s="1" t="s">
        <v>1699</v>
      </c>
      <c r="B1393" s="2">
        <v>45311</v>
      </c>
      <c r="C1393" s="1" t="s">
        <v>1093</v>
      </c>
      <c r="D1393" s="1" t="s">
        <v>188</v>
      </c>
      <c r="E1393">
        <v>1</v>
      </c>
      <c r="F1393" s="4">
        <v>1042.8900000000001</v>
      </c>
      <c r="G1393" s="3">
        <v>0</v>
      </c>
      <c r="H1393" s="4">
        <v>267.38</v>
      </c>
      <c r="I1393" t="str">
        <f>VLOOKUP(orders__17[[#This Row],[Customer_ID]],customers__2[#All],3,0)</f>
        <v>West</v>
      </c>
      <c r="J1393" t="str">
        <f>VLOOKUP(orders__17[[#This Row],[Customer_ID]],customers__2[#All],4,0)</f>
        <v>Home Office</v>
      </c>
      <c r="K1393" t="str">
        <f>VLOOKUP(orders__17[[#This Row],[Product_ID]],products[#All],3,0)</f>
        <v>Technology</v>
      </c>
      <c r="L1393" s="1" t="str">
        <f>VLOOKUP(orders__17[[#This Row],[Product_ID]],products[#All],4,0)</f>
        <v>Laptop</v>
      </c>
      <c r="M1393" s="1" t="str">
        <f>VLOOKUP(orders__17[[#This Row],[Order_ID]],returns[#All],2,0)</f>
        <v>No</v>
      </c>
    </row>
    <row r="1394" spans="1:13" x14ac:dyDescent="0.3">
      <c r="A1394" s="1" t="s">
        <v>1700</v>
      </c>
      <c r="B1394" s="2">
        <v>45066</v>
      </c>
      <c r="C1394" s="1" t="s">
        <v>744</v>
      </c>
      <c r="D1394" s="1" t="s">
        <v>40</v>
      </c>
      <c r="E1394">
        <v>5</v>
      </c>
      <c r="F1394" s="4">
        <v>822.98</v>
      </c>
      <c r="G1394" s="3">
        <v>0.2</v>
      </c>
      <c r="H1394" s="4">
        <v>203.96</v>
      </c>
      <c r="I1394" t="str">
        <f>VLOOKUP(orders__17[[#This Row],[Customer_ID]],customers__2[#All],3,0)</f>
        <v>East</v>
      </c>
      <c r="J1394" t="str">
        <f>VLOOKUP(orders__17[[#This Row],[Customer_ID]],customers__2[#All],4,0)</f>
        <v>Consumer</v>
      </c>
      <c r="K1394" t="str">
        <f>VLOOKUP(orders__17[[#This Row],[Product_ID]],products[#All],3,0)</f>
        <v>Office Supplies</v>
      </c>
      <c r="L1394" s="1" t="str">
        <f>VLOOKUP(orders__17[[#This Row],[Product_ID]],products[#All],4,0)</f>
        <v>Storage</v>
      </c>
      <c r="M1394" s="1" t="str">
        <f>VLOOKUP(orders__17[[#This Row],[Order_ID]],returns[#All],2,0)</f>
        <v>No</v>
      </c>
    </row>
    <row r="1395" spans="1:13" x14ac:dyDescent="0.3">
      <c r="A1395" s="1" t="s">
        <v>1701</v>
      </c>
      <c r="B1395" s="2">
        <v>45050</v>
      </c>
      <c r="C1395" s="1" t="s">
        <v>165</v>
      </c>
      <c r="D1395" s="1" t="s">
        <v>122</v>
      </c>
      <c r="E1395">
        <v>3</v>
      </c>
      <c r="F1395" s="4">
        <v>409.77</v>
      </c>
      <c r="G1395" s="3">
        <v>0.3</v>
      </c>
      <c r="H1395" s="4">
        <v>41.07</v>
      </c>
      <c r="I1395" t="str">
        <f>VLOOKUP(orders__17[[#This Row],[Customer_ID]],customers__2[#All],3,0)</f>
        <v>West</v>
      </c>
      <c r="J1395" t="str">
        <f>VLOOKUP(orders__17[[#This Row],[Customer_ID]],customers__2[#All],4,0)</f>
        <v>Corporate</v>
      </c>
      <c r="K1395" t="str">
        <f>VLOOKUP(orders__17[[#This Row],[Product_ID]],products[#All],3,0)</f>
        <v>Office Supplies</v>
      </c>
      <c r="L1395" s="1" t="str">
        <f>VLOOKUP(orders__17[[#This Row],[Product_ID]],products[#All],4,0)</f>
        <v>Storage</v>
      </c>
      <c r="M1395" s="1" t="str">
        <f>VLOOKUP(orders__17[[#This Row],[Order_ID]],returns[#All],2,0)</f>
        <v>No</v>
      </c>
    </row>
    <row r="1396" spans="1:13" x14ac:dyDescent="0.3">
      <c r="A1396" s="1" t="s">
        <v>1702</v>
      </c>
      <c r="B1396" s="2">
        <v>45108</v>
      </c>
      <c r="C1396" s="1" t="s">
        <v>69</v>
      </c>
      <c r="D1396" s="1" t="s">
        <v>669</v>
      </c>
      <c r="E1396">
        <v>2</v>
      </c>
      <c r="F1396" s="4">
        <v>1593.79</v>
      </c>
      <c r="G1396" s="3">
        <v>0</v>
      </c>
      <c r="H1396" s="4">
        <v>400.49</v>
      </c>
      <c r="I1396" t="str">
        <f>VLOOKUP(orders__17[[#This Row],[Customer_ID]],customers__2[#All],3,0)</f>
        <v>West</v>
      </c>
      <c r="J1396" t="str">
        <f>VLOOKUP(orders__17[[#This Row],[Customer_ID]],customers__2[#All],4,0)</f>
        <v>Corporate</v>
      </c>
      <c r="K1396" t="str">
        <f>VLOOKUP(orders__17[[#This Row],[Product_ID]],products[#All],3,0)</f>
        <v>Office Supplies</v>
      </c>
      <c r="L1396" s="1" t="str">
        <f>VLOOKUP(orders__17[[#This Row],[Product_ID]],products[#All],4,0)</f>
        <v>Pen</v>
      </c>
      <c r="M1396" s="1" t="str">
        <f>VLOOKUP(orders__17[[#This Row],[Order_ID]],returns[#All],2,0)</f>
        <v>Yes</v>
      </c>
    </row>
    <row r="1397" spans="1:13" x14ac:dyDescent="0.3">
      <c r="A1397" s="1" t="s">
        <v>1703</v>
      </c>
      <c r="B1397" s="2">
        <v>45188</v>
      </c>
      <c r="C1397" s="1" t="s">
        <v>99</v>
      </c>
      <c r="D1397" s="1" t="s">
        <v>502</v>
      </c>
      <c r="E1397">
        <v>3</v>
      </c>
      <c r="F1397" s="4">
        <v>1495.44</v>
      </c>
      <c r="G1397" s="3">
        <v>0.1</v>
      </c>
      <c r="H1397" s="4">
        <v>392.6</v>
      </c>
      <c r="I1397" t="str">
        <f>VLOOKUP(orders__17[[#This Row],[Customer_ID]],customers__2[#All],3,0)</f>
        <v>East</v>
      </c>
      <c r="J1397" t="str">
        <f>VLOOKUP(orders__17[[#This Row],[Customer_ID]],customers__2[#All],4,0)</f>
        <v>Corporate</v>
      </c>
      <c r="K1397" t="str">
        <f>VLOOKUP(orders__17[[#This Row],[Product_ID]],products[#All],3,0)</f>
        <v>Furniture</v>
      </c>
      <c r="L1397" s="1" t="str">
        <f>VLOOKUP(orders__17[[#This Row],[Product_ID]],products[#All],4,0)</f>
        <v>Shelf</v>
      </c>
      <c r="M1397" s="1" t="str">
        <f>VLOOKUP(orders__17[[#This Row],[Order_ID]],returns[#All],2,0)</f>
        <v>No</v>
      </c>
    </row>
    <row r="1398" spans="1:13" x14ac:dyDescent="0.3">
      <c r="A1398" s="1" t="s">
        <v>1704</v>
      </c>
      <c r="B1398" s="2">
        <v>44656</v>
      </c>
      <c r="C1398" s="1" t="s">
        <v>9</v>
      </c>
      <c r="D1398" s="1" t="s">
        <v>253</v>
      </c>
      <c r="E1398">
        <v>2</v>
      </c>
      <c r="F1398" s="4">
        <v>830.27</v>
      </c>
      <c r="G1398" s="3">
        <v>0.1</v>
      </c>
      <c r="H1398" s="4">
        <v>101.53</v>
      </c>
      <c r="I1398" t="str">
        <f>VLOOKUP(orders__17[[#This Row],[Customer_ID]],customers__2[#All],3,0)</f>
        <v>East</v>
      </c>
      <c r="J1398" t="str">
        <f>VLOOKUP(orders__17[[#This Row],[Customer_ID]],customers__2[#All],4,0)</f>
        <v>Consumer</v>
      </c>
      <c r="K1398" t="str">
        <f>VLOOKUP(orders__17[[#This Row],[Product_ID]],products[#All],3,0)</f>
        <v>Technology</v>
      </c>
      <c r="L1398" s="1" t="str">
        <f>VLOOKUP(orders__17[[#This Row],[Product_ID]],products[#All],4,0)</f>
        <v>Accessories</v>
      </c>
      <c r="M1398" s="1" t="str">
        <f>VLOOKUP(orders__17[[#This Row],[Order_ID]],returns[#All],2,0)</f>
        <v>No</v>
      </c>
    </row>
    <row r="1399" spans="1:13" x14ac:dyDescent="0.3">
      <c r="A1399" s="1" t="s">
        <v>1705</v>
      </c>
      <c r="B1399" s="2">
        <v>45129</v>
      </c>
      <c r="C1399" s="1" t="s">
        <v>246</v>
      </c>
      <c r="D1399" s="1" t="s">
        <v>309</v>
      </c>
      <c r="E1399">
        <v>2</v>
      </c>
      <c r="F1399" s="4">
        <v>147.87</v>
      </c>
      <c r="G1399" s="3">
        <v>0.2</v>
      </c>
      <c r="H1399" s="4">
        <v>42.6</v>
      </c>
      <c r="I1399" t="str">
        <f>VLOOKUP(orders__17[[#This Row],[Customer_ID]],customers__2[#All],3,0)</f>
        <v>West</v>
      </c>
      <c r="J1399" t="str">
        <f>VLOOKUP(orders__17[[#This Row],[Customer_ID]],customers__2[#All],4,0)</f>
        <v>Home Office</v>
      </c>
      <c r="K1399" t="str">
        <f>VLOOKUP(orders__17[[#This Row],[Product_ID]],products[#All],3,0)</f>
        <v>Office Supplies</v>
      </c>
      <c r="L1399" s="1" t="str">
        <f>VLOOKUP(orders__17[[#This Row],[Product_ID]],products[#All],4,0)</f>
        <v>Pen</v>
      </c>
      <c r="M1399" s="1" t="str">
        <f>VLOOKUP(orders__17[[#This Row],[Order_ID]],returns[#All],2,0)</f>
        <v>Yes</v>
      </c>
    </row>
    <row r="1400" spans="1:13" x14ac:dyDescent="0.3">
      <c r="A1400" s="1" t="s">
        <v>1706</v>
      </c>
      <c r="B1400" s="2">
        <v>44576</v>
      </c>
      <c r="C1400" s="1" t="s">
        <v>334</v>
      </c>
      <c r="D1400" s="1" t="s">
        <v>215</v>
      </c>
      <c r="E1400">
        <v>1</v>
      </c>
      <c r="F1400" s="4">
        <v>1694.09</v>
      </c>
      <c r="G1400" s="3">
        <v>0.3</v>
      </c>
      <c r="H1400" s="4">
        <v>105.82</v>
      </c>
      <c r="I1400" t="str">
        <f>VLOOKUP(orders__17[[#This Row],[Customer_ID]],customers__2[#All],3,0)</f>
        <v>East</v>
      </c>
      <c r="J1400" t="str">
        <f>VLOOKUP(orders__17[[#This Row],[Customer_ID]],customers__2[#All],4,0)</f>
        <v>Consumer</v>
      </c>
      <c r="K1400" t="str">
        <f>VLOOKUP(orders__17[[#This Row],[Product_ID]],products[#All],3,0)</f>
        <v>Furniture</v>
      </c>
      <c r="L1400" s="1" t="str">
        <f>VLOOKUP(orders__17[[#This Row],[Product_ID]],products[#All],4,0)</f>
        <v>Table</v>
      </c>
      <c r="M1400" s="1" t="str">
        <f>VLOOKUP(orders__17[[#This Row],[Order_ID]],returns[#All],2,0)</f>
        <v>No</v>
      </c>
    </row>
    <row r="1401" spans="1:13" x14ac:dyDescent="0.3">
      <c r="A1401" s="1" t="s">
        <v>1707</v>
      </c>
      <c r="B1401" s="2">
        <v>45228</v>
      </c>
      <c r="C1401" s="1" t="s">
        <v>182</v>
      </c>
      <c r="D1401" s="1" t="s">
        <v>13</v>
      </c>
      <c r="E1401">
        <v>3</v>
      </c>
      <c r="F1401" s="4">
        <v>121.69</v>
      </c>
      <c r="G1401" s="3">
        <v>0</v>
      </c>
      <c r="H1401" s="4">
        <v>10.65</v>
      </c>
      <c r="I1401" t="str">
        <f>VLOOKUP(orders__17[[#This Row],[Customer_ID]],customers__2[#All],3,0)</f>
        <v>South</v>
      </c>
      <c r="J1401" t="str">
        <f>VLOOKUP(orders__17[[#This Row],[Customer_ID]],customers__2[#All],4,0)</f>
        <v>Consumer</v>
      </c>
      <c r="K1401" t="str">
        <f>VLOOKUP(orders__17[[#This Row],[Product_ID]],products[#All],3,0)</f>
        <v>Furniture</v>
      </c>
      <c r="L1401" s="1" t="str">
        <f>VLOOKUP(orders__17[[#This Row],[Product_ID]],products[#All],4,0)</f>
        <v>Desk</v>
      </c>
      <c r="M1401" s="1" t="str">
        <f>VLOOKUP(orders__17[[#This Row],[Order_ID]],returns[#All],2,0)</f>
        <v>No</v>
      </c>
    </row>
    <row r="1402" spans="1:13" x14ac:dyDescent="0.3">
      <c r="A1402" s="1" t="s">
        <v>1708</v>
      </c>
      <c r="B1402" s="2">
        <v>44875</v>
      </c>
      <c r="C1402" s="1" t="s">
        <v>425</v>
      </c>
      <c r="D1402" s="1" t="s">
        <v>201</v>
      </c>
      <c r="E1402">
        <v>3</v>
      </c>
      <c r="F1402" s="4">
        <v>1437.03</v>
      </c>
      <c r="G1402" s="3">
        <v>0</v>
      </c>
      <c r="H1402" s="4">
        <v>264.98</v>
      </c>
      <c r="I1402" t="str">
        <f>VLOOKUP(orders__17[[#This Row],[Customer_ID]],customers__2[#All],3,0)</f>
        <v>East</v>
      </c>
      <c r="J1402" t="str">
        <f>VLOOKUP(orders__17[[#This Row],[Customer_ID]],customers__2[#All],4,0)</f>
        <v>Home Office</v>
      </c>
      <c r="K1402" t="str">
        <f>VLOOKUP(orders__17[[#This Row],[Product_ID]],products[#All],3,0)</f>
        <v>Office Supplies</v>
      </c>
      <c r="L1402" s="1" t="str">
        <f>VLOOKUP(orders__17[[#This Row],[Product_ID]],products[#All],4,0)</f>
        <v>Paper</v>
      </c>
      <c r="M1402" s="1" t="str">
        <f>VLOOKUP(orders__17[[#This Row],[Order_ID]],returns[#All],2,0)</f>
        <v>No</v>
      </c>
    </row>
    <row r="1403" spans="1:13" x14ac:dyDescent="0.3">
      <c r="A1403" s="1" t="s">
        <v>1709</v>
      </c>
      <c r="B1403" s="2">
        <v>45351</v>
      </c>
      <c r="C1403" s="1" t="s">
        <v>1043</v>
      </c>
      <c r="D1403" s="1" t="s">
        <v>13</v>
      </c>
      <c r="E1403">
        <v>5</v>
      </c>
      <c r="F1403" s="4">
        <v>1943.49</v>
      </c>
      <c r="G1403" s="3">
        <v>0.3</v>
      </c>
      <c r="H1403" s="4">
        <v>376.94</v>
      </c>
      <c r="I1403" t="str">
        <f>VLOOKUP(orders__17[[#This Row],[Customer_ID]],customers__2[#All],3,0)</f>
        <v>South</v>
      </c>
      <c r="J1403" t="str">
        <f>VLOOKUP(orders__17[[#This Row],[Customer_ID]],customers__2[#All],4,0)</f>
        <v>Corporate</v>
      </c>
      <c r="K1403" t="str">
        <f>VLOOKUP(orders__17[[#This Row],[Product_ID]],products[#All],3,0)</f>
        <v>Furniture</v>
      </c>
      <c r="L1403" s="1" t="str">
        <f>VLOOKUP(orders__17[[#This Row],[Product_ID]],products[#All],4,0)</f>
        <v>Desk</v>
      </c>
      <c r="M1403" s="1" t="str">
        <f>VLOOKUP(orders__17[[#This Row],[Order_ID]],returns[#All],2,0)</f>
        <v>No</v>
      </c>
    </row>
    <row r="1404" spans="1:13" x14ac:dyDescent="0.3">
      <c r="A1404" s="1" t="s">
        <v>1710</v>
      </c>
      <c r="B1404" s="2">
        <v>44585</v>
      </c>
      <c r="C1404" s="1" t="s">
        <v>94</v>
      </c>
      <c r="D1404" s="1" t="s">
        <v>54</v>
      </c>
      <c r="E1404">
        <v>5</v>
      </c>
      <c r="F1404" s="4">
        <v>931.56</v>
      </c>
      <c r="G1404" s="3">
        <v>0</v>
      </c>
      <c r="H1404" s="4">
        <v>196.83</v>
      </c>
      <c r="I1404" t="str">
        <f>VLOOKUP(orders__17[[#This Row],[Customer_ID]],customers__2[#All],3,0)</f>
        <v>North</v>
      </c>
      <c r="J1404" t="str">
        <f>VLOOKUP(orders__17[[#This Row],[Customer_ID]],customers__2[#All],4,0)</f>
        <v>Home Office</v>
      </c>
      <c r="K1404" t="str">
        <f>VLOOKUP(orders__17[[#This Row],[Product_ID]],products[#All],3,0)</f>
        <v>Office Supplies</v>
      </c>
      <c r="L1404" s="1" t="str">
        <f>VLOOKUP(orders__17[[#This Row],[Product_ID]],products[#All],4,0)</f>
        <v>Binder</v>
      </c>
      <c r="M1404" s="1" t="str">
        <f>VLOOKUP(orders__17[[#This Row],[Order_ID]],returns[#All],2,0)</f>
        <v>No</v>
      </c>
    </row>
    <row r="1405" spans="1:13" x14ac:dyDescent="0.3">
      <c r="A1405" s="1" t="s">
        <v>1711</v>
      </c>
      <c r="B1405" s="2">
        <v>45344</v>
      </c>
      <c r="C1405" s="1" t="s">
        <v>902</v>
      </c>
      <c r="D1405" s="1" t="s">
        <v>48</v>
      </c>
      <c r="E1405">
        <v>1</v>
      </c>
      <c r="F1405" s="4">
        <v>546.45000000000005</v>
      </c>
      <c r="G1405" s="3">
        <v>0.3</v>
      </c>
      <c r="H1405" s="4">
        <v>29.64</v>
      </c>
      <c r="I1405" t="str">
        <f>VLOOKUP(orders__17[[#This Row],[Customer_ID]],customers__2[#All],3,0)</f>
        <v>West</v>
      </c>
      <c r="J1405" t="str">
        <f>VLOOKUP(orders__17[[#This Row],[Customer_ID]],customers__2[#All],4,0)</f>
        <v>Home Office</v>
      </c>
      <c r="K1405" t="str">
        <f>VLOOKUP(orders__17[[#This Row],[Product_ID]],products[#All],3,0)</f>
        <v>Office Supplies</v>
      </c>
      <c r="L1405" s="1" t="str">
        <f>VLOOKUP(orders__17[[#This Row],[Product_ID]],products[#All],4,0)</f>
        <v>Pen</v>
      </c>
      <c r="M1405" s="1" t="str">
        <f>VLOOKUP(orders__17[[#This Row],[Order_ID]],returns[#All],2,0)</f>
        <v>No</v>
      </c>
    </row>
    <row r="1406" spans="1:13" x14ac:dyDescent="0.3">
      <c r="A1406" s="1" t="s">
        <v>1712</v>
      </c>
      <c r="B1406" s="2">
        <v>45104</v>
      </c>
      <c r="C1406" s="1" t="s">
        <v>63</v>
      </c>
      <c r="D1406" s="1" t="s">
        <v>397</v>
      </c>
      <c r="E1406">
        <v>1</v>
      </c>
      <c r="F1406" s="4">
        <v>1439.25</v>
      </c>
      <c r="G1406" s="3">
        <v>0.1</v>
      </c>
      <c r="H1406" s="4">
        <v>417.51</v>
      </c>
      <c r="I1406" t="str">
        <f>VLOOKUP(orders__17[[#This Row],[Customer_ID]],customers__2[#All],3,0)</f>
        <v>East</v>
      </c>
      <c r="J1406" t="str">
        <f>VLOOKUP(orders__17[[#This Row],[Customer_ID]],customers__2[#All],4,0)</f>
        <v>Home Office</v>
      </c>
      <c r="K1406" t="str">
        <f>VLOOKUP(orders__17[[#This Row],[Product_ID]],products[#All],3,0)</f>
        <v>Office Supplies</v>
      </c>
      <c r="L1406" s="1" t="str">
        <f>VLOOKUP(orders__17[[#This Row],[Product_ID]],products[#All],4,0)</f>
        <v>Pen</v>
      </c>
      <c r="M1406" s="1" t="str">
        <f>VLOOKUP(orders__17[[#This Row],[Order_ID]],returns[#All],2,0)</f>
        <v>No</v>
      </c>
    </row>
    <row r="1407" spans="1:13" x14ac:dyDescent="0.3">
      <c r="A1407" s="1" t="s">
        <v>1713</v>
      </c>
      <c r="B1407" s="2">
        <v>45334</v>
      </c>
      <c r="C1407" s="1" t="s">
        <v>350</v>
      </c>
      <c r="D1407" s="1" t="s">
        <v>43</v>
      </c>
      <c r="E1407">
        <v>4</v>
      </c>
      <c r="F1407" s="4">
        <v>1652.54</v>
      </c>
      <c r="G1407" s="3">
        <v>0.3</v>
      </c>
      <c r="H1407" s="4">
        <v>101.05</v>
      </c>
      <c r="I1407" t="str">
        <f>VLOOKUP(orders__17[[#This Row],[Customer_ID]],customers__2[#All],3,0)</f>
        <v>West</v>
      </c>
      <c r="J1407" t="str">
        <f>VLOOKUP(orders__17[[#This Row],[Customer_ID]],customers__2[#All],4,0)</f>
        <v>Corporate</v>
      </c>
      <c r="K1407" t="str">
        <f>VLOOKUP(orders__17[[#This Row],[Product_ID]],products[#All],3,0)</f>
        <v>Technology</v>
      </c>
      <c r="L1407" s="1" t="str">
        <f>VLOOKUP(orders__17[[#This Row],[Product_ID]],products[#All],4,0)</f>
        <v>Tablet</v>
      </c>
      <c r="M1407" s="1" t="str">
        <f>VLOOKUP(orders__17[[#This Row],[Order_ID]],returns[#All],2,0)</f>
        <v>No</v>
      </c>
    </row>
    <row r="1408" spans="1:13" x14ac:dyDescent="0.3">
      <c r="A1408" s="1" t="s">
        <v>1714</v>
      </c>
      <c r="B1408" s="2">
        <v>45373</v>
      </c>
      <c r="C1408" s="1" t="s">
        <v>723</v>
      </c>
      <c r="D1408" s="1" t="s">
        <v>34</v>
      </c>
      <c r="E1408">
        <v>5</v>
      </c>
      <c r="F1408" s="4">
        <v>1138.22</v>
      </c>
      <c r="G1408" s="3">
        <v>0</v>
      </c>
      <c r="H1408" s="4">
        <v>97.62</v>
      </c>
      <c r="I1408" t="str">
        <f>VLOOKUP(orders__17[[#This Row],[Customer_ID]],customers__2[#All],3,0)</f>
        <v>North</v>
      </c>
      <c r="J1408" t="str">
        <f>VLOOKUP(orders__17[[#This Row],[Customer_ID]],customers__2[#All],4,0)</f>
        <v>Home Office</v>
      </c>
      <c r="K1408" t="str">
        <f>VLOOKUP(orders__17[[#This Row],[Product_ID]],products[#All],3,0)</f>
        <v>Furniture</v>
      </c>
      <c r="L1408" s="1" t="str">
        <f>VLOOKUP(orders__17[[#This Row],[Product_ID]],products[#All],4,0)</f>
        <v>Table</v>
      </c>
      <c r="M1408" s="1" t="str">
        <f>VLOOKUP(orders__17[[#This Row],[Order_ID]],returns[#All],2,0)</f>
        <v>No</v>
      </c>
    </row>
    <row r="1409" spans="1:13" x14ac:dyDescent="0.3">
      <c r="A1409" s="1" t="s">
        <v>1715</v>
      </c>
      <c r="B1409" s="2">
        <v>44885</v>
      </c>
      <c r="C1409" s="1" t="s">
        <v>192</v>
      </c>
      <c r="D1409" s="1" t="s">
        <v>253</v>
      </c>
      <c r="E1409">
        <v>2</v>
      </c>
      <c r="F1409" s="4">
        <v>1937.37</v>
      </c>
      <c r="G1409" s="3">
        <v>0.3</v>
      </c>
      <c r="H1409" s="4">
        <v>103.66</v>
      </c>
      <c r="I1409" t="str">
        <f>VLOOKUP(orders__17[[#This Row],[Customer_ID]],customers__2[#All],3,0)</f>
        <v>South</v>
      </c>
      <c r="J1409" t="str">
        <f>VLOOKUP(orders__17[[#This Row],[Customer_ID]],customers__2[#All],4,0)</f>
        <v>Corporate</v>
      </c>
      <c r="K1409" t="str">
        <f>VLOOKUP(orders__17[[#This Row],[Product_ID]],products[#All],3,0)</f>
        <v>Technology</v>
      </c>
      <c r="L1409" s="1" t="str">
        <f>VLOOKUP(orders__17[[#This Row],[Product_ID]],products[#All],4,0)</f>
        <v>Accessories</v>
      </c>
      <c r="M1409" s="1" t="str">
        <f>VLOOKUP(orders__17[[#This Row],[Order_ID]],returns[#All],2,0)</f>
        <v>No</v>
      </c>
    </row>
    <row r="1410" spans="1:13" x14ac:dyDescent="0.3">
      <c r="A1410" s="1" t="s">
        <v>1716</v>
      </c>
      <c r="B1410" s="2">
        <v>45034</v>
      </c>
      <c r="C1410" s="1" t="s">
        <v>174</v>
      </c>
      <c r="D1410" s="1" t="s">
        <v>51</v>
      </c>
      <c r="E1410">
        <v>3</v>
      </c>
      <c r="F1410" s="4">
        <v>198.17</v>
      </c>
      <c r="G1410" s="3">
        <v>0.2</v>
      </c>
      <c r="H1410" s="4">
        <v>37.99</v>
      </c>
      <c r="I1410" t="str">
        <f>VLOOKUP(orders__17[[#This Row],[Customer_ID]],customers__2[#All],3,0)</f>
        <v>East</v>
      </c>
      <c r="J1410" t="str">
        <f>VLOOKUP(orders__17[[#This Row],[Customer_ID]],customers__2[#All],4,0)</f>
        <v>Consumer</v>
      </c>
      <c r="K1410" t="str">
        <f>VLOOKUP(orders__17[[#This Row],[Product_ID]],products[#All],3,0)</f>
        <v>Office Supplies</v>
      </c>
      <c r="L1410" s="1" t="str">
        <f>VLOOKUP(orders__17[[#This Row],[Product_ID]],products[#All],4,0)</f>
        <v>Pen</v>
      </c>
      <c r="M1410" s="1" t="str">
        <f>VLOOKUP(orders__17[[#This Row],[Order_ID]],returns[#All],2,0)</f>
        <v>No</v>
      </c>
    </row>
    <row r="1411" spans="1:13" x14ac:dyDescent="0.3">
      <c r="A1411" s="1" t="s">
        <v>1717</v>
      </c>
      <c r="B1411" s="2">
        <v>45365</v>
      </c>
      <c r="C1411" s="1" t="s">
        <v>252</v>
      </c>
      <c r="D1411" s="1" t="s">
        <v>400</v>
      </c>
      <c r="E1411">
        <v>1</v>
      </c>
      <c r="F1411" s="4">
        <v>1059.1099999999999</v>
      </c>
      <c r="G1411" s="3">
        <v>0.1</v>
      </c>
      <c r="H1411" s="4">
        <v>299.8</v>
      </c>
      <c r="I1411" t="str">
        <f>VLOOKUP(orders__17[[#This Row],[Customer_ID]],customers__2[#All],3,0)</f>
        <v>North</v>
      </c>
      <c r="J1411" t="str">
        <f>VLOOKUP(orders__17[[#This Row],[Customer_ID]],customers__2[#All],4,0)</f>
        <v>Home Office</v>
      </c>
      <c r="K1411" t="str">
        <f>VLOOKUP(orders__17[[#This Row],[Product_ID]],products[#All],3,0)</f>
        <v>Office Supplies</v>
      </c>
      <c r="L1411" s="1" t="str">
        <f>VLOOKUP(orders__17[[#This Row],[Product_ID]],products[#All],4,0)</f>
        <v>Paper</v>
      </c>
      <c r="M1411" s="1" t="str">
        <f>VLOOKUP(orders__17[[#This Row],[Order_ID]],returns[#All],2,0)</f>
        <v>No</v>
      </c>
    </row>
    <row r="1412" spans="1:13" x14ac:dyDescent="0.3">
      <c r="A1412" s="1" t="s">
        <v>1718</v>
      </c>
      <c r="B1412" s="2">
        <v>44715</v>
      </c>
      <c r="C1412" s="1" t="s">
        <v>113</v>
      </c>
      <c r="D1412" s="1" t="s">
        <v>97</v>
      </c>
      <c r="E1412">
        <v>3</v>
      </c>
      <c r="F1412" s="4">
        <v>1465.06</v>
      </c>
      <c r="G1412" s="3">
        <v>0.1</v>
      </c>
      <c r="H1412" s="4">
        <v>317.17</v>
      </c>
      <c r="I1412" t="str">
        <f>VLOOKUP(orders__17[[#This Row],[Customer_ID]],customers__2[#All],3,0)</f>
        <v>West</v>
      </c>
      <c r="J1412" t="str">
        <f>VLOOKUP(orders__17[[#This Row],[Customer_ID]],customers__2[#All],4,0)</f>
        <v>Consumer</v>
      </c>
      <c r="K1412" t="str">
        <f>VLOOKUP(orders__17[[#This Row],[Product_ID]],products[#All],3,0)</f>
        <v>Technology</v>
      </c>
      <c r="L1412" s="1" t="str">
        <f>VLOOKUP(orders__17[[#This Row],[Product_ID]],products[#All],4,0)</f>
        <v>Tablet</v>
      </c>
      <c r="M1412" s="1" t="str">
        <f>VLOOKUP(orders__17[[#This Row],[Order_ID]],returns[#All],2,0)</f>
        <v>No</v>
      </c>
    </row>
    <row r="1413" spans="1:13" x14ac:dyDescent="0.3">
      <c r="A1413" s="1" t="s">
        <v>1719</v>
      </c>
      <c r="B1413" s="2">
        <v>45222</v>
      </c>
      <c r="C1413" s="1" t="s">
        <v>238</v>
      </c>
      <c r="D1413" s="1" t="s">
        <v>400</v>
      </c>
      <c r="E1413">
        <v>3</v>
      </c>
      <c r="F1413" s="4">
        <v>1739.02</v>
      </c>
      <c r="G1413" s="3">
        <v>0.3</v>
      </c>
      <c r="H1413" s="4">
        <v>444.61</v>
      </c>
      <c r="I1413" t="str">
        <f>VLOOKUP(orders__17[[#This Row],[Customer_ID]],customers__2[#All],3,0)</f>
        <v>West</v>
      </c>
      <c r="J1413" t="str">
        <f>VLOOKUP(orders__17[[#This Row],[Customer_ID]],customers__2[#All],4,0)</f>
        <v>Corporate</v>
      </c>
      <c r="K1413" t="str">
        <f>VLOOKUP(orders__17[[#This Row],[Product_ID]],products[#All],3,0)</f>
        <v>Office Supplies</v>
      </c>
      <c r="L1413" s="1" t="str">
        <f>VLOOKUP(orders__17[[#This Row],[Product_ID]],products[#All],4,0)</f>
        <v>Paper</v>
      </c>
      <c r="M1413" s="1" t="str">
        <f>VLOOKUP(orders__17[[#This Row],[Order_ID]],returns[#All],2,0)</f>
        <v>No</v>
      </c>
    </row>
    <row r="1414" spans="1:13" x14ac:dyDescent="0.3">
      <c r="A1414" s="1" t="s">
        <v>1720</v>
      </c>
      <c r="B1414" s="2">
        <v>45032</v>
      </c>
      <c r="C1414" s="1" t="s">
        <v>554</v>
      </c>
      <c r="D1414" s="1" t="s">
        <v>314</v>
      </c>
      <c r="E1414">
        <v>4</v>
      </c>
      <c r="F1414" s="4">
        <v>440.59</v>
      </c>
      <c r="G1414" s="3">
        <v>0</v>
      </c>
      <c r="H1414" s="4">
        <v>23.49</v>
      </c>
      <c r="I1414" t="str">
        <f>VLOOKUP(orders__17[[#This Row],[Customer_ID]],customers__2[#All],3,0)</f>
        <v>East</v>
      </c>
      <c r="J1414" t="str">
        <f>VLOOKUP(orders__17[[#This Row],[Customer_ID]],customers__2[#All],4,0)</f>
        <v>Consumer</v>
      </c>
      <c r="K1414" t="str">
        <f>VLOOKUP(orders__17[[#This Row],[Product_ID]],products[#All],3,0)</f>
        <v>Office Supplies</v>
      </c>
      <c r="L1414" s="1" t="str">
        <f>VLOOKUP(orders__17[[#This Row],[Product_ID]],products[#All],4,0)</f>
        <v>Paper</v>
      </c>
      <c r="M1414" s="1" t="str">
        <f>VLOOKUP(orders__17[[#This Row],[Order_ID]],returns[#All],2,0)</f>
        <v>No</v>
      </c>
    </row>
    <row r="1415" spans="1:13" x14ac:dyDescent="0.3">
      <c r="A1415" s="1" t="s">
        <v>1721</v>
      </c>
      <c r="B1415" s="2">
        <v>45043</v>
      </c>
      <c r="C1415" s="1" t="s">
        <v>723</v>
      </c>
      <c r="D1415" s="1" t="s">
        <v>25</v>
      </c>
      <c r="E1415">
        <v>5</v>
      </c>
      <c r="F1415" s="4">
        <v>1620.01</v>
      </c>
      <c r="G1415" s="3">
        <v>0.2</v>
      </c>
      <c r="H1415" s="4">
        <v>300.52</v>
      </c>
      <c r="I1415" t="str">
        <f>VLOOKUP(orders__17[[#This Row],[Customer_ID]],customers__2[#All],3,0)</f>
        <v>North</v>
      </c>
      <c r="J1415" t="str">
        <f>VLOOKUP(orders__17[[#This Row],[Customer_ID]],customers__2[#All],4,0)</f>
        <v>Home Office</v>
      </c>
      <c r="K1415" t="str">
        <f>VLOOKUP(orders__17[[#This Row],[Product_ID]],products[#All],3,0)</f>
        <v>Office Supplies</v>
      </c>
      <c r="L1415" s="1" t="str">
        <f>VLOOKUP(orders__17[[#This Row],[Product_ID]],products[#All],4,0)</f>
        <v>Paper</v>
      </c>
      <c r="M1415" s="1" t="str">
        <f>VLOOKUP(orders__17[[#This Row],[Order_ID]],returns[#All],2,0)</f>
        <v>No</v>
      </c>
    </row>
    <row r="1416" spans="1:13" x14ac:dyDescent="0.3">
      <c r="A1416" s="1" t="s">
        <v>1722</v>
      </c>
      <c r="B1416" s="2">
        <v>45095</v>
      </c>
      <c r="C1416" s="1" t="s">
        <v>248</v>
      </c>
      <c r="D1416" s="1" t="s">
        <v>67</v>
      </c>
      <c r="E1416">
        <v>1</v>
      </c>
      <c r="F1416" s="4">
        <v>1150.1400000000001</v>
      </c>
      <c r="G1416" s="3">
        <v>0.1</v>
      </c>
      <c r="H1416" s="4">
        <v>189.65</v>
      </c>
      <c r="I1416" t="str">
        <f>VLOOKUP(orders__17[[#This Row],[Customer_ID]],customers__2[#All],3,0)</f>
        <v>East</v>
      </c>
      <c r="J1416" t="str">
        <f>VLOOKUP(orders__17[[#This Row],[Customer_ID]],customers__2[#All],4,0)</f>
        <v>Corporate</v>
      </c>
      <c r="K1416" t="str">
        <f>VLOOKUP(orders__17[[#This Row],[Product_ID]],products[#All],3,0)</f>
        <v>Furniture</v>
      </c>
      <c r="L1416" s="1" t="str">
        <f>VLOOKUP(orders__17[[#This Row],[Product_ID]],products[#All],4,0)</f>
        <v>Chair</v>
      </c>
      <c r="M1416" s="1" t="str">
        <f>VLOOKUP(orders__17[[#This Row],[Order_ID]],returns[#All],2,0)</f>
        <v>No</v>
      </c>
    </row>
    <row r="1417" spans="1:13" x14ac:dyDescent="0.3">
      <c r="A1417" s="1" t="s">
        <v>1723</v>
      </c>
      <c r="B1417" s="2">
        <v>44934</v>
      </c>
      <c r="C1417" s="1" t="s">
        <v>328</v>
      </c>
      <c r="D1417" s="1" t="s">
        <v>400</v>
      </c>
      <c r="E1417">
        <v>3</v>
      </c>
      <c r="F1417" s="4">
        <v>853.45</v>
      </c>
      <c r="G1417" s="3">
        <v>0.1</v>
      </c>
      <c r="H1417" s="4">
        <v>149.13</v>
      </c>
      <c r="I1417" t="str">
        <f>VLOOKUP(orders__17[[#This Row],[Customer_ID]],customers__2[#All],3,0)</f>
        <v>South</v>
      </c>
      <c r="J1417" t="str">
        <f>VLOOKUP(orders__17[[#This Row],[Customer_ID]],customers__2[#All],4,0)</f>
        <v>Corporate</v>
      </c>
      <c r="K1417" t="str">
        <f>VLOOKUP(orders__17[[#This Row],[Product_ID]],products[#All],3,0)</f>
        <v>Office Supplies</v>
      </c>
      <c r="L1417" s="1" t="str">
        <f>VLOOKUP(orders__17[[#This Row],[Product_ID]],products[#All],4,0)</f>
        <v>Paper</v>
      </c>
      <c r="M1417" s="1" t="str">
        <f>VLOOKUP(orders__17[[#This Row],[Order_ID]],returns[#All],2,0)</f>
        <v>No</v>
      </c>
    </row>
    <row r="1418" spans="1:13" x14ac:dyDescent="0.3">
      <c r="A1418" s="1" t="s">
        <v>1724</v>
      </c>
      <c r="B1418" s="2">
        <v>45010</v>
      </c>
      <c r="C1418" s="1" t="s">
        <v>198</v>
      </c>
      <c r="D1418" s="1" t="s">
        <v>86</v>
      </c>
      <c r="E1418">
        <v>1</v>
      </c>
      <c r="F1418" s="4">
        <v>350.26</v>
      </c>
      <c r="G1418" s="3">
        <v>0</v>
      </c>
      <c r="H1418" s="4">
        <v>23.84</v>
      </c>
      <c r="I1418" t="str">
        <f>VLOOKUP(orders__17[[#This Row],[Customer_ID]],customers__2[#All],3,0)</f>
        <v>North</v>
      </c>
      <c r="J1418" t="str">
        <f>VLOOKUP(orders__17[[#This Row],[Customer_ID]],customers__2[#All],4,0)</f>
        <v>Consumer</v>
      </c>
      <c r="K1418" t="str">
        <f>VLOOKUP(orders__17[[#This Row],[Product_ID]],products[#All],3,0)</f>
        <v>Furniture</v>
      </c>
      <c r="L1418" s="1" t="str">
        <f>VLOOKUP(orders__17[[#This Row],[Product_ID]],products[#All],4,0)</f>
        <v>Table</v>
      </c>
      <c r="M1418" s="1" t="str">
        <f>VLOOKUP(orders__17[[#This Row],[Order_ID]],returns[#All],2,0)</f>
        <v>Yes</v>
      </c>
    </row>
    <row r="1419" spans="1:13" x14ac:dyDescent="0.3">
      <c r="A1419" s="1" t="s">
        <v>1725</v>
      </c>
      <c r="B1419" s="2">
        <v>44793</v>
      </c>
      <c r="C1419" s="1" t="s">
        <v>1061</v>
      </c>
      <c r="D1419" s="1" t="s">
        <v>22</v>
      </c>
      <c r="E1419">
        <v>2</v>
      </c>
      <c r="F1419" s="4">
        <v>1744.06</v>
      </c>
      <c r="G1419" s="3">
        <v>0</v>
      </c>
      <c r="H1419" s="4">
        <v>385.63</v>
      </c>
      <c r="I1419" t="str">
        <f>VLOOKUP(orders__17[[#This Row],[Customer_ID]],customers__2[#All],3,0)</f>
        <v>East</v>
      </c>
      <c r="J1419" t="str">
        <f>VLOOKUP(orders__17[[#This Row],[Customer_ID]],customers__2[#All],4,0)</f>
        <v>Consumer</v>
      </c>
      <c r="K1419" t="str">
        <f>VLOOKUP(orders__17[[#This Row],[Product_ID]],products[#All],3,0)</f>
        <v>Furniture</v>
      </c>
      <c r="L1419" s="1" t="str">
        <f>VLOOKUP(orders__17[[#This Row],[Product_ID]],products[#All],4,0)</f>
        <v>Chair</v>
      </c>
      <c r="M1419" s="1" t="str">
        <f>VLOOKUP(orders__17[[#This Row],[Order_ID]],returns[#All],2,0)</f>
        <v>No</v>
      </c>
    </row>
    <row r="1420" spans="1:13" x14ac:dyDescent="0.3">
      <c r="A1420" s="1" t="s">
        <v>1726</v>
      </c>
      <c r="B1420" s="2">
        <v>45405</v>
      </c>
      <c r="C1420" s="1" t="s">
        <v>723</v>
      </c>
      <c r="D1420" s="1" t="s">
        <v>147</v>
      </c>
      <c r="E1420">
        <v>4</v>
      </c>
      <c r="F1420" s="4">
        <v>398.82</v>
      </c>
      <c r="G1420" s="3">
        <v>0.2</v>
      </c>
      <c r="H1420" s="4">
        <v>70.11</v>
      </c>
      <c r="I1420" t="str">
        <f>VLOOKUP(orders__17[[#This Row],[Customer_ID]],customers__2[#All],3,0)</f>
        <v>North</v>
      </c>
      <c r="J1420" t="str">
        <f>VLOOKUP(orders__17[[#This Row],[Customer_ID]],customers__2[#All],4,0)</f>
        <v>Home Office</v>
      </c>
      <c r="K1420" t="str">
        <f>VLOOKUP(orders__17[[#This Row],[Product_ID]],products[#All],3,0)</f>
        <v>Technology</v>
      </c>
      <c r="L1420" s="1" t="str">
        <f>VLOOKUP(orders__17[[#This Row],[Product_ID]],products[#All],4,0)</f>
        <v>Laptop</v>
      </c>
      <c r="M1420" s="1" t="str">
        <f>VLOOKUP(orders__17[[#This Row],[Order_ID]],returns[#All],2,0)</f>
        <v>No</v>
      </c>
    </row>
    <row r="1421" spans="1:13" x14ac:dyDescent="0.3">
      <c r="A1421" s="1" t="s">
        <v>1727</v>
      </c>
      <c r="B1421" s="2">
        <v>45016</v>
      </c>
      <c r="C1421" s="1" t="s">
        <v>238</v>
      </c>
      <c r="D1421" s="1" t="s">
        <v>341</v>
      </c>
      <c r="E1421">
        <v>2</v>
      </c>
      <c r="F1421" s="4">
        <v>688.6</v>
      </c>
      <c r="G1421" s="3">
        <v>0.3</v>
      </c>
      <c r="H1421" s="4">
        <v>166.15</v>
      </c>
      <c r="I1421" t="str">
        <f>VLOOKUP(orders__17[[#This Row],[Customer_ID]],customers__2[#All],3,0)</f>
        <v>West</v>
      </c>
      <c r="J1421" t="str">
        <f>VLOOKUP(orders__17[[#This Row],[Customer_ID]],customers__2[#All],4,0)</f>
        <v>Corporate</v>
      </c>
      <c r="K1421" t="str">
        <f>VLOOKUP(orders__17[[#This Row],[Product_ID]],products[#All],3,0)</f>
        <v>Technology</v>
      </c>
      <c r="L1421" s="1" t="str">
        <f>VLOOKUP(orders__17[[#This Row],[Product_ID]],products[#All],4,0)</f>
        <v>Phone</v>
      </c>
      <c r="M1421" s="1" t="str">
        <f>VLOOKUP(orders__17[[#This Row],[Order_ID]],returns[#All],2,0)</f>
        <v>No</v>
      </c>
    </row>
    <row r="1422" spans="1:13" x14ac:dyDescent="0.3">
      <c r="A1422" s="1" t="s">
        <v>1728</v>
      </c>
      <c r="B1422" s="2">
        <v>44672</v>
      </c>
      <c r="C1422" s="1" t="s">
        <v>533</v>
      </c>
      <c r="D1422" s="1" t="s">
        <v>679</v>
      </c>
      <c r="E1422">
        <v>1</v>
      </c>
      <c r="F1422" s="4">
        <v>651.09</v>
      </c>
      <c r="G1422" s="3">
        <v>0</v>
      </c>
      <c r="H1422" s="4">
        <v>111.55</v>
      </c>
      <c r="I1422" t="str">
        <f>VLOOKUP(orders__17[[#This Row],[Customer_ID]],customers__2[#All],3,0)</f>
        <v>West</v>
      </c>
      <c r="J1422" t="str">
        <f>VLOOKUP(orders__17[[#This Row],[Customer_ID]],customers__2[#All],4,0)</f>
        <v>Consumer</v>
      </c>
      <c r="K1422" t="str">
        <f>VLOOKUP(orders__17[[#This Row],[Product_ID]],products[#All],3,0)</f>
        <v>Office Supplies</v>
      </c>
      <c r="L1422" s="1" t="str">
        <f>VLOOKUP(orders__17[[#This Row],[Product_ID]],products[#All],4,0)</f>
        <v>Paper</v>
      </c>
      <c r="M1422" s="1" t="str">
        <f>VLOOKUP(orders__17[[#This Row],[Order_ID]],returns[#All],2,0)</f>
        <v>No</v>
      </c>
    </row>
    <row r="1423" spans="1:13" x14ac:dyDescent="0.3">
      <c r="A1423" s="1" t="s">
        <v>1729</v>
      </c>
      <c r="B1423" s="2">
        <v>44900</v>
      </c>
      <c r="C1423" s="1" t="s">
        <v>280</v>
      </c>
      <c r="D1423" s="1" t="s">
        <v>161</v>
      </c>
      <c r="E1423">
        <v>1</v>
      </c>
      <c r="F1423" s="4">
        <v>1755.69</v>
      </c>
      <c r="G1423" s="3">
        <v>0.3</v>
      </c>
      <c r="H1423" s="4">
        <v>153.35</v>
      </c>
      <c r="I1423" t="str">
        <f>VLOOKUP(orders__17[[#This Row],[Customer_ID]],customers__2[#All],3,0)</f>
        <v>East</v>
      </c>
      <c r="J1423" t="str">
        <f>VLOOKUP(orders__17[[#This Row],[Customer_ID]],customers__2[#All],4,0)</f>
        <v>Corporate</v>
      </c>
      <c r="K1423" t="str">
        <f>VLOOKUP(orders__17[[#This Row],[Product_ID]],products[#All],3,0)</f>
        <v>Office Supplies</v>
      </c>
      <c r="L1423" s="1" t="str">
        <f>VLOOKUP(orders__17[[#This Row],[Product_ID]],products[#All],4,0)</f>
        <v>Binder</v>
      </c>
      <c r="M1423" s="1" t="str">
        <f>VLOOKUP(orders__17[[#This Row],[Order_ID]],returns[#All],2,0)</f>
        <v>Yes</v>
      </c>
    </row>
    <row r="1424" spans="1:13" x14ac:dyDescent="0.3">
      <c r="A1424" s="1" t="s">
        <v>1730</v>
      </c>
      <c r="B1424" s="2">
        <v>45250</v>
      </c>
      <c r="C1424" s="1" t="s">
        <v>1061</v>
      </c>
      <c r="D1424" s="1" t="s">
        <v>177</v>
      </c>
      <c r="E1424">
        <v>5</v>
      </c>
      <c r="F1424" s="4">
        <v>1378.14</v>
      </c>
      <c r="G1424" s="3">
        <v>0.2</v>
      </c>
      <c r="H1424" s="4">
        <v>292.25</v>
      </c>
      <c r="I1424" t="str">
        <f>VLOOKUP(orders__17[[#This Row],[Customer_ID]],customers__2[#All],3,0)</f>
        <v>East</v>
      </c>
      <c r="J1424" t="str">
        <f>VLOOKUP(orders__17[[#This Row],[Customer_ID]],customers__2[#All],4,0)</f>
        <v>Consumer</v>
      </c>
      <c r="K1424" t="str">
        <f>VLOOKUP(orders__17[[#This Row],[Product_ID]],products[#All],3,0)</f>
        <v>Furniture</v>
      </c>
      <c r="L1424" s="1" t="str">
        <f>VLOOKUP(orders__17[[#This Row],[Product_ID]],products[#All],4,0)</f>
        <v>Table</v>
      </c>
      <c r="M1424" s="1" t="str">
        <f>VLOOKUP(orders__17[[#This Row],[Order_ID]],returns[#All],2,0)</f>
        <v>No</v>
      </c>
    </row>
    <row r="1425" spans="1:13" x14ac:dyDescent="0.3">
      <c r="A1425" s="1" t="s">
        <v>1731</v>
      </c>
      <c r="B1425" s="2">
        <v>44918</v>
      </c>
      <c r="C1425" s="1" t="s">
        <v>332</v>
      </c>
      <c r="D1425" s="1" t="s">
        <v>59</v>
      </c>
      <c r="E1425">
        <v>3</v>
      </c>
      <c r="F1425" s="4">
        <v>1613.69</v>
      </c>
      <c r="G1425" s="3">
        <v>0.3</v>
      </c>
      <c r="H1425" s="4">
        <v>150.22999999999999</v>
      </c>
      <c r="I1425" t="str">
        <f>VLOOKUP(orders__17[[#This Row],[Customer_ID]],customers__2[#All],3,0)</f>
        <v>North</v>
      </c>
      <c r="J1425" t="str">
        <f>VLOOKUP(orders__17[[#This Row],[Customer_ID]],customers__2[#All],4,0)</f>
        <v>Home Office</v>
      </c>
      <c r="K1425" t="str">
        <f>VLOOKUP(orders__17[[#This Row],[Product_ID]],products[#All],3,0)</f>
        <v>Office Supplies</v>
      </c>
      <c r="L1425" s="1" t="str">
        <f>VLOOKUP(orders__17[[#This Row],[Product_ID]],products[#All],4,0)</f>
        <v>Paper</v>
      </c>
      <c r="M1425" s="1" t="str">
        <f>VLOOKUP(orders__17[[#This Row],[Order_ID]],returns[#All],2,0)</f>
        <v>No</v>
      </c>
    </row>
    <row r="1426" spans="1:13" x14ac:dyDescent="0.3">
      <c r="A1426" s="1" t="s">
        <v>1732</v>
      </c>
      <c r="B1426" s="2">
        <v>45375</v>
      </c>
      <c r="C1426" s="1" t="s">
        <v>902</v>
      </c>
      <c r="D1426" s="1" t="s">
        <v>218</v>
      </c>
      <c r="E1426">
        <v>3</v>
      </c>
      <c r="F1426" s="4">
        <v>575.89</v>
      </c>
      <c r="G1426" s="3">
        <v>0.1</v>
      </c>
      <c r="H1426" s="4">
        <v>154.4</v>
      </c>
      <c r="I1426" t="str">
        <f>VLOOKUP(orders__17[[#This Row],[Customer_ID]],customers__2[#All],3,0)</f>
        <v>West</v>
      </c>
      <c r="J1426" t="str">
        <f>VLOOKUP(orders__17[[#This Row],[Customer_ID]],customers__2[#All],4,0)</f>
        <v>Home Office</v>
      </c>
      <c r="K1426" t="str">
        <f>VLOOKUP(orders__17[[#This Row],[Product_ID]],products[#All],3,0)</f>
        <v>Office Supplies</v>
      </c>
      <c r="L1426" s="1" t="str">
        <f>VLOOKUP(orders__17[[#This Row],[Product_ID]],products[#All],4,0)</f>
        <v>Storage</v>
      </c>
      <c r="M1426" s="1" t="str">
        <f>VLOOKUP(orders__17[[#This Row],[Order_ID]],returns[#All],2,0)</f>
        <v>Yes</v>
      </c>
    </row>
    <row r="1427" spans="1:13" x14ac:dyDescent="0.3">
      <c r="A1427" s="1" t="s">
        <v>1733</v>
      </c>
      <c r="B1427" s="2">
        <v>44764</v>
      </c>
      <c r="C1427" s="1" t="s">
        <v>777</v>
      </c>
      <c r="D1427" s="1" t="s">
        <v>51</v>
      </c>
      <c r="E1427">
        <v>2</v>
      </c>
      <c r="F1427" s="4">
        <v>1287.26</v>
      </c>
      <c r="G1427" s="3">
        <v>0.3</v>
      </c>
      <c r="H1427" s="4">
        <v>261.67</v>
      </c>
      <c r="I1427" t="str">
        <f>VLOOKUP(orders__17[[#This Row],[Customer_ID]],customers__2[#All],3,0)</f>
        <v>South</v>
      </c>
      <c r="J1427" t="str">
        <f>VLOOKUP(orders__17[[#This Row],[Customer_ID]],customers__2[#All],4,0)</f>
        <v>Home Office</v>
      </c>
      <c r="K1427" t="str">
        <f>VLOOKUP(orders__17[[#This Row],[Product_ID]],products[#All],3,0)</f>
        <v>Office Supplies</v>
      </c>
      <c r="L1427" s="1" t="str">
        <f>VLOOKUP(orders__17[[#This Row],[Product_ID]],products[#All],4,0)</f>
        <v>Pen</v>
      </c>
      <c r="M1427" s="1" t="str">
        <f>VLOOKUP(orders__17[[#This Row],[Order_ID]],returns[#All],2,0)</f>
        <v>No</v>
      </c>
    </row>
    <row r="1428" spans="1:13" x14ac:dyDescent="0.3">
      <c r="A1428" s="1" t="s">
        <v>1734</v>
      </c>
      <c r="B1428" s="2">
        <v>44570</v>
      </c>
      <c r="C1428" s="1" t="s">
        <v>63</v>
      </c>
      <c r="D1428" s="1" t="s">
        <v>301</v>
      </c>
      <c r="E1428">
        <v>4</v>
      </c>
      <c r="F1428" s="4">
        <v>1186.32</v>
      </c>
      <c r="G1428" s="3">
        <v>0.2</v>
      </c>
      <c r="H1428" s="4">
        <v>105.94</v>
      </c>
      <c r="I1428" t="str">
        <f>VLOOKUP(orders__17[[#This Row],[Customer_ID]],customers__2[#All],3,0)</f>
        <v>East</v>
      </c>
      <c r="J1428" t="str">
        <f>VLOOKUP(orders__17[[#This Row],[Customer_ID]],customers__2[#All],4,0)</f>
        <v>Home Office</v>
      </c>
      <c r="K1428" t="str">
        <f>VLOOKUP(orders__17[[#This Row],[Product_ID]],products[#All],3,0)</f>
        <v>Furniture</v>
      </c>
      <c r="L1428" s="1" t="str">
        <f>VLOOKUP(orders__17[[#This Row],[Product_ID]],products[#All],4,0)</f>
        <v>Table</v>
      </c>
      <c r="M1428" s="1" t="str">
        <f>VLOOKUP(orders__17[[#This Row],[Order_ID]],returns[#All],2,0)</f>
        <v>No</v>
      </c>
    </row>
    <row r="1429" spans="1:13" x14ac:dyDescent="0.3">
      <c r="A1429" s="1" t="s">
        <v>1735</v>
      </c>
      <c r="B1429" s="2">
        <v>44822</v>
      </c>
      <c r="C1429" s="1" t="s">
        <v>94</v>
      </c>
      <c r="D1429" s="1" t="s">
        <v>25</v>
      </c>
      <c r="E1429">
        <v>3</v>
      </c>
      <c r="F1429" s="4">
        <v>1682.38</v>
      </c>
      <c r="G1429" s="3">
        <v>0.2</v>
      </c>
      <c r="H1429" s="4">
        <v>488.87</v>
      </c>
      <c r="I1429" t="str">
        <f>VLOOKUP(orders__17[[#This Row],[Customer_ID]],customers__2[#All],3,0)</f>
        <v>North</v>
      </c>
      <c r="J1429" t="str">
        <f>VLOOKUP(orders__17[[#This Row],[Customer_ID]],customers__2[#All],4,0)</f>
        <v>Home Office</v>
      </c>
      <c r="K1429" t="str">
        <f>VLOOKUP(orders__17[[#This Row],[Product_ID]],products[#All],3,0)</f>
        <v>Office Supplies</v>
      </c>
      <c r="L1429" s="1" t="str">
        <f>VLOOKUP(orders__17[[#This Row],[Product_ID]],products[#All],4,0)</f>
        <v>Paper</v>
      </c>
      <c r="M1429" s="1" t="str">
        <f>VLOOKUP(orders__17[[#This Row],[Order_ID]],returns[#All],2,0)</f>
        <v>No</v>
      </c>
    </row>
    <row r="1430" spans="1:13" x14ac:dyDescent="0.3">
      <c r="A1430" s="1" t="s">
        <v>1736</v>
      </c>
      <c r="B1430" s="2">
        <v>44602</v>
      </c>
      <c r="C1430" s="1" t="s">
        <v>662</v>
      </c>
      <c r="D1430" s="1" t="s">
        <v>253</v>
      </c>
      <c r="E1430">
        <v>5</v>
      </c>
      <c r="F1430" s="4">
        <v>1821.57</v>
      </c>
      <c r="G1430" s="3">
        <v>0.2</v>
      </c>
      <c r="H1430" s="4">
        <v>327.14</v>
      </c>
      <c r="I1430" t="str">
        <f>VLOOKUP(orders__17[[#This Row],[Customer_ID]],customers__2[#All],3,0)</f>
        <v>North</v>
      </c>
      <c r="J1430" t="str">
        <f>VLOOKUP(orders__17[[#This Row],[Customer_ID]],customers__2[#All],4,0)</f>
        <v>Corporate</v>
      </c>
      <c r="K1430" t="str">
        <f>VLOOKUP(orders__17[[#This Row],[Product_ID]],products[#All],3,0)</f>
        <v>Technology</v>
      </c>
      <c r="L1430" s="1" t="str">
        <f>VLOOKUP(orders__17[[#This Row],[Product_ID]],products[#All],4,0)</f>
        <v>Accessories</v>
      </c>
      <c r="M1430" s="1" t="str">
        <f>VLOOKUP(orders__17[[#This Row],[Order_ID]],returns[#All],2,0)</f>
        <v>No</v>
      </c>
    </row>
    <row r="1431" spans="1:13" x14ac:dyDescent="0.3">
      <c r="A1431" s="1" t="s">
        <v>1737</v>
      </c>
      <c r="B1431" s="2">
        <v>44668</v>
      </c>
      <c r="C1431" s="1" t="s">
        <v>94</v>
      </c>
      <c r="D1431" s="1" t="s">
        <v>585</v>
      </c>
      <c r="E1431">
        <v>2</v>
      </c>
      <c r="F1431" s="4">
        <v>123.1</v>
      </c>
      <c r="G1431" s="3">
        <v>0.3</v>
      </c>
      <c r="H1431" s="4">
        <v>8.4</v>
      </c>
      <c r="I1431" t="str">
        <f>VLOOKUP(orders__17[[#This Row],[Customer_ID]],customers__2[#All],3,0)</f>
        <v>North</v>
      </c>
      <c r="J1431" t="str">
        <f>VLOOKUP(orders__17[[#This Row],[Customer_ID]],customers__2[#All],4,0)</f>
        <v>Home Office</v>
      </c>
      <c r="K1431" t="str">
        <f>VLOOKUP(orders__17[[#This Row],[Product_ID]],products[#All],3,0)</f>
        <v>Office Supplies</v>
      </c>
      <c r="L1431" s="1" t="str">
        <f>VLOOKUP(orders__17[[#This Row],[Product_ID]],products[#All],4,0)</f>
        <v>Storage</v>
      </c>
      <c r="M1431" s="1" t="str">
        <f>VLOOKUP(orders__17[[#This Row],[Order_ID]],returns[#All],2,0)</f>
        <v>No</v>
      </c>
    </row>
    <row r="1432" spans="1:13" x14ac:dyDescent="0.3">
      <c r="A1432" s="1" t="s">
        <v>1738</v>
      </c>
      <c r="B1432" s="2">
        <v>45174</v>
      </c>
      <c r="C1432" s="1" t="s">
        <v>744</v>
      </c>
      <c r="D1432" s="1" t="s">
        <v>141</v>
      </c>
      <c r="E1432">
        <v>2</v>
      </c>
      <c r="F1432" s="4">
        <v>1380.64</v>
      </c>
      <c r="G1432" s="3">
        <v>0.1</v>
      </c>
      <c r="H1432" s="4">
        <v>285.39</v>
      </c>
      <c r="I1432" t="str">
        <f>VLOOKUP(orders__17[[#This Row],[Customer_ID]],customers__2[#All],3,0)</f>
        <v>East</v>
      </c>
      <c r="J1432" t="str">
        <f>VLOOKUP(orders__17[[#This Row],[Customer_ID]],customers__2[#All],4,0)</f>
        <v>Consumer</v>
      </c>
      <c r="K1432" t="str">
        <f>VLOOKUP(orders__17[[#This Row],[Product_ID]],products[#All],3,0)</f>
        <v>Technology</v>
      </c>
      <c r="L1432" s="1" t="str">
        <f>VLOOKUP(orders__17[[#This Row],[Product_ID]],products[#All],4,0)</f>
        <v>Phone</v>
      </c>
      <c r="M1432" s="1" t="str">
        <f>VLOOKUP(orders__17[[#This Row],[Order_ID]],returns[#All],2,0)</f>
        <v>No</v>
      </c>
    </row>
    <row r="1433" spans="1:13" x14ac:dyDescent="0.3">
      <c r="A1433" s="1" t="s">
        <v>1739</v>
      </c>
      <c r="B1433" s="2">
        <v>44569</v>
      </c>
      <c r="C1433" s="1" t="s">
        <v>673</v>
      </c>
      <c r="D1433" s="1" t="s">
        <v>67</v>
      </c>
      <c r="E1433">
        <v>5</v>
      </c>
      <c r="F1433" s="4">
        <v>198.49</v>
      </c>
      <c r="G1433" s="3">
        <v>0</v>
      </c>
      <c r="H1433" s="4">
        <v>22.49</v>
      </c>
      <c r="I1433" t="str">
        <f>VLOOKUP(orders__17[[#This Row],[Customer_ID]],customers__2[#All],3,0)</f>
        <v>West</v>
      </c>
      <c r="J1433" t="str">
        <f>VLOOKUP(orders__17[[#This Row],[Customer_ID]],customers__2[#All],4,0)</f>
        <v>Consumer</v>
      </c>
      <c r="K1433" t="str">
        <f>VLOOKUP(orders__17[[#This Row],[Product_ID]],products[#All],3,0)</f>
        <v>Furniture</v>
      </c>
      <c r="L1433" s="1" t="str">
        <f>VLOOKUP(orders__17[[#This Row],[Product_ID]],products[#All],4,0)</f>
        <v>Chair</v>
      </c>
      <c r="M1433" s="1" t="str">
        <f>VLOOKUP(orders__17[[#This Row],[Order_ID]],returns[#All],2,0)</f>
        <v>Yes</v>
      </c>
    </row>
    <row r="1434" spans="1:13" x14ac:dyDescent="0.3">
      <c r="A1434" s="1" t="s">
        <v>1740</v>
      </c>
      <c r="B1434" s="2">
        <v>45171</v>
      </c>
      <c r="C1434" s="1" t="s">
        <v>205</v>
      </c>
      <c r="D1434" s="1" t="s">
        <v>100</v>
      </c>
      <c r="E1434">
        <v>4</v>
      </c>
      <c r="F1434" s="4">
        <v>1142.83</v>
      </c>
      <c r="G1434" s="3">
        <v>0.1</v>
      </c>
      <c r="H1434" s="4">
        <v>286.76</v>
      </c>
      <c r="I1434" t="str">
        <f>VLOOKUP(orders__17[[#This Row],[Customer_ID]],customers__2[#All],3,0)</f>
        <v>North</v>
      </c>
      <c r="J1434" t="str">
        <f>VLOOKUP(orders__17[[#This Row],[Customer_ID]],customers__2[#All],4,0)</f>
        <v>Consumer</v>
      </c>
      <c r="K1434" t="str">
        <f>VLOOKUP(orders__17[[#This Row],[Product_ID]],products[#All],3,0)</f>
        <v>Technology</v>
      </c>
      <c r="L1434" s="1" t="str">
        <f>VLOOKUP(orders__17[[#This Row],[Product_ID]],products[#All],4,0)</f>
        <v>Laptop</v>
      </c>
      <c r="M1434" s="1" t="str">
        <f>VLOOKUP(orders__17[[#This Row],[Order_ID]],returns[#All],2,0)</f>
        <v>No</v>
      </c>
    </row>
    <row r="1435" spans="1:13" x14ac:dyDescent="0.3">
      <c r="A1435" s="1" t="s">
        <v>1741</v>
      </c>
      <c r="B1435" s="2">
        <v>44694</v>
      </c>
      <c r="C1435" s="1" t="s">
        <v>134</v>
      </c>
      <c r="D1435" s="1" t="s">
        <v>585</v>
      </c>
      <c r="E1435">
        <v>5</v>
      </c>
      <c r="F1435" s="4">
        <v>646.5</v>
      </c>
      <c r="G1435" s="3">
        <v>0.3</v>
      </c>
      <c r="H1435" s="4">
        <v>164.51</v>
      </c>
      <c r="I1435" t="str">
        <f>VLOOKUP(orders__17[[#This Row],[Customer_ID]],customers__2[#All],3,0)</f>
        <v>West</v>
      </c>
      <c r="J1435" t="str">
        <f>VLOOKUP(orders__17[[#This Row],[Customer_ID]],customers__2[#All],4,0)</f>
        <v>Home Office</v>
      </c>
      <c r="K1435" t="str">
        <f>VLOOKUP(orders__17[[#This Row],[Product_ID]],products[#All],3,0)</f>
        <v>Office Supplies</v>
      </c>
      <c r="L1435" s="1" t="str">
        <f>VLOOKUP(orders__17[[#This Row],[Product_ID]],products[#All],4,0)</f>
        <v>Storage</v>
      </c>
      <c r="M1435" s="1" t="str">
        <f>VLOOKUP(orders__17[[#This Row],[Order_ID]],returns[#All],2,0)</f>
        <v>No</v>
      </c>
    </row>
    <row r="1436" spans="1:13" x14ac:dyDescent="0.3">
      <c r="A1436" s="1" t="s">
        <v>1742</v>
      </c>
      <c r="B1436" s="2">
        <v>44949</v>
      </c>
      <c r="C1436" s="1" t="s">
        <v>927</v>
      </c>
      <c r="D1436" s="1" t="s">
        <v>757</v>
      </c>
      <c r="E1436">
        <v>4</v>
      </c>
      <c r="F1436" s="4">
        <v>682.88</v>
      </c>
      <c r="G1436" s="3">
        <v>0.3</v>
      </c>
      <c r="H1436" s="4">
        <v>201.27</v>
      </c>
      <c r="I1436" t="str">
        <f>VLOOKUP(orders__17[[#This Row],[Customer_ID]],customers__2[#All],3,0)</f>
        <v>South</v>
      </c>
      <c r="J1436" t="str">
        <f>VLOOKUP(orders__17[[#This Row],[Customer_ID]],customers__2[#All],4,0)</f>
        <v>Corporate</v>
      </c>
      <c r="K1436" t="str">
        <f>VLOOKUP(orders__17[[#This Row],[Product_ID]],products[#All],3,0)</f>
        <v>Office Supplies</v>
      </c>
      <c r="L1436" s="1" t="str">
        <f>VLOOKUP(orders__17[[#This Row],[Product_ID]],products[#All],4,0)</f>
        <v>Pen</v>
      </c>
      <c r="M1436" s="1" t="str">
        <f>VLOOKUP(orders__17[[#This Row],[Order_ID]],returns[#All],2,0)</f>
        <v>No</v>
      </c>
    </row>
    <row r="1437" spans="1:13" x14ac:dyDescent="0.3">
      <c r="A1437" s="1" t="s">
        <v>1743</v>
      </c>
      <c r="B1437" s="2">
        <v>45179</v>
      </c>
      <c r="C1437" s="1" t="s">
        <v>82</v>
      </c>
      <c r="D1437" s="1" t="s">
        <v>119</v>
      </c>
      <c r="E1437">
        <v>5</v>
      </c>
      <c r="F1437" s="4">
        <v>770.62</v>
      </c>
      <c r="G1437" s="3">
        <v>0</v>
      </c>
      <c r="H1437" s="4">
        <v>135.22</v>
      </c>
      <c r="I1437" t="str">
        <f>VLOOKUP(orders__17[[#This Row],[Customer_ID]],customers__2[#All],3,0)</f>
        <v>East</v>
      </c>
      <c r="J1437" t="str">
        <f>VLOOKUP(orders__17[[#This Row],[Customer_ID]],customers__2[#All],4,0)</f>
        <v>Corporate</v>
      </c>
      <c r="K1437" t="str">
        <f>VLOOKUP(orders__17[[#This Row],[Product_ID]],products[#All],3,0)</f>
        <v>Technology</v>
      </c>
      <c r="L1437" s="1" t="str">
        <f>VLOOKUP(orders__17[[#This Row],[Product_ID]],products[#All],4,0)</f>
        <v>Tablet</v>
      </c>
      <c r="M1437" s="1" t="str">
        <f>VLOOKUP(orders__17[[#This Row],[Order_ID]],returns[#All],2,0)</f>
        <v>No</v>
      </c>
    </row>
    <row r="1438" spans="1:13" x14ac:dyDescent="0.3">
      <c r="A1438" s="1" t="s">
        <v>1744</v>
      </c>
      <c r="B1438" s="2">
        <v>44817</v>
      </c>
      <c r="C1438" s="1" t="s">
        <v>248</v>
      </c>
      <c r="D1438" s="1" t="s">
        <v>249</v>
      </c>
      <c r="E1438">
        <v>5</v>
      </c>
      <c r="F1438" s="4">
        <v>1280.46</v>
      </c>
      <c r="G1438" s="3">
        <v>0.3</v>
      </c>
      <c r="H1438" s="4">
        <v>209.66</v>
      </c>
      <c r="I1438" t="str">
        <f>VLOOKUP(orders__17[[#This Row],[Customer_ID]],customers__2[#All],3,0)</f>
        <v>East</v>
      </c>
      <c r="J1438" t="str">
        <f>VLOOKUP(orders__17[[#This Row],[Customer_ID]],customers__2[#All],4,0)</f>
        <v>Corporate</v>
      </c>
      <c r="K1438" t="str">
        <f>VLOOKUP(orders__17[[#This Row],[Product_ID]],products[#All],3,0)</f>
        <v>Office Supplies</v>
      </c>
      <c r="L1438" s="1" t="str">
        <f>VLOOKUP(orders__17[[#This Row],[Product_ID]],products[#All],4,0)</f>
        <v>Paper</v>
      </c>
      <c r="M1438" s="1" t="str">
        <f>VLOOKUP(orders__17[[#This Row],[Order_ID]],returns[#All],2,0)</f>
        <v>No</v>
      </c>
    </row>
    <row r="1439" spans="1:13" x14ac:dyDescent="0.3">
      <c r="A1439" s="1" t="s">
        <v>1745</v>
      </c>
      <c r="B1439" s="2">
        <v>45369</v>
      </c>
      <c r="C1439" s="1" t="s">
        <v>306</v>
      </c>
      <c r="D1439" s="1" t="s">
        <v>45</v>
      </c>
      <c r="E1439">
        <v>1</v>
      </c>
      <c r="F1439" s="4">
        <v>734.69</v>
      </c>
      <c r="G1439" s="3">
        <v>0.2</v>
      </c>
      <c r="H1439" s="4">
        <v>175.13</v>
      </c>
      <c r="I1439" t="str">
        <f>VLOOKUP(orders__17[[#This Row],[Customer_ID]],customers__2[#All],3,0)</f>
        <v>North</v>
      </c>
      <c r="J1439" t="str">
        <f>VLOOKUP(orders__17[[#This Row],[Customer_ID]],customers__2[#All],4,0)</f>
        <v>Consumer</v>
      </c>
      <c r="K1439" t="str">
        <f>VLOOKUP(orders__17[[#This Row],[Product_ID]],products[#All],3,0)</f>
        <v>Office Supplies</v>
      </c>
      <c r="L1439" s="1" t="str">
        <f>VLOOKUP(orders__17[[#This Row],[Product_ID]],products[#All],4,0)</f>
        <v>Pen</v>
      </c>
      <c r="M1439" s="1" t="str">
        <f>VLOOKUP(orders__17[[#This Row],[Order_ID]],returns[#All],2,0)</f>
        <v>No</v>
      </c>
    </row>
    <row r="1440" spans="1:13" x14ac:dyDescent="0.3">
      <c r="A1440" s="1" t="s">
        <v>1746</v>
      </c>
      <c r="B1440" s="2">
        <v>44918</v>
      </c>
      <c r="C1440" s="1" t="s">
        <v>287</v>
      </c>
      <c r="D1440" s="1" t="s">
        <v>226</v>
      </c>
      <c r="E1440">
        <v>2</v>
      </c>
      <c r="F1440" s="4">
        <v>1492.13</v>
      </c>
      <c r="G1440" s="3">
        <v>0.2</v>
      </c>
      <c r="H1440" s="4">
        <v>124.02</v>
      </c>
      <c r="I1440" t="str">
        <f>VLOOKUP(orders__17[[#This Row],[Customer_ID]],customers__2[#All],3,0)</f>
        <v>South</v>
      </c>
      <c r="J1440" t="str">
        <f>VLOOKUP(orders__17[[#This Row],[Customer_ID]],customers__2[#All],4,0)</f>
        <v>Consumer</v>
      </c>
      <c r="K1440" t="str">
        <f>VLOOKUP(orders__17[[#This Row],[Product_ID]],products[#All],3,0)</f>
        <v>Technology</v>
      </c>
      <c r="L1440" s="1" t="str">
        <f>VLOOKUP(orders__17[[#This Row],[Product_ID]],products[#All],4,0)</f>
        <v>Laptop</v>
      </c>
      <c r="M1440" s="1" t="str">
        <f>VLOOKUP(orders__17[[#This Row],[Order_ID]],returns[#All],2,0)</f>
        <v>No</v>
      </c>
    </row>
    <row r="1441" spans="1:13" x14ac:dyDescent="0.3">
      <c r="A1441" s="1" t="s">
        <v>1747</v>
      </c>
      <c r="B1441" s="2">
        <v>45416</v>
      </c>
      <c r="C1441" s="1" t="s">
        <v>244</v>
      </c>
      <c r="D1441" s="1" t="s">
        <v>111</v>
      </c>
      <c r="E1441">
        <v>5</v>
      </c>
      <c r="F1441" s="4">
        <v>868.6</v>
      </c>
      <c r="G1441" s="3">
        <v>0.2</v>
      </c>
      <c r="H1441" s="4">
        <v>162.19</v>
      </c>
      <c r="I1441" t="str">
        <f>VLOOKUP(orders__17[[#This Row],[Customer_ID]],customers__2[#All],3,0)</f>
        <v>South</v>
      </c>
      <c r="J1441" t="str">
        <f>VLOOKUP(orders__17[[#This Row],[Customer_ID]],customers__2[#All],4,0)</f>
        <v>Corporate</v>
      </c>
      <c r="K1441" t="str">
        <f>VLOOKUP(orders__17[[#This Row],[Product_ID]],products[#All],3,0)</f>
        <v>Technology</v>
      </c>
      <c r="L1441" s="1" t="str">
        <f>VLOOKUP(orders__17[[#This Row],[Product_ID]],products[#All],4,0)</f>
        <v>Accessories</v>
      </c>
      <c r="M1441" s="1" t="str">
        <f>VLOOKUP(orders__17[[#This Row],[Order_ID]],returns[#All],2,0)</f>
        <v>No</v>
      </c>
    </row>
    <row r="1442" spans="1:13" x14ac:dyDescent="0.3">
      <c r="A1442" s="1" t="s">
        <v>1748</v>
      </c>
      <c r="B1442" s="2">
        <v>45298</v>
      </c>
      <c r="C1442" s="1" t="s">
        <v>685</v>
      </c>
      <c r="D1442" s="1" t="s">
        <v>392</v>
      </c>
      <c r="E1442">
        <v>5</v>
      </c>
      <c r="F1442" s="4">
        <v>229.87</v>
      </c>
      <c r="G1442" s="3">
        <v>0.2</v>
      </c>
      <c r="H1442" s="4">
        <v>42.88</v>
      </c>
      <c r="I1442" t="str">
        <f>VLOOKUP(orders__17[[#This Row],[Customer_ID]],customers__2[#All],3,0)</f>
        <v>East</v>
      </c>
      <c r="J1442" t="str">
        <f>VLOOKUP(orders__17[[#This Row],[Customer_ID]],customers__2[#All],4,0)</f>
        <v>Home Office</v>
      </c>
      <c r="K1442" t="str">
        <f>VLOOKUP(orders__17[[#This Row],[Product_ID]],products[#All],3,0)</f>
        <v>Furniture</v>
      </c>
      <c r="L1442" s="1" t="str">
        <f>VLOOKUP(orders__17[[#This Row],[Product_ID]],products[#All],4,0)</f>
        <v>Desk</v>
      </c>
      <c r="M1442" s="1" t="str">
        <f>VLOOKUP(orders__17[[#This Row],[Order_ID]],returns[#All],2,0)</f>
        <v>No</v>
      </c>
    </row>
    <row r="1443" spans="1:13" x14ac:dyDescent="0.3">
      <c r="A1443" s="1" t="s">
        <v>1749</v>
      </c>
      <c r="B1443" s="2">
        <v>45023</v>
      </c>
      <c r="C1443" s="1" t="s">
        <v>213</v>
      </c>
      <c r="D1443" s="1" t="s">
        <v>40</v>
      </c>
      <c r="E1443">
        <v>3</v>
      </c>
      <c r="F1443" s="4">
        <v>1589.14</v>
      </c>
      <c r="G1443" s="3">
        <v>0.2</v>
      </c>
      <c r="H1443" s="4">
        <v>115</v>
      </c>
      <c r="I1443" t="str">
        <f>VLOOKUP(orders__17[[#This Row],[Customer_ID]],customers__2[#All],3,0)</f>
        <v>East</v>
      </c>
      <c r="J1443" t="str">
        <f>VLOOKUP(orders__17[[#This Row],[Customer_ID]],customers__2[#All],4,0)</f>
        <v>Corporate</v>
      </c>
      <c r="K1443" t="str">
        <f>VLOOKUP(orders__17[[#This Row],[Product_ID]],products[#All],3,0)</f>
        <v>Office Supplies</v>
      </c>
      <c r="L1443" s="1" t="str">
        <f>VLOOKUP(orders__17[[#This Row],[Product_ID]],products[#All],4,0)</f>
        <v>Storage</v>
      </c>
      <c r="M1443" s="1" t="str">
        <f>VLOOKUP(orders__17[[#This Row],[Order_ID]],returns[#All],2,0)</f>
        <v>No</v>
      </c>
    </row>
    <row r="1444" spans="1:13" x14ac:dyDescent="0.3">
      <c r="A1444" s="1" t="s">
        <v>1750</v>
      </c>
      <c r="B1444" s="2">
        <v>45028</v>
      </c>
      <c r="C1444" s="1" t="s">
        <v>384</v>
      </c>
      <c r="D1444" s="1" t="s">
        <v>314</v>
      </c>
      <c r="E1444">
        <v>2</v>
      </c>
      <c r="F1444" s="4">
        <v>642.94000000000005</v>
      </c>
      <c r="G1444" s="3">
        <v>0.3</v>
      </c>
      <c r="H1444" s="4">
        <v>99.33</v>
      </c>
      <c r="I1444" t="str">
        <f>VLOOKUP(orders__17[[#This Row],[Customer_ID]],customers__2[#All],3,0)</f>
        <v>East</v>
      </c>
      <c r="J1444" t="str">
        <f>VLOOKUP(orders__17[[#This Row],[Customer_ID]],customers__2[#All],4,0)</f>
        <v>Corporate</v>
      </c>
      <c r="K1444" t="str">
        <f>VLOOKUP(orders__17[[#This Row],[Product_ID]],products[#All],3,0)</f>
        <v>Office Supplies</v>
      </c>
      <c r="L1444" s="1" t="str">
        <f>VLOOKUP(orders__17[[#This Row],[Product_ID]],products[#All],4,0)</f>
        <v>Paper</v>
      </c>
      <c r="M1444" s="1" t="str">
        <f>VLOOKUP(orders__17[[#This Row],[Order_ID]],returns[#All],2,0)</f>
        <v>No</v>
      </c>
    </row>
    <row r="1445" spans="1:13" x14ac:dyDescent="0.3">
      <c r="A1445" s="1" t="s">
        <v>1751</v>
      </c>
      <c r="B1445" s="2">
        <v>45232</v>
      </c>
      <c r="C1445" s="1" t="s">
        <v>367</v>
      </c>
      <c r="D1445" s="1" t="s">
        <v>13</v>
      </c>
      <c r="E1445">
        <v>3</v>
      </c>
      <c r="F1445" s="4">
        <v>922.26</v>
      </c>
      <c r="G1445" s="3">
        <v>0</v>
      </c>
      <c r="H1445" s="4">
        <v>242.85</v>
      </c>
      <c r="I1445" t="str">
        <f>VLOOKUP(orders__17[[#This Row],[Customer_ID]],customers__2[#All],3,0)</f>
        <v>South</v>
      </c>
      <c r="J1445" t="str">
        <f>VLOOKUP(orders__17[[#This Row],[Customer_ID]],customers__2[#All],4,0)</f>
        <v>Home Office</v>
      </c>
      <c r="K1445" t="str">
        <f>VLOOKUP(orders__17[[#This Row],[Product_ID]],products[#All],3,0)</f>
        <v>Furniture</v>
      </c>
      <c r="L1445" s="1" t="str">
        <f>VLOOKUP(orders__17[[#This Row],[Product_ID]],products[#All],4,0)</f>
        <v>Desk</v>
      </c>
      <c r="M1445" s="1" t="str">
        <f>VLOOKUP(orders__17[[#This Row],[Order_ID]],returns[#All],2,0)</f>
        <v>No</v>
      </c>
    </row>
    <row r="1446" spans="1:13" x14ac:dyDescent="0.3">
      <c r="A1446" s="1" t="s">
        <v>1752</v>
      </c>
      <c r="B1446" s="2">
        <v>44696</v>
      </c>
      <c r="C1446" s="1" t="s">
        <v>321</v>
      </c>
      <c r="D1446" s="1" t="s">
        <v>100</v>
      </c>
      <c r="E1446">
        <v>2</v>
      </c>
      <c r="F1446" s="4">
        <v>1402.34</v>
      </c>
      <c r="G1446" s="3">
        <v>0</v>
      </c>
      <c r="H1446" s="4">
        <v>370.27</v>
      </c>
      <c r="I1446" t="str">
        <f>VLOOKUP(orders__17[[#This Row],[Customer_ID]],customers__2[#All],3,0)</f>
        <v>South</v>
      </c>
      <c r="J1446" t="str">
        <f>VLOOKUP(orders__17[[#This Row],[Customer_ID]],customers__2[#All],4,0)</f>
        <v>Corporate</v>
      </c>
      <c r="K1446" t="str">
        <f>VLOOKUP(orders__17[[#This Row],[Product_ID]],products[#All],3,0)</f>
        <v>Technology</v>
      </c>
      <c r="L1446" s="1" t="str">
        <f>VLOOKUP(orders__17[[#This Row],[Product_ID]],products[#All],4,0)</f>
        <v>Laptop</v>
      </c>
      <c r="M1446" s="1" t="str">
        <f>VLOOKUP(orders__17[[#This Row],[Order_ID]],returns[#All],2,0)</f>
        <v>No</v>
      </c>
    </row>
    <row r="1447" spans="1:13" x14ac:dyDescent="0.3">
      <c r="A1447" s="1" t="s">
        <v>1753</v>
      </c>
      <c r="B1447" s="2">
        <v>45116</v>
      </c>
      <c r="C1447" s="1" t="s">
        <v>338</v>
      </c>
      <c r="D1447" s="1" t="s">
        <v>341</v>
      </c>
      <c r="E1447">
        <v>3</v>
      </c>
      <c r="F1447" s="4">
        <v>731.67</v>
      </c>
      <c r="G1447" s="3">
        <v>0.2</v>
      </c>
      <c r="H1447" s="4">
        <v>54.74</v>
      </c>
      <c r="I1447" t="str">
        <f>VLOOKUP(orders__17[[#This Row],[Customer_ID]],customers__2[#All],3,0)</f>
        <v>East</v>
      </c>
      <c r="J1447" t="str">
        <f>VLOOKUP(orders__17[[#This Row],[Customer_ID]],customers__2[#All],4,0)</f>
        <v>Corporate</v>
      </c>
      <c r="K1447" t="str">
        <f>VLOOKUP(orders__17[[#This Row],[Product_ID]],products[#All],3,0)</f>
        <v>Technology</v>
      </c>
      <c r="L1447" s="1" t="str">
        <f>VLOOKUP(orders__17[[#This Row],[Product_ID]],products[#All],4,0)</f>
        <v>Phone</v>
      </c>
      <c r="M1447" s="1" t="str">
        <f>VLOOKUP(orders__17[[#This Row],[Order_ID]],returns[#All],2,0)</f>
        <v>No</v>
      </c>
    </row>
    <row r="1448" spans="1:13" x14ac:dyDescent="0.3">
      <c r="A1448" s="1" t="s">
        <v>1754</v>
      </c>
      <c r="B1448" s="2">
        <v>44593</v>
      </c>
      <c r="C1448" s="1" t="s">
        <v>160</v>
      </c>
      <c r="D1448" s="1" t="s">
        <v>660</v>
      </c>
      <c r="E1448">
        <v>5</v>
      </c>
      <c r="F1448" s="4">
        <v>207.51</v>
      </c>
      <c r="G1448" s="3">
        <v>0.3</v>
      </c>
      <c r="H1448" s="4">
        <v>15.08</v>
      </c>
      <c r="I1448" t="str">
        <f>VLOOKUP(orders__17[[#This Row],[Customer_ID]],customers__2[#All],3,0)</f>
        <v>East</v>
      </c>
      <c r="J1448" t="str">
        <f>VLOOKUP(orders__17[[#This Row],[Customer_ID]],customers__2[#All],4,0)</f>
        <v>Corporate</v>
      </c>
      <c r="K1448" t="str">
        <f>VLOOKUP(orders__17[[#This Row],[Product_ID]],products[#All],3,0)</f>
        <v>Office Supplies</v>
      </c>
      <c r="L1448" s="1" t="str">
        <f>VLOOKUP(orders__17[[#This Row],[Product_ID]],products[#All],4,0)</f>
        <v>Storage</v>
      </c>
      <c r="M1448" s="1" t="str">
        <f>VLOOKUP(orders__17[[#This Row],[Order_ID]],returns[#All],2,0)</f>
        <v>No</v>
      </c>
    </row>
    <row r="1449" spans="1:13" x14ac:dyDescent="0.3">
      <c r="A1449" s="1" t="s">
        <v>1755</v>
      </c>
      <c r="B1449" s="2">
        <v>44662</v>
      </c>
      <c r="C1449" s="1" t="s">
        <v>228</v>
      </c>
      <c r="D1449" s="1" t="s">
        <v>585</v>
      </c>
      <c r="E1449">
        <v>5</v>
      </c>
      <c r="F1449" s="4">
        <v>810.45</v>
      </c>
      <c r="G1449" s="3">
        <v>0.1</v>
      </c>
      <c r="H1449" s="4">
        <v>93.75</v>
      </c>
      <c r="I1449" t="str">
        <f>VLOOKUP(orders__17[[#This Row],[Customer_ID]],customers__2[#All],3,0)</f>
        <v>North</v>
      </c>
      <c r="J1449" t="str">
        <f>VLOOKUP(orders__17[[#This Row],[Customer_ID]],customers__2[#All],4,0)</f>
        <v>Consumer</v>
      </c>
      <c r="K1449" t="str">
        <f>VLOOKUP(orders__17[[#This Row],[Product_ID]],products[#All],3,0)</f>
        <v>Office Supplies</v>
      </c>
      <c r="L1449" s="1" t="str">
        <f>VLOOKUP(orders__17[[#This Row],[Product_ID]],products[#All],4,0)</f>
        <v>Storage</v>
      </c>
      <c r="M1449" s="1" t="str">
        <f>VLOOKUP(orders__17[[#This Row],[Order_ID]],returns[#All],2,0)</f>
        <v>No</v>
      </c>
    </row>
    <row r="1450" spans="1:13" x14ac:dyDescent="0.3">
      <c r="A1450" s="1" t="s">
        <v>1756</v>
      </c>
      <c r="B1450" s="2">
        <v>45455</v>
      </c>
      <c r="C1450" s="1" t="s">
        <v>803</v>
      </c>
      <c r="D1450" s="1" t="s">
        <v>361</v>
      </c>
      <c r="E1450">
        <v>1</v>
      </c>
      <c r="F1450" s="4">
        <v>1894.45</v>
      </c>
      <c r="G1450" s="3">
        <v>0.1</v>
      </c>
      <c r="H1450" s="4">
        <v>509.02</v>
      </c>
      <c r="I1450" t="str">
        <f>VLOOKUP(orders__17[[#This Row],[Customer_ID]],customers__2[#All],3,0)</f>
        <v>South</v>
      </c>
      <c r="J1450" t="str">
        <f>VLOOKUP(orders__17[[#This Row],[Customer_ID]],customers__2[#All],4,0)</f>
        <v>Consumer</v>
      </c>
      <c r="K1450" t="str">
        <f>VLOOKUP(orders__17[[#This Row],[Product_ID]],products[#All],3,0)</f>
        <v>Furniture</v>
      </c>
      <c r="L1450" s="1" t="str">
        <f>VLOOKUP(orders__17[[#This Row],[Product_ID]],products[#All],4,0)</f>
        <v>Shelf</v>
      </c>
      <c r="M1450" s="1" t="str">
        <f>VLOOKUP(orders__17[[#This Row],[Order_ID]],returns[#All],2,0)</f>
        <v>No</v>
      </c>
    </row>
    <row r="1451" spans="1:13" x14ac:dyDescent="0.3">
      <c r="A1451" s="1" t="s">
        <v>1757</v>
      </c>
      <c r="B1451" s="2">
        <v>44796</v>
      </c>
      <c r="C1451" s="1" t="s">
        <v>691</v>
      </c>
      <c r="D1451" s="1" t="s">
        <v>37</v>
      </c>
      <c r="E1451">
        <v>3</v>
      </c>
      <c r="F1451" s="4">
        <v>1319.3</v>
      </c>
      <c r="G1451" s="3">
        <v>0.3</v>
      </c>
      <c r="H1451" s="4">
        <v>108.48</v>
      </c>
      <c r="I1451" t="str">
        <f>VLOOKUP(orders__17[[#This Row],[Customer_ID]],customers__2[#All],3,0)</f>
        <v>West</v>
      </c>
      <c r="J1451" t="str">
        <f>VLOOKUP(orders__17[[#This Row],[Customer_ID]],customers__2[#All],4,0)</f>
        <v>Corporate</v>
      </c>
      <c r="K1451" t="str">
        <f>VLOOKUP(orders__17[[#This Row],[Product_ID]],products[#All],3,0)</f>
        <v>Furniture</v>
      </c>
      <c r="L1451" s="1" t="str">
        <f>VLOOKUP(orders__17[[#This Row],[Product_ID]],products[#All],4,0)</f>
        <v>Desk</v>
      </c>
      <c r="M1451" s="1" t="str">
        <f>VLOOKUP(orders__17[[#This Row],[Order_ID]],returns[#All],2,0)</f>
        <v>No</v>
      </c>
    </row>
    <row r="1452" spans="1:13" x14ac:dyDescent="0.3">
      <c r="A1452" s="1" t="s">
        <v>1758</v>
      </c>
      <c r="B1452" s="2">
        <v>45211</v>
      </c>
      <c r="C1452" s="1" t="s">
        <v>205</v>
      </c>
      <c r="D1452" s="1" t="s">
        <v>119</v>
      </c>
      <c r="E1452">
        <v>4</v>
      </c>
      <c r="F1452" s="4">
        <v>1375.81</v>
      </c>
      <c r="G1452" s="3">
        <v>0.2</v>
      </c>
      <c r="H1452" s="4">
        <v>316.44</v>
      </c>
      <c r="I1452" t="str">
        <f>VLOOKUP(orders__17[[#This Row],[Customer_ID]],customers__2[#All],3,0)</f>
        <v>North</v>
      </c>
      <c r="J1452" t="str">
        <f>VLOOKUP(orders__17[[#This Row],[Customer_ID]],customers__2[#All],4,0)</f>
        <v>Consumer</v>
      </c>
      <c r="K1452" t="str">
        <f>VLOOKUP(orders__17[[#This Row],[Product_ID]],products[#All],3,0)</f>
        <v>Technology</v>
      </c>
      <c r="L1452" s="1" t="str">
        <f>VLOOKUP(orders__17[[#This Row],[Product_ID]],products[#All],4,0)</f>
        <v>Tablet</v>
      </c>
      <c r="M1452" s="1" t="str">
        <f>VLOOKUP(orders__17[[#This Row],[Order_ID]],returns[#All],2,0)</f>
        <v>No</v>
      </c>
    </row>
    <row r="1453" spans="1:13" x14ac:dyDescent="0.3">
      <c r="A1453" s="1" t="s">
        <v>1759</v>
      </c>
      <c r="B1453" s="2">
        <v>44810</v>
      </c>
      <c r="C1453" s="1" t="s">
        <v>150</v>
      </c>
      <c r="D1453" s="1" t="s">
        <v>89</v>
      </c>
      <c r="E1453">
        <v>1</v>
      </c>
      <c r="F1453" s="4">
        <v>1301.3399999999999</v>
      </c>
      <c r="G1453" s="3">
        <v>0</v>
      </c>
      <c r="H1453" s="4">
        <v>97.98</v>
      </c>
      <c r="I1453" t="str">
        <f>VLOOKUP(orders__17[[#This Row],[Customer_ID]],customers__2[#All],3,0)</f>
        <v>West</v>
      </c>
      <c r="J1453" t="str">
        <f>VLOOKUP(orders__17[[#This Row],[Customer_ID]],customers__2[#All],4,0)</f>
        <v>Consumer</v>
      </c>
      <c r="K1453" t="str">
        <f>VLOOKUP(orders__17[[#This Row],[Product_ID]],products[#All],3,0)</f>
        <v>Technology</v>
      </c>
      <c r="L1453" s="1" t="str">
        <f>VLOOKUP(orders__17[[#This Row],[Product_ID]],products[#All],4,0)</f>
        <v>Phone</v>
      </c>
      <c r="M1453" s="1" t="str">
        <f>VLOOKUP(orders__17[[#This Row],[Order_ID]],returns[#All],2,0)</f>
        <v>No</v>
      </c>
    </row>
    <row r="1454" spans="1:13" x14ac:dyDescent="0.3">
      <c r="A1454" s="1" t="s">
        <v>1760</v>
      </c>
      <c r="B1454" s="2">
        <v>44983</v>
      </c>
      <c r="C1454" s="1" t="s">
        <v>371</v>
      </c>
      <c r="D1454" s="1" t="s">
        <v>31</v>
      </c>
      <c r="E1454">
        <v>3</v>
      </c>
      <c r="F1454" s="4">
        <v>478.09</v>
      </c>
      <c r="G1454" s="3">
        <v>0.3</v>
      </c>
      <c r="H1454" s="4">
        <v>98.38</v>
      </c>
      <c r="I1454" t="str">
        <f>VLOOKUP(orders__17[[#This Row],[Customer_ID]],customers__2[#All],3,0)</f>
        <v>East</v>
      </c>
      <c r="J1454" t="str">
        <f>VLOOKUP(orders__17[[#This Row],[Customer_ID]],customers__2[#All],4,0)</f>
        <v>Corporate</v>
      </c>
      <c r="K1454" t="str">
        <f>VLOOKUP(orders__17[[#This Row],[Product_ID]],products[#All],3,0)</f>
        <v>Furniture</v>
      </c>
      <c r="L1454" s="1" t="str">
        <f>VLOOKUP(orders__17[[#This Row],[Product_ID]],products[#All],4,0)</f>
        <v>Chair</v>
      </c>
      <c r="M1454" s="1" t="str">
        <f>VLOOKUP(orders__17[[#This Row],[Order_ID]],returns[#All],2,0)</f>
        <v>No</v>
      </c>
    </row>
    <row r="1455" spans="1:13" x14ac:dyDescent="0.3">
      <c r="A1455" s="1" t="s">
        <v>1761</v>
      </c>
      <c r="B1455" s="2">
        <v>45244</v>
      </c>
      <c r="C1455" s="1" t="s">
        <v>115</v>
      </c>
      <c r="D1455" s="1" t="s">
        <v>258</v>
      </c>
      <c r="E1455">
        <v>3</v>
      </c>
      <c r="F1455" s="4">
        <v>894.83</v>
      </c>
      <c r="G1455" s="3">
        <v>0.1</v>
      </c>
      <c r="H1455" s="4">
        <v>124.4</v>
      </c>
      <c r="I1455" t="str">
        <f>VLOOKUP(orders__17[[#This Row],[Customer_ID]],customers__2[#All],3,0)</f>
        <v>South</v>
      </c>
      <c r="J1455" t="str">
        <f>VLOOKUP(orders__17[[#This Row],[Customer_ID]],customers__2[#All],4,0)</f>
        <v>Consumer</v>
      </c>
      <c r="K1455" t="str">
        <f>VLOOKUP(orders__17[[#This Row],[Product_ID]],products[#All],3,0)</f>
        <v>Technology</v>
      </c>
      <c r="L1455" s="1" t="str">
        <f>VLOOKUP(orders__17[[#This Row],[Product_ID]],products[#All],4,0)</f>
        <v>Phone</v>
      </c>
      <c r="M1455" s="1" t="str">
        <f>VLOOKUP(orders__17[[#This Row],[Order_ID]],returns[#All],2,0)</f>
        <v>No</v>
      </c>
    </row>
    <row r="1456" spans="1:13" x14ac:dyDescent="0.3">
      <c r="A1456" s="1" t="s">
        <v>1762</v>
      </c>
      <c r="B1456" s="2">
        <v>45310</v>
      </c>
      <c r="C1456" s="1" t="s">
        <v>683</v>
      </c>
      <c r="D1456" s="1" t="s">
        <v>314</v>
      </c>
      <c r="E1456">
        <v>1</v>
      </c>
      <c r="F1456" s="4">
        <v>1526.79</v>
      </c>
      <c r="G1456" s="3">
        <v>0.1</v>
      </c>
      <c r="H1456" s="4">
        <v>377.47</v>
      </c>
      <c r="I1456" t="str">
        <f>VLOOKUP(orders__17[[#This Row],[Customer_ID]],customers__2[#All],3,0)</f>
        <v>East</v>
      </c>
      <c r="J1456" t="str">
        <f>VLOOKUP(orders__17[[#This Row],[Customer_ID]],customers__2[#All],4,0)</f>
        <v>Corporate</v>
      </c>
      <c r="K1456" t="str">
        <f>VLOOKUP(orders__17[[#This Row],[Product_ID]],products[#All],3,0)</f>
        <v>Office Supplies</v>
      </c>
      <c r="L1456" s="1" t="str">
        <f>VLOOKUP(orders__17[[#This Row],[Product_ID]],products[#All],4,0)</f>
        <v>Paper</v>
      </c>
      <c r="M1456" s="1" t="str">
        <f>VLOOKUP(orders__17[[#This Row],[Order_ID]],returns[#All],2,0)</f>
        <v>No</v>
      </c>
    </row>
    <row r="1457" spans="1:13" x14ac:dyDescent="0.3">
      <c r="A1457" s="1" t="s">
        <v>1763</v>
      </c>
      <c r="B1457" s="2">
        <v>45124</v>
      </c>
      <c r="C1457" s="1" t="s">
        <v>246</v>
      </c>
      <c r="D1457" s="1" t="s">
        <v>25</v>
      </c>
      <c r="E1457">
        <v>5</v>
      </c>
      <c r="F1457" s="4">
        <v>292.61</v>
      </c>
      <c r="G1457" s="3">
        <v>0.1</v>
      </c>
      <c r="H1457" s="4">
        <v>31.73</v>
      </c>
      <c r="I1457" t="str">
        <f>VLOOKUP(orders__17[[#This Row],[Customer_ID]],customers__2[#All],3,0)</f>
        <v>West</v>
      </c>
      <c r="J1457" t="str">
        <f>VLOOKUP(orders__17[[#This Row],[Customer_ID]],customers__2[#All],4,0)</f>
        <v>Home Office</v>
      </c>
      <c r="K1457" t="str">
        <f>VLOOKUP(orders__17[[#This Row],[Product_ID]],products[#All],3,0)</f>
        <v>Office Supplies</v>
      </c>
      <c r="L1457" s="1" t="str">
        <f>VLOOKUP(orders__17[[#This Row],[Product_ID]],products[#All],4,0)</f>
        <v>Paper</v>
      </c>
      <c r="M1457" s="1" t="str">
        <f>VLOOKUP(orders__17[[#This Row],[Order_ID]],returns[#All],2,0)</f>
        <v>Yes</v>
      </c>
    </row>
    <row r="1458" spans="1:13" x14ac:dyDescent="0.3">
      <c r="A1458" s="1" t="s">
        <v>1764</v>
      </c>
      <c r="B1458" s="2">
        <v>44941</v>
      </c>
      <c r="C1458" s="1" t="s">
        <v>1061</v>
      </c>
      <c r="D1458" s="1" t="s">
        <v>301</v>
      </c>
      <c r="E1458">
        <v>3</v>
      </c>
      <c r="F1458" s="4">
        <v>627.91999999999996</v>
      </c>
      <c r="G1458" s="3">
        <v>0.2</v>
      </c>
      <c r="H1458" s="4">
        <v>131.74</v>
      </c>
      <c r="I1458" t="str">
        <f>VLOOKUP(orders__17[[#This Row],[Customer_ID]],customers__2[#All],3,0)</f>
        <v>East</v>
      </c>
      <c r="J1458" t="str">
        <f>VLOOKUP(orders__17[[#This Row],[Customer_ID]],customers__2[#All],4,0)</f>
        <v>Consumer</v>
      </c>
      <c r="K1458" t="str">
        <f>VLOOKUP(orders__17[[#This Row],[Product_ID]],products[#All],3,0)</f>
        <v>Furniture</v>
      </c>
      <c r="L1458" s="1" t="str">
        <f>VLOOKUP(orders__17[[#This Row],[Product_ID]],products[#All],4,0)</f>
        <v>Table</v>
      </c>
      <c r="M1458" s="1" t="str">
        <f>VLOOKUP(orders__17[[#This Row],[Order_ID]],returns[#All],2,0)</f>
        <v>No</v>
      </c>
    </row>
    <row r="1459" spans="1:13" x14ac:dyDescent="0.3">
      <c r="A1459" s="1" t="s">
        <v>1765</v>
      </c>
      <c r="B1459" s="2">
        <v>45148</v>
      </c>
      <c r="C1459" s="1" t="s">
        <v>174</v>
      </c>
      <c r="D1459" s="1" t="s">
        <v>234</v>
      </c>
      <c r="E1459">
        <v>5</v>
      </c>
      <c r="F1459" s="4">
        <v>625.01</v>
      </c>
      <c r="G1459" s="3">
        <v>0.1</v>
      </c>
      <c r="H1459" s="4">
        <v>68.08</v>
      </c>
      <c r="I1459" t="str">
        <f>VLOOKUP(orders__17[[#This Row],[Customer_ID]],customers__2[#All],3,0)</f>
        <v>East</v>
      </c>
      <c r="J1459" t="str">
        <f>VLOOKUP(orders__17[[#This Row],[Customer_ID]],customers__2[#All],4,0)</f>
        <v>Consumer</v>
      </c>
      <c r="K1459" t="str">
        <f>VLOOKUP(orders__17[[#This Row],[Product_ID]],products[#All],3,0)</f>
        <v>Furniture</v>
      </c>
      <c r="L1459" s="1" t="str">
        <f>VLOOKUP(orders__17[[#This Row],[Product_ID]],products[#All],4,0)</f>
        <v>Shelf</v>
      </c>
      <c r="M1459" s="1" t="str">
        <f>VLOOKUP(orders__17[[#This Row],[Order_ID]],returns[#All],2,0)</f>
        <v>Yes</v>
      </c>
    </row>
    <row r="1460" spans="1:13" x14ac:dyDescent="0.3">
      <c r="A1460" s="1" t="s">
        <v>1766</v>
      </c>
      <c r="B1460" s="2">
        <v>44604</v>
      </c>
      <c r="C1460" s="1" t="s">
        <v>160</v>
      </c>
      <c r="D1460" s="1" t="s">
        <v>141</v>
      </c>
      <c r="E1460">
        <v>1</v>
      </c>
      <c r="F1460" s="4">
        <v>920.84</v>
      </c>
      <c r="G1460" s="3">
        <v>0.3</v>
      </c>
      <c r="H1460" s="4">
        <v>210.33</v>
      </c>
      <c r="I1460" t="str">
        <f>VLOOKUP(orders__17[[#This Row],[Customer_ID]],customers__2[#All],3,0)</f>
        <v>East</v>
      </c>
      <c r="J1460" t="str">
        <f>VLOOKUP(orders__17[[#This Row],[Customer_ID]],customers__2[#All],4,0)</f>
        <v>Corporate</v>
      </c>
      <c r="K1460" t="str">
        <f>VLOOKUP(orders__17[[#This Row],[Product_ID]],products[#All],3,0)</f>
        <v>Technology</v>
      </c>
      <c r="L1460" s="1" t="str">
        <f>VLOOKUP(orders__17[[#This Row],[Product_ID]],products[#All],4,0)</f>
        <v>Phone</v>
      </c>
      <c r="M1460" s="1" t="str">
        <f>VLOOKUP(orders__17[[#This Row],[Order_ID]],returns[#All],2,0)</f>
        <v>No</v>
      </c>
    </row>
    <row r="1461" spans="1:13" x14ac:dyDescent="0.3">
      <c r="A1461" s="1" t="s">
        <v>1767</v>
      </c>
      <c r="B1461" s="2">
        <v>45245</v>
      </c>
      <c r="C1461" s="1" t="s">
        <v>803</v>
      </c>
      <c r="D1461" s="1" t="s">
        <v>309</v>
      </c>
      <c r="E1461">
        <v>5</v>
      </c>
      <c r="F1461" s="4">
        <v>1962.7</v>
      </c>
      <c r="G1461" s="3">
        <v>0.3</v>
      </c>
      <c r="H1461" s="4">
        <v>526.83000000000004</v>
      </c>
      <c r="I1461" t="str">
        <f>VLOOKUP(orders__17[[#This Row],[Customer_ID]],customers__2[#All],3,0)</f>
        <v>South</v>
      </c>
      <c r="J1461" t="str">
        <f>VLOOKUP(orders__17[[#This Row],[Customer_ID]],customers__2[#All],4,0)</f>
        <v>Consumer</v>
      </c>
      <c r="K1461" t="str">
        <f>VLOOKUP(orders__17[[#This Row],[Product_ID]],products[#All],3,0)</f>
        <v>Office Supplies</v>
      </c>
      <c r="L1461" s="1" t="str">
        <f>VLOOKUP(orders__17[[#This Row],[Product_ID]],products[#All],4,0)</f>
        <v>Pen</v>
      </c>
      <c r="M1461" s="1" t="str">
        <f>VLOOKUP(orders__17[[#This Row],[Order_ID]],returns[#All],2,0)</f>
        <v>No</v>
      </c>
    </row>
    <row r="1462" spans="1:13" x14ac:dyDescent="0.3">
      <c r="A1462" s="1" t="s">
        <v>1768</v>
      </c>
      <c r="B1462" s="2">
        <v>44574</v>
      </c>
      <c r="C1462" s="1" t="s">
        <v>1056</v>
      </c>
      <c r="D1462" s="1" t="s">
        <v>34</v>
      </c>
      <c r="E1462">
        <v>2</v>
      </c>
      <c r="F1462" s="4">
        <v>228.25</v>
      </c>
      <c r="G1462" s="3">
        <v>0.1</v>
      </c>
      <c r="H1462" s="4">
        <v>18.649999999999999</v>
      </c>
      <c r="I1462" t="str">
        <f>VLOOKUP(orders__17[[#This Row],[Customer_ID]],customers__2[#All],3,0)</f>
        <v>North</v>
      </c>
      <c r="J1462" t="str">
        <f>VLOOKUP(orders__17[[#This Row],[Customer_ID]],customers__2[#All],4,0)</f>
        <v>Corporate</v>
      </c>
      <c r="K1462" t="str">
        <f>VLOOKUP(orders__17[[#This Row],[Product_ID]],products[#All],3,0)</f>
        <v>Furniture</v>
      </c>
      <c r="L1462" s="1" t="str">
        <f>VLOOKUP(orders__17[[#This Row],[Product_ID]],products[#All],4,0)</f>
        <v>Table</v>
      </c>
      <c r="M1462" s="1" t="str">
        <f>VLOOKUP(orders__17[[#This Row],[Order_ID]],returns[#All],2,0)</f>
        <v>No</v>
      </c>
    </row>
    <row r="1463" spans="1:13" x14ac:dyDescent="0.3">
      <c r="A1463" s="1" t="s">
        <v>1769</v>
      </c>
      <c r="B1463" s="2">
        <v>45189</v>
      </c>
      <c r="C1463" s="1" t="s">
        <v>647</v>
      </c>
      <c r="D1463" s="1" t="s">
        <v>256</v>
      </c>
      <c r="E1463">
        <v>4</v>
      </c>
      <c r="F1463" s="4">
        <v>1085.53</v>
      </c>
      <c r="G1463" s="3">
        <v>0.3</v>
      </c>
      <c r="H1463" s="4">
        <v>289.45999999999998</v>
      </c>
      <c r="I1463" t="str">
        <f>VLOOKUP(orders__17[[#This Row],[Customer_ID]],customers__2[#All],3,0)</f>
        <v>South</v>
      </c>
      <c r="J1463" t="str">
        <f>VLOOKUP(orders__17[[#This Row],[Customer_ID]],customers__2[#All],4,0)</f>
        <v>Consumer</v>
      </c>
      <c r="K1463" t="str">
        <f>VLOOKUP(orders__17[[#This Row],[Product_ID]],products[#All],3,0)</f>
        <v>Office Supplies</v>
      </c>
      <c r="L1463" s="1" t="str">
        <f>VLOOKUP(orders__17[[#This Row],[Product_ID]],products[#All],4,0)</f>
        <v>Pen</v>
      </c>
      <c r="M1463" s="1" t="str">
        <f>VLOOKUP(orders__17[[#This Row],[Order_ID]],returns[#All],2,0)</f>
        <v>No</v>
      </c>
    </row>
    <row r="1464" spans="1:13" x14ac:dyDescent="0.3">
      <c r="A1464" s="1" t="s">
        <v>1770</v>
      </c>
      <c r="B1464" s="2">
        <v>45188</v>
      </c>
      <c r="C1464" s="1" t="s">
        <v>94</v>
      </c>
      <c r="D1464" s="1" t="s">
        <v>78</v>
      </c>
      <c r="E1464">
        <v>3</v>
      </c>
      <c r="F1464" s="4">
        <v>440.79</v>
      </c>
      <c r="G1464" s="3">
        <v>0.1</v>
      </c>
      <c r="H1464" s="4">
        <v>87.45</v>
      </c>
      <c r="I1464" t="str">
        <f>VLOOKUP(orders__17[[#This Row],[Customer_ID]],customers__2[#All],3,0)</f>
        <v>North</v>
      </c>
      <c r="J1464" t="str">
        <f>VLOOKUP(orders__17[[#This Row],[Customer_ID]],customers__2[#All],4,0)</f>
        <v>Home Office</v>
      </c>
      <c r="K1464" t="str">
        <f>VLOOKUP(orders__17[[#This Row],[Product_ID]],products[#All],3,0)</f>
        <v>Technology</v>
      </c>
      <c r="L1464" s="1" t="str">
        <f>VLOOKUP(orders__17[[#This Row],[Product_ID]],products[#All],4,0)</f>
        <v>Accessories</v>
      </c>
      <c r="M1464" s="1" t="str">
        <f>VLOOKUP(orders__17[[#This Row],[Order_ID]],returns[#All],2,0)</f>
        <v>No</v>
      </c>
    </row>
    <row r="1465" spans="1:13" x14ac:dyDescent="0.3">
      <c r="A1465" s="1" t="s">
        <v>1771</v>
      </c>
      <c r="B1465" s="2">
        <v>44627</v>
      </c>
      <c r="C1465" s="1" t="s">
        <v>53</v>
      </c>
      <c r="D1465" s="1" t="s">
        <v>296</v>
      </c>
      <c r="E1465">
        <v>4</v>
      </c>
      <c r="F1465" s="4">
        <v>1944.29</v>
      </c>
      <c r="G1465" s="3">
        <v>0.1</v>
      </c>
      <c r="H1465" s="4">
        <v>159</v>
      </c>
      <c r="I1465" t="str">
        <f>VLOOKUP(orders__17[[#This Row],[Customer_ID]],customers__2[#All],3,0)</f>
        <v>West</v>
      </c>
      <c r="J1465" t="str">
        <f>VLOOKUP(orders__17[[#This Row],[Customer_ID]],customers__2[#All],4,0)</f>
        <v>Home Office</v>
      </c>
      <c r="K1465" t="str">
        <f>VLOOKUP(orders__17[[#This Row],[Product_ID]],products[#All],3,0)</f>
        <v>Technology</v>
      </c>
      <c r="L1465" s="1" t="str">
        <f>VLOOKUP(orders__17[[#This Row],[Product_ID]],products[#All],4,0)</f>
        <v>Accessories</v>
      </c>
      <c r="M1465" s="1" t="str">
        <f>VLOOKUP(orders__17[[#This Row],[Order_ID]],returns[#All],2,0)</f>
        <v>No</v>
      </c>
    </row>
    <row r="1466" spans="1:13" x14ac:dyDescent="0.3">
      <c r="A1466" s="1" t="s">
        <v>1772</v>
      </c>
      <c r="B1466" s="2">
        <v>45432</v>
      </c>
      <c r="C1466" s="1" t="s">
        <v>273</v>
      </c>
      <c r="D1466" s="1" t="s">
        <v>253</v>
      </c>
      <c r="E1466">
        <v>5</v>
      </c>
      <c r="F1466" s="4">
        <v>315.27999999999997</v>
      </c>
      <c r="G1466" s="3">
        <v>0</v>
      </c>
      <c r="H1466" s="4">
        <v>49.46</v>
      </c>
      <c r="I1466" t="str">
        <f>VLOOKUP(orders__17[[#This Row],[Customer_ID]],customers__2[#All],3,0)</f>
        <v>North</v>
      </c>
      <c r="J1466" t="str">
        <f>VLOOKUP(orders__17[[#This Row],[Customer_ID]],customers__2[#All],4,0)</f>
        <v>Corporate</v>
      </c>
      <c r="K1466" t="str">
        <f>VLOOKUP(orders__17[[#This Row],[Product_ID]],products[#All],3,0)</f>
        <v>Technology</v>
      </c>
      <c r="L1466" s="1" t="str">
        <f>VLOOKUP(orders__17[[#This Row],[Product_ID]],products[#All],4,0)</f>
        <v>Accessories</v>
      </c>
      <c r="M1466" s="1" t="str">
        <f>VLOOKUP(orders__17[[#This Row],[Order_ID]],returns[#All],2,0)</f>
        <v>Yes</v>
      </c>
    </row>
    <row r="1467" spans="1:13" x14ac:dyDescent="0.3">
      <c r="A1467" s="1" t="s">
        <v>1773</v>
      </c>
      <c r="B1467" s="2">
        <v>45337</v>
      </c>
      <c r="C1467" s="1" t="s">
        <v>729</v>
      </c>
      <c r="D1467" s="1" t="s">
        <v>364</v>
      </c>
      <c r="E1467">
        <v>3</v>
      </c>
      <c r="F1467" s="4">
        <v>866.84</v>
      </c>
      <c r="G1467" s="3">
        <v>0.2</v>
      </c>
      <c r="H1467" s="4">
        <v>78.2</v>
      </c>
      <c r="I1467" t="str">
        <f>VLOOKUP(orders__17[[#This Row],[Customer_ID]],customers__2[#All],3,0)</f>
        <v>North</v>
      </c>
      <c r="J1467" t="str">
        <f>VLOOKUP(orders__17[[#This Row],[Customer_ID]],customers__2[#All],4,0)</f>
        <v>Home Office</v>
      </c>
      <c r="K1467" t="str">
        <f>VLOOKUP(orders__17[[#This Row],[Product_ID]],products[#All],3,0)</f>
        <v>Technology</v>
      </c>
      <c r="L1467" s="1" t="str">
        <f>VLOOKUP(orders__17[[#This Row],[Product_ID]],products[#All],4,0)</f>
        <v>Accessories</v>
      </c>
      <c r="M1467" s="1" t="str">
        <f>VLOOKUP(orders__17[[#This Row],[Order_ID]],returns[#All],2,0)</f>
        <v>No</v>
      </c>
    </row>
    <row r="1468" spans="1:13" x14ac:dyDescent="0.3">
      <c r="A1468" s="1" t="s">
        <v>1774</v>
      </c>
      <c r="B1468" s="2">
        <v>45264</v>
      </c>
      <c r="C1468" s="1" t="s">
        <v>285</v>
      </c>
      <c r="D1468" s="1" t="s">
        <v>67</v>
      </c>
      <c r="E1468">
        <v>5</v>
      </c>
      <c r="F1468" s="4">
        <v>1501.98</v>
      </c>
      <c r="G1468" s="3">
        <v>0.2</v>
      </c>
      <c r="H1468" s="4">
        <v>338.08</v>
      </c>
      <c r="I1468" t="str">
        <f>VLOOKUP(orders__17[[#This Row],[Customer_ID]],customers__2[#All],3,0)</f>
        <v>South</v>
      </c>
      <c r="J1468" t="str">
        <f>VLOOKUP(orders__17[[#This Row],[Customer_ID]],customers__2[#All],4,0)</f>
        <v>Corporate</v>
      </c>
      <c r="K1468" t="str">
        <f>VLOOKUP(orders__17[[#This Row],[Product_ID]],products[#All],3,0)</f>
        <v>Furniture</v>
      </c>
      <c r="L1468" s="1" t="str">
        <f>VLOOKUP(orders__17[[#This Row],[Product_ID]],products[#All],4,0)</f>
        <v>Chair</v>
      </c>
      <c r="M1468" s="1" t="str">
        <f>VLOOKUP(orders__17[[#This Row],[Order_ID]],returns[#All],2,0)</f>
        <v>No</v>
      </c>
    </row>
    <row r="1469" spans="1:13" x14ac:dyDescent="0.3">
      <c r="A1469" s="1" t="s">
        <v>1775</v>
      </c>
      <c r="B1469" s="2">
        <v>44869</v>
      </c>
      <c r="C1469" s="1" t="s">
        <v>282</v>
      </c>
      <c r="D1469" s="1" t="s">
        <v>215</v>
      </c>
      <c r="E1469">
        <v>2</v>
      </c>
      <c r="F1469" s="4">
        <v>1438.65</v>
      </c>
      <c r="G1469" s="3">
        <v>0</v>
      </c>
      <c r="H1469" s="4">
        <v>344.87</v>
      </c>
      <c r="I1469" t="str">
        <f>VLOOKUP(orders__17[[#This Row],[Customer_ID]],customers__2[#All],3,0)</f>
        <v>South</v>
      </c>
      <c r="J1469" t="str">
        <f>VLOOKUP(orders__17[[#This Row],[Customer_ID]],customers__2[#All],4,0)</f>
        <v>Home Office</v>
      </c>
      <c r="K1469" t="str">
        <f>VLOOKUP(orders__17[[#This Row],[Product_ID]],products[#All],3,0)</f>
        <v>Furniture</v>
      </c>
      <c r="L1469" s="1" t="str">
        <f>VLOOKUP(orders__17[[#This Row],[Product_ID]],products[#All],4,0)</f>
        <v>Table</v>
      </c>
      <c r="M1469" s="1" t="str">
        <f>VLOOKUP(orders__17[[#This Row],[Order_ID]],returns[#All],2,0)</f>
        <v>Yes</v>
      </c>
    </row>
    <row r="1470" spans="1:13" x14ac:dyDescent="0.3">
      <c r="A1470" s="1" t="s">
        <v>1776</v>
      </c>
      <c r="B1470" s="2">
        <v>45033</v>
      </c>
      <c r="C1470" s="1" t="s">
        <v>316</v>
      </c>
      <c r="D1470" s="1" t="s">
        <v>143</v>
      </c>
      <c r="E1470">
        <v>1</v>
      </c>
      <c r="F1470" s="4">
        <v>903.18</v>
      </c>
      <c r="G1470" s="3">
        <v>0</v>
      </c>
      <c r="H1470" s="4">
        <v>69.05</v>
      </c>
      <c r="I1470" t="str">
        <f>VLOOKUP(orders__17[[#This Row],[Customer_ID]],customers__2[#All],3,0)</f>
        <v>South</v>
      </c>
      <c r="J1470" t="str">
        <f>VLOOKUP(orders__17[[#This Row],[Customer_ID]],customers__2[#All],4,0)</f>
        <v>Home Office</v>
      </c>
      <c r="K1470" t="str">
        <f>VLOOKUP(orders__17[[#This Row],[Product_ID]],products[#All],3,0)</f>
        <v>Furniture</v>
      </c>
      <c r="L1470" s="1" t="str">
        <f>VLOOKUP(orders__17[[#This Row],[Product_ID]],products[#All],4,0)</f>
        <v>Shelf</v>
      </c>
      <c r="M1470" s="1" t="str">
        <f>VLOOKUP(orders__17[[#This Row],[Order_ID]],returns[#All],2,0)</f>
        <v>No</v>
      </c>
    </row>
    <row r="1471" spans="1:13" x14ac:dyDescent="0.3">
      <c r="A1471" s="1" t="s">
        <v>1777</v>
      </c>
      <c r="B1471" s="2">
        <v>45296</v>
      </c>
      <c r="C1471" s="1" t="s">
        <v>391</v>
      </c>
      <c r="D1471" s="1" t="s">
        <v>679</v>
      </c>
      <c r="E1471">
        <v>3</v>
      </c>
      <c r="F1471" s="4">
        <v>758.4</v>
      </c>
      <c r="G1471" s="3">
        <v>0.2</v>
      </c>
      <c r="H1471" s="4">
        <v>133.88</v>
      </c>
      <c r="I1471" t="str">
        <f>VLOOKUP(orders__17[[#This Row],[Customer_ID]],customers__2[#All],3,0)</f>
        <v>West</v>
      </c>
      <c r="J1471" t="str">
        <f>VLOOKUP(orders__17[[#This Row],[Customer_ID]],customers__2[#All],4,0)</f>
        <v>Corporate</v>
      </c>
      <c r="K1471" t="str">
        <f>VLOOKUP(orders__17[[#This Row],[Product_ID]],products[#All],3,0)</f>
        <v>Office Supplies</v>
      </c>
      <c r="L1471" s="1" t="str">
        <f>VLOOKUP(orders__17[[#This Row],[Product_ID]],products[#All],4,0)</f>
        <v>Paper</v>
      </c>
      <c r="M1471" s="1" t="str">
        <f>VLOOKUP(orders__17[[#This Row],[Order_ID]],returns[#All],2,0)</f>
        <v>Yes</v>
      </c>
    </row>
    <row r="1472" spans="1:13" x14ac:dyDescent="0.3">
      <c r="A1472" s="1" t="s">
        <v>1778</v>
      </c>
      <c r="B1472" s="2">
        <v>45024</v>
      </c>
      <c r="C1472" s="1" t="s">
        <v>473</v>
      </c>
      <c r="D1472" s="1" t="s">
        <v>369</v>
      </c>
      <c r="E1472">
        <v>2</v>
      </c>
      <c r="F1472" s="4">
        <v>855.46</v>
      </c>
      <c r="G1472" s="3">
        <v>0.1</v>
      </c>
      <c r="H1472" s="4">
        <v>216.99</v>
      </c>
      <c r="I1472" t="str">
        <f>VLOOKUP(orders__17[[#This Row],[Customer_ID]],customers__2[#All],3,0)</f>
        <v>North</v>
      </c>
      <c r="J1472" t="str">
        <f>VLOOKUP(orders__17[[#This Row],[Customer_ID]],customers__2[#All],4,0)</f>
        <v>Corporate</v>
      </c>
      <c r="K1472" t="str">
        <f>VLOOKUP(orders__17[[#This Row],[Product_ID]],products[#All],3,0)</f>
        <v>Technology</v>
      </c>
      <c r="L1472" s="1" t="str">
        <f>VLOOKUP(orders__17[[#This Row],[Product_ID]],products[#All],4,0)</f>
        <v>Phone</v>
      </c>
      <c r="M1472" s="1" t="str">
        <f>VLOOKUP(orders__17[[#This Row],[Order_ID]],returns[#All],2,0)</f>
        <v>No</v>
      </c>
    </row>
    <row r="1473" spans="1:13" x14ac:dyDescent="0.3">
      <c r="A1473" s="1" t="s">
        <v>1779</v>
      </c>
      <c r="B1473" s="2">
        <v>44911</v>
      </c>
      <c r="C1473" s="1" t="s">
        <v>391</v>
      </c>
      <c r="D1473" s="1" t="s">
        <v>242</v>
      </c>
      <c r="E1473">
        <v>2</v>
      </c>
      <c r="F1473" s="4">
        <v>602.12</v>
      </c>
      <c r="G1473" s="3">
        <v>0.1</v>
      </c>
      <c r="H1473" s="4">
        <v>171.03</v>
      </c>
      <c r="I1473" t="str">
        <f>VLOOKUP(orders__17[[#This Row],[Customer_ID]],customers__2[#All],3,0)</f>
        <v>West</v>
      </c>
      <c r="J1473" t="str">
        <f>VLOOKUP(orders__17[[#This Row],[Customer_ID]],customers__2[#All],4,0)</f>
        <v>Corporate</v>
      </c>
      <c r="K1473" t="str">
        <f>VLOOKUP(orders__17[[#This Row],[Product_ID]],products[#All],3,0)</f>
        <v>Technology</v>
      </c>
      <c r="L1473" s="1" t="str">
        <f>VLOOKUP(orders__17[[#This Row],[Product_ID]],products[#All],4,0)</f>
        <v>Phone</v>
      </c>
      <c r="M1473" s="1" t="str">
        <f>VLOOKUP(orders__17[[#This Row],[Order_ID]],returns[#All],2,0)</f>
        <v>Yes</v>
      </c>
    </row>
    <row r="1474" spans="1:13" x14ac:dyDescent="0.3">
      <c r="A1474" s="1" t="s">
        <v>1780</v>
      </c>
      <c r="B1474" s="2">
        <v>44890</v>
      </c>
      <c r="C1474" s="1" t="s">
        <v>685</v>
      </c>
      <c r="D1474" s="1" t="s">
        <v>13</v>
      </c>
      <c r="E1474">
        <v>3</v>
      </c>
      <c r="F1474" s="4">
        <v>490.13</v>
      </c>
      <c r="G1474" s="3">
        <v>0.2</v>
      </c>
      <c r="H1474" s="4">
        <v>87.43</v>
      </c>
      <c r="I1474" t="str">
        <f>VLOOKUP(orders__17[[#This Row],[Customer_ID]],customers__2[#All],3,0)</f>
        <v>East</v>
      </c>
      <c r="J1474" t="str">
        <f>VLOOKUP(orders__17[[#This Row],[Customer_ID]],customers__2[#All],4,0)</f>
        <v>Home Office</v>
      </c>
      <c r="K1474" t="str">
        <f>VLOOKUP(orders__17[[#This Row],[Product_ID]],products[#All],3,0)</f>
        <v>Furniture</v>
      </c>
      <c r="L1474" s="1" t="str">
        <f>VLOOKUP(orders__17[[#This Row],[Product_ID]],products[#All],4,0)</f>
        <v>Desk</v>
      </c>
      <c r="M1474" s="1" t="str">
        <f>VLOOKUP(orders__17[[#This Row],[Order_ID]],returns[#All],2,0)</f>
        <v>Yes</v>
      </c>
    </row>
    <row r="1475" spans="1:13" x14ac:dyDescent="0.3">
      <c r="A1475" s="1" t="s">
        <v>1781</v>
      </c>
      <c r="B1475" s="2">
        <v>44679</v>
      </c>
      <c r="C1475" s="1" t="s">
        <v>88</v>
      </c>
      <c r="D1475" s="1" t="s">
        <v>83</v>
      </c>
      <c r="E1475">
        <v>5</v>
      </c>
      <c r="F1475" s="4">
        <v>1017.78</v>
      </c>
      <c r="G1475" s="3">
        <v>0.1</v>
      </c>
      <c r="H1475" s="4">
        <v>292.68</v>
      </c>
      <c r="I1475" t="str">
        <f>VLOOKUP(orders__17[[#This Row],[Customer_ID]],customers__2[#All],3,0)</f>
        <v>West</v>
      </c>
      <c r="J1475" t="str">
        <f>VLOOKUP(orders__17[[#This Row],[Customer_ID]],customers__2[#All],4,0)</f>
        <v>Corporate</v>
      </c>
      <c r="K1475" t="str">
        <f>VLOOKUP(orders__17[[#This Row],[Product_ID]],products[#All],3,0)</f>
        <v>Furniture</v>
      </c>
      <c r="L1475" s="1" t="str">
        <f>VLOOKUP(orders__17[[#This Row],[Product_ID]],products[#All],4,0)</f>
        <v>Table</v>
      </c>
      <c r="M1475" s="1" t="str">
        <f>VLOOKUP(orders__17[[#This Row],[Order_ID]],returns[#All],2,0)</f>
        <v>Yes</v>
      </c>
    </row>
    <row r="1476" spans="1:13" x14ac:dyDescent="0.3">
      <c r="A1476" s="1" t="s">
        <v>1782</v>
      </c>
      <c r="B1476" s="2">
        <v>44609</v>
      </c>
      <c r="C1476" s="1" t="s">
        <v>691</v>
      </c>
      <c r="D1476" s="1" t="s">
        <v>28</v>
      </c>
      <c r="E1476">
        <v>2</v>
      </c>
      <c r="F1476" s="4">
        <v>610.21</v>
      </c>
      <c r="G1476" s="3">
        <v>0</v>
      </c>
      <c r="H1476" s="4">
        <v>112.23</v>
      </c>
      <c r="I1476" t="str">
        <f>VLOOKUP(orders__17[[#This Row],[Customer_ID]],customers__2[#All],3,0)</f>
        <v>West</v>
      </c>
      <c r="J1476" t="str">
        <f>VLOOKUP(orders__17[[#This Row],[Customer_ID]],customers__2[#All],4,0)</f>
        <v>Corporate</v>
      </c>
      <c r="K1476" t="str">
        <f>VLOOKUP(orders__17[[#This Row],[Product_ID]],products[#All],3,0)</f>
        <v>Office Supplies</v>
      </c>
      <c r="L1476" s="1" t="str">
        <f>VLOOKUP(orders__17[[#This Row],[Product_ID]],products[#All],4,0)</f>
        <v>Storage</v>
      </c>
      <c r="M1476" s="1" t="str">
        <f>VLOOKUP(orders__17[[#This Row],[Order_ID]],returns[#All],2,0)</f>
        <v>No</v>
      </c>
    </row>
    <row r="1477" spans="1:13" x14ac:dyDescent="0.3">
      <c r="A1477" s="1" t="s">
        <v>1783</v>
      </c>
      <c r="B1477" s="2">
        <v>44643</v>
      </c>
      <c r="C1477" s="1" t="s">
        <v>33</v>
      </c>
      <c r="D1477" s="1" t="s">
        <v>107</v>
      </c>
      <c r="E1477">
        <v>4</v>
      </c>
      <c r="F1477" s="4">
        <v>646.17999999999995</v>
      </c>
      <c r="G1477" s="3">
        <v>0.1</v>
      </c>
      <c r="H1477" s="4">
        <v>95.99</v>
      </c>
      <c r="I1477" t="str">
        <f>VLOOKUP(orders__17[[#This Row],[Customer_ID]],customers__2[#All],3,0)</f>
        <v>East</v>
      </c>
      <c r="J1477" t="str">
        <f>VLOOKUP(orders__17[[#This Row],[Customer_ID]],customers__2[#All],4,0)</f>
        <v>Home Office</v>
      </c>
      <c r="K1477" t="str">
        <f>VLOOKUP(orders__17[[#This Row],[Product_ID]],products[#All],3,0)</f>
        <v>Office Supplies</v>
      </c>
      <c r="L1477" s="1" t="str">
        <f>VLOOKUP(orders__17[[#This Row],[Product_ID]],products[#All],4,0)</f>
        <v>Pen</v>
      </c>
      <c r="M1477" s="1" t="str">
        <f>VLOOKUP(orders__17[[#This Row],[Order_ID]],returns[#All],2,0)</f>
        <v>No</v>
      </c>
    </row>
    <row r="1478" spans="1:13" x14ac:dyDescent="0.3">
      <c r="A1478" s="1" t="s">
        <v>1784</v>
      </c>
      <c r="B1478" s="2">
        <v>44792</v>
      </c>
      <c r="C1478" s="1" t="s">
        <v>678</v>
      </c>
      <c r="D1478" s="1" t="s">
        <v>278</v>
      </c>
      <c r="E1478">
        <v>2</v>
      </c>
      <c r="F1478" s="4">
        <v>1347.84</v>
      </c>
      <c r="G1478" s="3">
        <v>0.1</v>
      </c>
      <c r="H1478" s="4">
        <v>353.2</v>
      </c>
      <c r="I1478" t="str">
        <f>VLOOKUP(orders__17[[#This Row],[Customer_ID]],customers__2[#All],3,0)</f>
        <v>West</v>
      </c>
      <c r="J1478" t="str">
        <f>VLOOKUP(orders__17[[#This Row],[Customer_ID]],customers__2[#All],4,0)</f>
        <v>Consumer</v>
      </c>
      <c r="K1478" t="str">
        <f>VLOOKUP(orders__17[[#This Row],[Product_ID]],products[#All],3,0)</f>
        <v>Office Supplies</v>
      </c>
      <c r="L1478" s="1" t="str">
        <f>VLOOKUP(orders__17[[#This Row],[Product_ID]],products[#All],4,0)</f>
        <v>Pen</v>
      </c>
      <c r="M1478" s="1" t="str">
        <f>VLOOKUP(orders__17[[#This Row],[Order_ID]],returns[#All],2,0)</f>
        <v>No</v>
      </c>
    </row>
    <row r="1479" spans="1:13" x14ac:dyDescent="0.3">
      <c r="A1479" s="1" t="s">
        <v>1785</v>
      </c>
      <c r="B1479" s="2">
        <v>45372</v>
      </c>
      <c r="C1479" s="1" t="s">
        <v>739</v>
      </c>
      <c r="D1479" s="1" t="s">
        <v>188</v>
      </c>
      <c r="E1479">
        <v>5</v>
      </c>
      <c r="F1479" s="4">
        <v>1940.22</v>
      </c>
      <c r="G1479" s="3">
        <v>0.3</v>
      </c>
      <c r="H1479" s="4">
        <v>336.13</v>
      </c>
      <c r="I1479" t="str">
        <f>VLOOKUP(orders__17[[#This Row],[Customer_ID]],customers__2[#All],3,0)</f>
        <v>North</v>
      </c>
      <c r="J1479" t="str">
        <f>VLOOKUP(orders__17[[#This Row],[Customer_ID]],customers__2[#All],4,0)</f>
        <v>Consumer</v>
      </c>
      <c r="K1479" t="str">
        <f>VLOOKUP(orders__17[[#This Row],[Product_ID]],products[#All],3,0)</f>
        <v>Technology</v>
      </c>
      <c r="L1479" s="1" t="str">
        <f>VLOOKUP(orders__17[[#This Row],[Product_ID]],products[#All],4,0)</f>
        <v>Laptop</v>
      </c>
      <c r="M1479" s="1" t="str">
        <f>VLOOKUP(orders__17[[#This Row],[Order_ID]],returns[#All],2,0)</f>
        <v>No</v>
      </c>
    </row>
    <row r="1480" spans="1:13" x14ac:dyDescent="0.3">
      <c r="A1480" s="1" t="s">
        <v>1786</v>
      </c>
      <c r="B1480" s="2">
        <v>44949</v>
      </c>
      <c r="C1480" s="1" t="s">
        <v>27</v>
      </c>
      <c r="D1480" s="1" t="s">
        <v>585</v>
      </c>
      <c r="E1480">
        <v>5</v>
      </c>
      <c r="F1480" s="4">
        <v>1246.9100000000001</v>
      </c>
      <c r="G1480" s="3">
        <v>0.3</v>
      </c>
      <c r="H1480" s="4">
        <v>209.45</v>
      </c>
      <c r="I1480" t="str">
        <f>VLOOKUP(orders__17[[#This Row],[Customer_ID]],customers__2[#All],3,0)</f>
        <v>North</v>
      </c>
      <c r="J1480" t="str">
        <f>VLOOKUP(orders__17[[#This Row],[Customer_ID]],customers__2[#All],4,0)</f>
        <v>Consumer</v>
      </c>
      <c r="K1480" t="str">
        <f>VLOOKUP(orders__17[[#This Row],[Product_ID]],products[#All],3,0)</f>
        <v>Office Supplies</v>
      </c>
      <c r="L1480" s="1" t="str">
        <f>VLOOKUP(orders__17[[#This Row],[Product_ID]],products[#All],4,0)</f>
        <v>Storage</v>
      </c>
      <c r="M1480" s="1" t="str">
        <f>VLOOKUP(orders__17[[#This Row],[Order_ID]],returns[#All],2,0)</f>
        <v>No</v>
      </c>
    </row>
    <row r="1481" spans="1:13" x14ac:dyDescent="0.3">
      <c r="A1481" s="1" t="s">
        <v>1787</v>
      </c>
      <c r="B1481" s="2">
        <v>44965</v>
      </c>
      <c r="C1481" s="1" t="s">
        <v>220</v>
      </c>
      <c r="D1481" s="1" t="s">
        <v>64</v>
      </c>
      <c r="E1481">
        <v>4</v>
      </c>
      <c r="F1481" s="4">
        <v>246.26</v>
      </c>
      <c r="G1481" s="3">
        <v>0.3</v>
      </c>
      <c r="H1481" s="4">
        <v>42.5</v>
      </c>
      <c r="I1481" t="str">
        <f>VLOOKUP(orders__17[[#This Row],[Customer_ID]],customers__2[#All],3,0)</f>
        <v>West</v>
      </c>
      <c r="J1481" t="str">
        <f>VLOOKUP(orders__17[[#This Row],[Customer_ID]],customers__2[#All],4,0)</f>
        <v>Corporate</v>
      </c>
      <c r="K1481" t="str">
        <f>VLOOKUP(orders__17[[#This Row],[Product_ID]],products[#All],3,0)</f>
        <v>Office Supplies</v>
      </c>
      <c r="L1481" s="1" t="str">
        <f>VLOOKUP(orders__17[[#This Row],[Product_ID]],products[#All],4,0)</f>
        <v>Storage</v>
      </c>
      <c r="M1481" s="1" t="str">
        <f>VLOOKUP(orders__17[[#This Row],[Order_ID]],returns[#All],2,0)</f>
        <v>No</v>
      </c>
    </row>
    <row r="1482" spans="1:13" x14ac:dyDescent="0.3">
      <c r="A1482" s="1" t="s">
        <v>1788</v>
      </c>
      <c r="B1482" s="2">
        <v>44830</v>
      </c>
      <c r="C1482" s="1" t="s">
        <v>106</v>
      </c>
      <c r="D1482" s="1" t="s">
        <v>585</v>
      </c>
      <c r="E1482">
        <v>2</v>
      </c>
      <c r="F1482" s="4">
        <v>243.61</v>
      </c>
      <c r="G1482" s="3">
        <v>0.1</v>
      </c>
      <c r="H1482" s="4">
        <v>63.75</v>
      </c>
      <c r="I1482" t="str">
        <f>VLOOKUP(orders__17[[#This Row],[Customer_ID]],customers__2[#All],3,0)</f>
        <v>South</v>
      </c>
      <c r="J1482" t="str">
        <f>VLOOKUP(orders__17[[#This Row],[Customer_ID]],customers__2[#All],4,0)</f>
        <v>Consumer</v>
      </c>
      <c r="K1482" t="str">
        <f>VLOOKUP(orders__17[[#This Row],[Product_ID]],products[#All],3,0)</f>
        <v>Office Supplies</v>
      </c>
      <c r="L1482" s="1" t="str">
        <f>VLOOKUP(orders__17[[#This Row],[Product_ID]],products[#All],4,0)</f>
        <v>Storage</v>
      </c>
      <c r="M1482" s="1" t="str">
        <f>VLOOKUP(orders__17[[#This Row],[Order_ID]],returns[#All],2,0)</f>
        <v>No</v>
      </c>
    </row>
    <row r="1483" spans="1:13" x14ac:dyDescent="0.3">
      <c r="A1483" s="1" t="s">
        <v>1789</v>
      </c>
      <c r="B1483" s="2">
        <v>44761</v>
      </c>
      <c r="C1483" s="1" t="s">
        <v>739</v>
      </c>
      <c r="D1483" s="1" t="s">
        <v>727</v>
      </c>
      <c r="E1483">
        <v>5</v>
      </c>
      <c r="F1483" s="4">
        <v>1907.7</v>
      </c>
      <c r="G1483" s="3">
        <v>0.2</v>
      </c>
      <c r="H1483" s="4">
        <v>492.16</v>
      </c>
      <c r="I1483" t="str">
        <f>VLOOKUP(orders__17[[#This Row],[Customer_ID]],customers__2[#All],3,0)</f>
        <v>North</v>
      </c>
      <c r="J1483" t="str">
        <f>VLOOKUP(orders__17[[#This Row],[Customer_ID]],customers__2[#All],4,0)</f>
        <v>Consumer</v>
      </c>
      <c r="K1483" t="str">
        <f>VLOOKUP(orders__17[[#This Row],[Product_ID]],products[#All],3,0)</f>
        <v>Furniture</v>
      </c>
      <c r="L1483" s="1" t="str">
        <f>VLOOKUP(orders__17[[#This Row],[Product_ID]],products[#All],4,0)</f>
        <v>Chair</v>
      </c>
      <c r="M1483" s="1" t="str">
        <f>VLOOKUP(orders__17[[#This Row],[Order_ID]],returns[#All],2,0)</f>
        <v>No</v>
      </c>
    </row>
    <row r="1484" spans="1:13" x14ac:dyDescent="0.3">
      <c r="A1484" s="1" t="s">
        <v>1790</v>
      </c>
      <c r="B1484" s="2">
        <v>44945</v>
      </c>
      <c r="C1484" s="1" t="s">
        <v>466</v>
      </c>
      <c r="D1484" s="1" t="s">
        <v>364</v>
      </c>
      <c r="E1484">
        <v>3</v>
      </c>
      <c r="F1484" s="4">
        <v>664.85</v>
      </c>
      <c r="G1484" s="3">
        <v>0</v>
      </c>
      <c r="H1484" s="4">
        <v>100.31</v>
      </c>
      <c r="I1484" t="str">
        <f>VLOOKUP(orders__17[[#This Row],[Customer_ID]],customers__2[#All],3,0)</f>
        <v>South</v>
      </c>
      <c r="J1484" t="str">
        <f>VLOOKUP(orders__17[[#This Row],[Customer_ID]],customers__2[#All],4,0)</f>
        <v>Home Office</v>
      </c>
      <c r="K1484" t="str">
        <f>VLOOKUP(orders__17[[#This Row],[Product_ID]],products[#All],3,0)</f>
        <v>Technology</v>
      </c>
      <c r="L1484" s="1" t="str">
        <f>VLOOKUP(orders__17[[#This Row],[Product_ID]],products[#All],4,0)</f>
        <v>Accessories</v>
      </c>
      <c r="M1484" s="1" t="str">
        <f>VLOOKUP(orders__17[[#This Row],[Order_ID]],returns[#All],2,0)</f>
        <v>No</v>
      </c>
    </row>
    <row r="1485" spans="1:13" x14ac:dyDescent="0.3">
      <c r="A1485" s="1" t="s">
        <v>1791</v>
      </c>
      <c r="B1485" s="2">
        <v>45180</v>
      </c>
      <c r="C1485" s="1" t="s">
        <v>124</v>
      </c>
      <c r="D1485" s="1" t="s">
        <v>177</v>
      </c>
      <c r="E1485">
        <v>1</v>
      </c>
      <c r="F1485" s="4">
        <v>274.93</v>
      </c>
      <c r="G1485" s="3">
        <v>0.1</v>
      </c>
      <c r="H1485" s="4">
        <v>36.659999999999997</v>
      </c>
      <c r="I1485" t="str">
        <f>VLOOKUP(orders__17[[#This Row],[Customer_ID]],customers__2[#All],3,0)</f>
        <v>North</v>
      </c>
      <c r="J1485" t="str">
        <f>VLOOKUP(orders__17[[#This Row],[Customer_ID]],customers__2[#All],4,0)</f>
        <v>Consumer</v>
      </c>
      <c r="K1485" t="str">
        <f>VLOOKUP(orders__17[[#This Row],[Product_ID]],products[#All],3,0)</f>
        <v>Furniture</v>
      </c>
      <c r="L1485" s="1" t="str">
        <f>VLOOKUP(orders__17[[#This Row],[Product_ID]],products[#All],4,0)</f>
        <v>Table</v>
      </c>
      <c r="M1485" s="1" t="str">
        <f>VLOOKUP(orders__17[[#This Row],[Order_ID]],returns[#All],2,0)</f>
        <v>No</v>
      </c>
    </row>
    <row r="1486" spans="1:13" x14ac:dyDescent="0.3">
      <c r="A1486" s="1" t="s">
        <v>1792</v>
      </c>
      <c r="B1486" s="2">
        <v>44845</v>
      </c>
      <c r="C1486" s="1" t="s">
        <v>1056</v>
      </c>
      <c r="D1486" s="1" t="s">
        <v>400</v>
      </c>
      <c r="E1486">
        <v>1</v>
      </c>
      <c r="F1486" s="4">
        <v>1238.18</v>
      </c>
      <c r="G1486" s="3">
        <v>0.2</v>
      </c>
      <c r="H1486" s="4">
        <v>214.18</v>
      </c>
      <c r="I1486" t="str">
        <f>VLOOKUP(orders__17[[#This Row],[Customer_ID]],customers__2[#All],3,0)</f>
        <v>North</v>
      </c>
      <c r="J1486" t="str">
        <f>VLOOKUP(orders__17[[#This Row],[Customer_ID]],customers__2[#All],4,0)</f>
        <v>Corporate</v>
      </c>
      <c r="K1486" t="str">
        <f>VLOOKUP(orders__17[[#This Row],[Product_ID]],products[#All],3,0)</f>
        <v>Office Supplies</v>
      </c>
      <c r="L1486" s="1" t="str">
        <f>VLOOKUP(orders__17[[#This Row],[Product_ID]],products[#All],4,0)</f>
        <v>Paper</v>
      </c>
      <c r="M1486" s="1" t="str">
        <f>VLOOKUP(orders__17[[#This Row],[Order_ID]],returns[#All],2,0)</f>
        <v>No</v>
      </c>
    </row>
    <row r="1487" spans="1:13" x14ac:dyDescent="0.3">
      <c r="A1487" s="1" t="s">
        <v>1793</v>
      </c>
      <c r="B1487" s="2">
        <v>45036</v>
      </c>
      <c r="C1487" s="1" t="s">
        <v>685</v>
      </c>
      <c r="D1487" s="1" t="s">
        <v>226</v>
      </c>
      <c r="E1487">
        <v>1</v>
      </c>
      <c r="F1487" s="4">
        <v>1284.93</v>
      </c>
      <c r="G1487" s="3">
        <v>0.1</v>
      </c>
      <c r="H1487" s="4">
        <v>248.24</v>
      </c>
      <c r="I1487" t="str">
        <f>VLOOKUP(orders__17[[#This Row],[Customer_ID]],customers__2[#All],3,0)</f>
        <v>East</v>
      </c>
      <c r="J1487" t="str">
        <f>VLOOKUP(orders__17[[#This Row],[Customer_ID]],customers__2[#All],4,0)</f>
        <v>Home Office</v>
      </c>
      <c r="K1487" t="str">
        <f>VLOOKUP(orders__17[[#This Row],[Product_ID]],products[#All],3,0)</f>
        <v>Technology</v>
      </c>
      <c r="L1487" s="1" t="str">
        <f>VLOOKUP(orders__17[[#This Row],[Product_ID]],products[#All],4,0)</f>
        <v>Laptop</v>
      </c>
      <c r="M1487" s="1" t="str">
        <f>VLOOKUP(orders__17[[#This Row],[Order_ID]],returns[#All],2,0)</f>
        <v>Yes</v>
      </c>
    </row>
    <row r="1488" spans="1:13" x14ac:dyDescent="0.3">
      <c r="A1488" s="1" t="s">
        <v>1794</v>
      </c>
      <c r="B1488" s="2">
        <v>44605</v>
      </c>
      <c r="C1488" s="1" t="s">
        <v>102</v>
      </c>
      <c r="D1488" s="1" t="s">
        <v>75</v>
      </c>
      <c r="E1488">
        <v>2</v>
      </c>
      <c r="F1488" s="4">
        <v>1332.16</v>
      </c>
      <c r="G1488" s="3">
        <v>0</v>
      </c>
      <c r="H1488" s="4">
        <v>145.97999999999999</v>
      </c>
      <c r="I1488" t="str">
        <f>VLOOKUP(orders__17[[#This Row],[Customer_ID]],customers__2[#All],3,0)</f>
        <v>West</v>
      </c>
      <c r="J1488" t="str">
        <f>VLOOKUP(orders__17[[#This Row],[Customer_ID]],customers__2[#All],4,0)</f>
        <v>Corporate</v>
      </c>
      <c r="K1488" t="str">
        <f>VLOOKUP(orders__17[[#This Row],[Product_ID]],products[#All],3,0)</f>
        <v>Technology</v>
      </c>
      <c r="L1488" s="1" t="str">
        <f>VLOOKUP(orders__17[[#This Row],[Product_ID]],products[#All],4,0)</f>
        <v>Tablet</v>
      </c>
      <c r="M1488" s="1" t="str">
        <f>VLOOKUP(orders__17[[#This Row],[Order_ID]],returns[#All],2,0)</f>
        <v>No</v>
      </c>
    </row>
    <row r="1489" spans="1:13" x14ac:dyDescent="0.3">
      <c r="A1489" s="1" t="s">
        <v>1795</v>
      </c>
      <c r="B1489" s="2">
        <v>44840</v>
      </c>
      <c r="C1489" s="1" t="s">
        <v>42</v>
      </c>
      <c r="D1489" s="1" t="s">
        <v>278</v>
      </c>
      <c r="E1489">
        <v>4</v>
      </c>
      <c r="F1489" s="4">
        <v>608.05999999999995</v>
      </c>
      <c r="G1489" s="3">
        <v>0.1</v>
      </c>
      <c r="H1489" s="4">
        <v>151.1</v>
      </c>
      <c r="I1489" t="str">
        <f>VLOOKUP(orders__17[[#This Row],[Customer_ID]],customers__2[#All],3,0)</f>
        <v>North</v>
      </c>
      <c r="J1489" t="str">
        <f>VLOOKUP(orders__17[[#This Row],[Customer_ID]],customers__2[#All],4,0)</f>
        <v>Corporate</v>
      </c>
      <c r="K1489" t="str">
        <f>VLOOKUP(orders__17[[#This Row],[Product_ID]],products[#All],3,0)</f>
        <v>Office Supplies</v>
      </c>
      <c r="L1489" s="1" t="str">
        <f>VLOOKUP(orders__17[[#This Row],[Product_ID]],products[#All],4,0)</f>
        <v>Pen</v>
      </c>
      <c r="M1489" s="1" t="str">
        <f>VLOOKUP(orders__17[[#This Row],[Order_ID]],returns[#All],2,0)</f>
        <v>Yes</v>
      </c>
    </row>
    <row r="1490" spans="1:13" x14ac:dyDescent="0.3">
      <c r="A1490" s="1" t="s">
        <v>1796</v>
      </c>
      <c r="B1490" s="2">
        <v>44778</v>
      </c>
      <c r="C1490" s="1" t="s">
        <v>129</v>
      </c>
      <c r="D1490" s="1" t="s">
        <v>269</v>
      </c>
      <c r="E1490">
        <v>5</v>
      </c>
      <c r="F1490" s="4">
        <v>128.71</v>
      </c>
      <c r="G1490" s="3">
        <v>0</v>
      </c>
      <c r="H1490" s="4">
        <v>22.09</v>
      </c>
      <c r="I1490" t="str">
        <f>VLOOKUP(orders__17[[#This Row],[Customer_ID]],customers__2[#All],3,0)</f>
        <v>South</v>
      </c>
      <c r="J1490" t="str">
        <f>VLOOKUP(orders__17[[#This Row],[Customer_ID]],customers__2[#All],4,0)</f>
        <v>Corporate</v>
      </c>
      <c r="K1490" t="str">
        <f>VLOOKUP(orders__17[[#This Row],[Product_ID]],products[#All],3,0)</f>
        <v>Office Supplies</v>
      </c>
      <c r="L1490" s="1" t="str">
        <f>VLOOKUP(orders__17[[#This Row],[Product_ID]],products[#All],4,0)</f>
        <v>Pen</v>
      </c>
      <c r="M1490" s="1" t="str">
        <f>VLOOKUP(orders__17[[#This Row],[Order_ID]],returns[#All],2,0)</f>
        <v>No</v>
      </c>
    </row>
    <row r="1491" spans="1:13" x14ac:dyDescent="0.3">
      <c r="A1491" s="1" t="s">
        <v>1797</v>
      </c>
      <c r="B1491" s="2">
        <v>44846</v>
      </c>
      <c r="C1491" s="1" t="s">
        <v>444</v>
      </c>
      <c r="D1491" s="1" t="s">
        <v>75</v>
      </c>
      <c r="E1491">
        <v>3</v>
      </c>
      <c r="F1491" s="4">
        <v>1933.53</v>
      </c>
      <c r="G1491" s="3">
        <v>0.1</v>
      </c>
      <c r="H1491" s="4">
        <v>258.14999999999998</v>
      </c>
      <c r="I1491" t="str">
        <f>VLOOKUP(orders__17[[#This Row],[Customer_ID]],customers__2[#All],3,0)</f>
        <v>North</v>
      </c>
      <c r="J1491" t="str">
        <f>VLOOKUP(orders__17[[#This Row],[Customer_ID]],customers__2[#All],4,0)</f>
        <v>Corporate</v>
      </c>
      <c r="K1491" t="str">
        <f>VLOOKUP(orders__17[[#This Row],[Product_ID]],products[#All],3,0)</f>
        <v>Technology</v>
      </c>
      <c r="L1491" s="1" t="str">
        <f>VLOOKUP(orders__17[[#This Row],[Product_ID]],products[#All],4,0)</f>
        <v>Tablet</v>
      </c>
      <c r="M1491" s="1" t="str">
        <f>VLOOKUP(orders__17[[#This Row],[Order_ID]],returns[#All],2,0)</f>
        <v>No</v>
      </c>
    </row>
    <row r="1492" spans="1:13" x14ac:dyDescent="0.3">
      <c r="A1492" s="1" t="s">
        <v>1798</v>
      </c>
      <c r="B1492" s="2">
        <v>45153</v>
      </c>
      <c r="C1492" s="1" t="s">
        <v>184</v>
      </c>
      <c r="D1492" s="1" t="s">
        <v>239</v>
      </c>
      <c r="E1492">
        <v>3</v>
      </c>
      <c r="F1492" s="4">
        <v>576.70000000000005</v>
      </c>
      <c r="G1492" s="3">
        <v>0</v>
      </c>
      <c r="H1492" s="4">
        <v>44.24</v>
      </c>
      <c r="I1492" t="str">
        <f>VLOOKUP(orders__17[[#This Row],[Customer_ID]],customers__2[#All],3,0)</f>
        <v>East</v>
      </c>
      <c r="J1492" t="str">
        <f>VLOOKUP(orders__17[[#This Row],[Customer_ID]],customers__2[#All],4,0)</f>
        <v>Consumer</v>
      </c>
      <c r="K1492" t="str">
        <f>VLOOKUP(orders__17[[#This Row],[Product_ID]],products[#All],3,0)</f>
        <v>Furniture</v>
      </c>
      <c r="L1492" s="1" t="str">
        <f>VLOOKUP(orders__17[[#This Row],[Product_ID]],products[#All],4,0)</f>
        <v>Shelf</v>
      </c>
      <c r="M1492" s="1" t="str">
        <f>VLOOKUP(orders__17[[#This Row],[Order_ID]],returns[#All],2,0)</f>
        <v>No</v>
      </c>
    </row>
    <row r="1493" spans="1:13" x14ac:dyDescent="0.3">
      <c r="A1493" s="1" t="s">
        <v>1799</v>
      </c>
      <c r="B1493" s="2">
        <v>45070</v>
      </c>
      <c r="C1493" s="1" t="s">
        <v>380</v>
      </c>
      <c r="D1493" s="1" t="s">
        <v>215</v>
      </c>
      <c r="E1493">
        <v>2</v>
      </c>
      <c r="F1493" s="4">
        <v>1384.45</v>
      </c>
      <c r="G1493" s="3">
        <v>0.1</v>
      </c>
      <c r="H1493" s="4">
        <v>151.88999999999999</v>
      </c>
      <c r="I1493" t="str">
        <f>VLOOKUP(orders__17[[#This Row],[Customer_ID]],customers__2[#All],3,0)</f>
        <v>South</v>
      </c>
      <c r="J1493" t="str">
        <f>VLOOKUP(orders__17[[#This Row],[Customer_ID]],customers__2[#All],4,0)</f>
        <v>Home Office</v>
      </c>
      <c r="K1493" t="str">
        <f>VLOOKUP(orders__17[[#This Row],[Product_ID]],products[#All],3,0)</f>
        <v>Furniture</v>
      </c>
      <c r="L1493" s="1" t="str">
        <f>VLOOKUP(orders__17[[#This Row],[Product_ID]],products[#All],4,0)</f>
        <v>Table</v>
      </c>
      <c r="M1493" s="1" t="str">
        <f>VLOOKUP(orders__17[[#This Row],[Order_ID]],returns[#All],2,0)</f>
        <v>No</v>
      </c>
    </row>
    <row r="1494" spans="1:13" x14ac:dyDescent="0.3">
      <c r="A1494" s="1" t="s">
        <v>1800</v>
      </c>
      <c r="B1494" s="2">
        <v>45395</v>
      </c>
      <c r="C1494" s="1" t="s">
        <v>751</v>
      </c>
      <c r="D1494" s="1" t="s">
        <v>188</v>
      </c>
      <c r="E1494">
        <v>1</v>
      </c>
      <c r="F1494" s="4">
        <v>1442.6</v>
      </c>
      <c r="G1494" s="3">
        <v>0</v>
      </c>
      <c r="H1494" s="4">
        <v>414.49</v>
      </c>
      <c r="I1494" t="str">
        <f>VLOOKUP(orders__17[[#This Row],[Customer_ID]],customers__2[#All],3,0)</f>
        <v>North</v>
      </c>
      <c r="J1494" t="str">
        <f>VLOOKUP(orders__17[[#This Row],[Customer_ID]],customers__2[#All],4,0)</f>
        <v>Corporate</v>
      </c>
      <c r="K1494" t="str">
        <f>VLOOKUP(orders__17[[#This Row],[Product_ID]],products[#All],3,0)</f>
        <v>Technology</v>
      </c>
      <c r="L1494" s="1" t="str">
        <f>VLOOKUP(orders__17[[#This Row],[Product_ID]],products[#All],4,0)</f>
        <v>Laptop</v>
      </c>
      <c r="M1494" s="1" t="str">
        <f>VLOOKUP(orders__17[[#This Row],[Order_ID]],returns[#All],2,0)</f>
        <v>No</v>
      </c>
    </row>
    <row r="1495" spans="1:13" x14ac:dyDescent="0.3">
      <c r="A1495" s="1" t="s">
        <v>1801</v>
      </c>
      <c r="B1495" s="2">
        <v>45041</v>
      </c>
      <c r="C1495" s="1" t="s">
        <v>252</v>
      </c>
      <c r="D1495" s="1" t="s">
        <v>221</v>
      </c>
      <c r="E1495">
        <v>2</v>
      </c>
      <c r="F1495" s="4">
        <v>1259.01</v>
      </c>
      <c r="G1495" s="3">
        <v>0.3</v>
      </c>
      <c r="H1495" s="4">
        <v>158.97999999999999</v>
      </c>
      <c r="I1495" t="str">
        <f>VLOOKUP(orders__17[[#This Row],[Customer_ID]],customers__2[#All],3,0)</f>
        <v>North</v>
      </c>
      <c r="J1495" t="str">
        <f>VLOOKUP(orders__17[[#This Row],[Customer_ID]],customers__2[#All],4,0)</f>
        <v>Home Office</v>
      </c>
      <c r="K1495" t="str">
        <f>VLOOKUP(orders__17[[#This Row],[Product_ID]],products[#All],3,0)</f>
        <v>Technology</v>
      </c>
      <c r="L1495" s="1" t="str">
        <f>VLOOKUP(orders__17[[#This Row],[Product_ID]],products[#All],4,0)</f>
        <v>Laptop</v>
      </c>
      <c r="M1495" s="1" t="str">
        <f>VLOOKUP(orders__17[[#This Row],[Order_ID]],returns[#All],2,0)</f>
        <v>No</v>
      </c>
    </row>
    <row r="1496" spans="1:13" x14ac:dyDescent="0.3">
      <c r="A1496" s="1" t="s">
        <v>1802</v>
      </c>
      <c r="B1496" s="2">
        <v>45143</v>
      </c>
      <c r="C1496" s="1" t="s">
        <v>436</v>
      </c>
      <c r="D1496" s="1" t="s">
        <v>249</v>
      </c>
      <c r="E1496">
        <v>4</v>
      </c>
      <c r="F1496" s="4">
        <v>694.52</v>
      </c>
      <c r="G1496" s="3">
        <v>0.1</v>
      </c>
      <c r="H1496" s="4">
        <v>64.05</v>
      </c>
      <c r="I1496" t="str">
        <f>VLOOKUP(orders__17[[#This Row],[Customer_ID]],customers__2[#All],3,0)</f>
        <v>East</v>
      </c>
      <c r="J1496" t="str">
        <f>VLOOKUP(orders__17[[#This Row],[Customer_ID]],customers__2[#All],4,0)</f>
        <v>Consumer</v>
      </c>
      <c r="K1496" t="str">
        <f>VLOOKUP(orders__17[[#This Row],[Product_ID]],products[#All],3,0)</f>
        <v>Office Supplies</v>
      </c>
      <c r="L1496" s="1" t="str">
        <f>VLOOKUP(orders__17[[#This Row],[Product_ID]],products[#All],4,0)</f>
        <v>Paper</v>
      </c>
      <c r="M1496" s="1" t="str">
        <f>VLOOKUP(orders__17[[#This Row],[Order_ID]],returns[#All],2,0)</f>
        <v>No</v>
      </c>
    </row>
    <row r="1497" spans="1:13" x14ac:dyDescent="0.3">
      <c r="A1497" s="1" t="s">
        <v>1803</v>
      </c>
      <c r="B1497" s="2">
        <v>44849</v>
      </c>
      <c r="C1497" s="1" t="s">
        <v>729</v>
      </c>
      <c r="D1497" s="1" t="s">
        <v>54</v>
      </c>
      <c r="E1497">
        <v>4</v>
      </c>
      <c r="F1497" s="4">
        <v>615.08000000000004</v>
      </c>
      <c r="G1497" s="3">
        <v>0.1</v>
      </c>
      <c r="H1497" s="4">
        <v>101.59</v>
      </c>
      <c r="I1497" t="str">
        <f>VLOOKUP(orders__17[[#This Row],[Customer_ID]],customers__2[#All],3,0)</f>
        <v>North</v>
      </c>
      <c r="J1497" t="str">
        <f>VLOOKUP(orders__17[[#This Row],[Customer_ID]],customers__2[#All],4,0)</f>
        <v>Home Office</v>
      </c>
      <c r="K1497" t="str">
        <f>VLOOKUP(orders__17[[#This Row],[Product_ID]],products[#All],3,0)</f>
        <v>Office Supplies</v>
      </c>
      <c r="L1497" s="1" t="str">
        <f>VLOOKUP(orders__17[[#This Row],[Product_ID]],products[#All],4,0)</f>
        <v>Binder</v>
      </c>
      <c r="M1497" s="1" t="str">
        <f>VLOOKUP(orders__17[[#This Row],[Order_ID]],returns[#All],2,0)</f>
        <v>No</v>
      </c>
    </row>
    <row r="1498" spans="1:13" x14ac:dyDescent="0.3">
      <c r="A1498" s="1" t="s">
        <v>1804</v>
      </c>
      <c r="B1498" s="2">
        <v>45347</v>
      </c>
      <c r="C1498" s="1" t="s">
        <v>1143</v>
      </c>
      <c r="D1498" s="1" t="s">
        <v>141</v>
      </c>
      <c r="E1498">
        <v>5</v>
      </c>
      <c r="F1498" s="4">
        <v>1235.57</v>
      </c>
      <c r="G1498" s="3">
        <v>0.2</v>
      </c>
      <c r="H1498" s="4">
        <v>156.63999999999999</v>
      </c>
      <c r="I1498" t="str">
        <f>VLOOKUP(orders__17[[#This Row],[Customer_ID]],customers__2[#All],3,0)</f>
        <v>West</v>
      </c>
      <c r="J1498" t="str">
        <f>VLOOKUP(orders__17[[#This Row],[Customer_ID]],customers__2[#All],4,0)</f>
        <v>Corporate</v>
      </c>
      <c r="K1498" t="str">
        <f>VLOOKUP(orders__17[[#This Row],[Product_ID]],products[#All],3,0)</f>
        <v>Technology</v>
      </c>
      <c r="L1498" s="1" t="str">
        <f>VLOOKUP(orders__17[[#This Row],[Product_ID]],products[#All],4,0)</f>
        <v>Phone</v>
      </c>
      <c r="M1498" s="1" t="str">
        <f>VLOOKUP(orders__17[[#This Row],[Order_ID]],returns[#All],2,0)</f>
        <v>No</v>
      </c>
    </row>
    <row r="1499" spans="1:13" x14ac:dyDescent="0.3">
      <c r="A1499" s="1" t="s">
        <v>1805</v>
      </c>
      <c r="B1499" s="2">
        <v>45130</v>
      </c>
      <c r="C1499" s="1" t="s">
        <v>82</v>
      </c>
      <c r="D1499" s="1" t="s">
        <v>43</v>
      </c>
      <c r="E1499">
        <v>5</v>
      </c>
      <c r="F1499" s="4">
        <v>1745.58</v>
      </c>
      <c r="G1499" s="3">
        <v>0.2</v>
      </c>
      <c r="H1499" s="4">
        <v>102.62</v>
      </c>
      <c r="I1499" t="str">
        <f>VLOOKUP(orders__17[[#This Row],[Customer_ID]],customers__2[#All],3,0)</f>
        <v>East</v>
      </c>
      <c r="J1499" t="str">
        <f>VLOOKUP(orders__17[[#This Row],[Customer_ID]],customers__2[#All],4,0)</f>
        <v>Corporate</v>
      </c>
      <c r="K1499" t="str">
        <f>VLOOKUP(orders__17[[#This Row],[Product_ID]],products[#All],3,0)</f>
        <v>Technology</v>
      </c>
      <c r="L1499" s="1" t="str">
        <f>VLOOKUP(orders__17[[#This Row],[Product_ID]],products[#All],4,0)</f>
        <v>Tablet</v>
      </c>
      <c r="M1499" s="1" t="str">
        <f>VLOOKUP(orders__17[[#This Row],[Order_ID]],returns[#All],2,0)</f>
        <v>No</v>
      </c>
    </row>
    <row r="1500" spans="1:13" x14ac:dyDescent="0.3">
      <c r="A1500" s="1" t="s">
        <v>1806</v>
      </c>
      <c r="B1500" s="2">
        <v>44648</v>
      </c>
      <c r="C1500" s="1" t="s">
        <v>406</v>
      </c>
      <c r="D1500" s="1" t="s">
        <v>309</v>
      </c>
      <c r="E1500">
        <v>4</v>
      </c>
      <c r="F1500" s="4">
        <v>1898.79</v>
      </c>
      <c r="G1500" s="3">
        <v>0</v>
      </c>
      <c r="H1500" s="4">
        <v>248.34</v>
      </c>
      <c r="I1500" t="str">
        <f>VLOOKUP(orders__17[[#This Row],[Customer_ID]],customers__2[#All],3,0)</f>
        <v>East</v>
      </c>
      <c r="J1500" t="str">
        <f>VLOOKUP(orders__17[[#This Row],[Customer_ID]],customers__2[#All],4,0)</f>
        <v>Home Office</v>
      </c>
      <c r="K1500" t="str">
        <f>VLOOKUP(orders__17[[#This Row],[Product_ID]],products[#All],3,0)</f>
        <v>Office Supplies</v>
      </c>
      <c r="L1500" s="1" t="str">
        <f>VLOOKUP(orders__17[[#This Row],[Product_ID]],products[#All],4,0)</f>
        <v>Pen</v>
      </c>
      <c r="M1500" s="1" t="str">
        <f>VLOOKUP(orders__17[[#This Row],[Order_ID]],returns[#All],2,0)</f>
        <v>No</v>
      </c>
    </row>
    <row r="1501" spans="1:13" x14ac:dyDescent="0.3">
      <c r="A1501" s="1" t="s">
        <v>1807</v>
      </c>
      <c r="B1501" s="2">
        <v>45189</v>
      </c>
      <c r="C1501" s="1" t="s">
        <v>384</v>
      </c>
      <c r="D1501" s="1" t="s">
        <v>28</v>
      </c>
      <c r="E1501">
        <v>4</v>
      </c>
      <c r="F1501" s="4">
        <v>301.22000000000003</v>
      </c>
      <c r="G1501" s="3">
        <v>0.1</v>
      </c>
      <c r="H1501" s="4">
        <v>56.04</v>
      </c>
      <c r="I1501" t="str">
        <f>VLOOKUP(orders__17[[#This Row],[Customer_ID]],customers__2[#All],3,0)</f>
        <v>East</v>
      </c>
      <c r="J1501" t="str">
        <f>VLOOKUP(orders__17[[#This Row],[Customer_ID]],customers__2[#All],4,0)</f>
        <v>Corporate</v>
      </c>
      <c r="K1501" t="str">
        <f>VLOOKUP(orders__17[[#This Row],[Product_ID]],products[#All],3,0)</f>
        <v>Office Supplies</v>
      </c>
      <c r="L1501" s="1" t="str">
        <f>VLOOKUP(orders__17[[#This Row],[Product_ID]],products[#All],4,0)</f>
        <v>Storage</v>
      </c>
      <c r="M1501" s="1" t="str">
        <f>VLOOKUP(orders__17[[#This Row],[Order_ID]],returns[#All],2,0)</f>
        <v>No</v>
      </c>
    </row>
    <row r="1502" spans="1:13" x14ac:dyDescent="0.3">
      <c r="A1502" s="1" t="s">
        <v>1808</v>
      </c>
      <c r="B1502" s="2">
        <v>45129</v>
      </c>
      <c r="C1502" s="1" t="s">
        <v>30</v>
      </c>
      <c r="D1502" s="1" t="s">
        <v>78</v>
      </c>
      <c r="E1502">
        <v>4</v>
      </c>
      <c r="F1502" s="4">
        <v>394.17</v>
      </c>
      <c r="G1502" s="3">
        <v>0</v>
      </c>
      <c r="H1502" s="4">
        <v>74.08</v>
      </c>
      <c r="I1502" t="str">
        <f>VLOOKUP(orders__17[[#This Row],[Customer_ID]],customers__2[#All],3,0)</f>
        <v>South</v>
      </c>
      <c r="J1502" t="str">
        <f>VLOOKUP(orders__17[[#This Row],[Customer_ID]],customers__2[#All],4,0)</f>
        <v>Home Office</v>
      </c>
      <c r="K1502" t="str">
        <f>VLOOKUP(orders__17[[#This Row],[Product_ID]],products[#All],3,0)</f>
        <v>Technology</v>
      </c>
      <c r="L1502" s="1" t="str">
        <f>VLOOKUP(orders__17[[#This Row],[Product_ID]],products[#All],4,0)</f>
        <v>Accessories</v>
      </c>
      <c r="M1502" s="1" t="str">
        <f>VLOOKUP(orders__17[[#This Row],[Order_ID]],returns[#All],2,0)</f>
        <v>No</v>
      </c>
    </row>
    <row r="1503" spans="1:13" x14ac:dyDescent="0.3">
      <c r="A1503" s="1" t="s">
        <v>1809</v>
      </c>
      <c r="B1503" s="2">
        <v>45164</v>
      </c>
      <c r="C1503" s="1" t="s">
        <v>104</v>
      </c>
      <c r="D1503" s="1" t="s">
        <v>40</v>
      </c>
      <c r="E1503">
        <v>2</v>
      </c>
      <c r="F1503" s="4">
        <v>1895</v>
      </c>
      <c r="G1503" s="3">
        <v>0.3</v>
      </c>
      <c r="H1503" s="4">
        <v>263.67</v>
      </c>
      <c r="I1503" t="str">
        <f>VLOOKUP(orders__17[[#This Row],[Customer_ID]],customers__2[#All],3,0)</f>
        <v>West</v>
      </c>
      <c r="J1503" t="str">
        <f>VLOOKUP(orders__17[[#This Row],[Customer_ID]],customers__2[#All],4,0)</f>
        <v>Corporate</v>
      </c>
      <c r="K1503" t="str">
        <f>VLOOKUP(orders__17[[#This Row],[Product_ID]],products[#All],3,0)</f>
        <v>Office Supplies</v>
      </c>
      <c r="L1503" s="1" t="str">
        <f>VLOOKUP(orders__17[[#This Row],[Product_ID]],products[#All],4,0)</f>
        <v>Storage</v>
      </c>
      <c r="M1503" s="1" t="str">
        <f>VLOOKUP(orders__17[[#This Row],[Order_ID]],returns[#All],2,0)</f>
        <v>No</v>
      </c>
    </row>
    <row r="1504" spans="1:13" x14ac:dyDescent="0.3">
      <c r="A1504" s="1" t="s">
        <v>1810</v>
      </c>
      <c r="B1504" s="2">
        <v>44935</v>
      </c>
      <c r="C1504" s="1" t="s">
        <v>402</v>
      </c>
      <c r="D1504" s="1" t="s">
        <v>309</v>
      </c>
      <c r="E1504">
        <v>4</v>
      </c>
      <c r="F1504" s="4">
        <v>1499.42</v>
      </c>
      <c r="G1504" s="3">
        <v>0.2</v>
      </c>
      <c r="H1504" s="4">
        <v>242.64</v>
      </c>
      <c r="I1504" t="str">
        <f>VLOOKUP(orders__17[[#This Row],[Customer_ID]],customers__2[#All],3,0)</f>
        <v>West</v>
      </c>
      <c r="J1504" t="str">
        <f>VLOOKUP(orders__17[[#This Row],[Customer_ID]],customers__2[#All],4,0)</f>
        <v>Consumer</v>
      </c>
      <c r="K1504" t="str">
        <f>VLOOKUP(orders__17[[#This Row],[Product_ID]],products[#All],3,0)</f>
        <v>Office Supplies</v>
      </c>
      <c r="L1504" s="1" t="str">
        <f>VLOOKUP(orders__17[[#This Row],[Product_ID]],products[#All],4,0)</f>
        <v>Pen</v>
      </c>
      <c r="M1504" s="1" t="str">
        <f>VLOOKUP(orders__17[[#This Row],[Order_ID]],returns[#All],2,0)</f>
        <v>No</v>
      </c>
    </row>
    <row r="1505" spans="1:13" x14ac:dyDescent="0.3">
      <c r="A1505" s="1" t="s">
        <v>1811</v>
      </c>
      <c r="B1505" s="2">
        <v>45048</v>
      </c>
      <c r="C1505" s="1" t="s">
        <v>657</v>
      </c>
      <c r="D1505" s="1" t="s">
        <v>242</v>
      </c>
      <c r="E1505">
        <v>3</v>
      </c>
      <c r="F1505" s="4">
        <v>1777.69</v>
      </c>
      <c r="G1505" s="3">
        <v>0</v>
      </c>
      <c r="H1505" s="4">
        <v>517.98</v>
      </c>
      <c r="I1505" t="str">
        <f>VLOOKUP(orders__17[[#This Row],[Customer_ID]],customers__2[#All],3,0)</f>
        <v>East</v>
      </c>
      <c r="J1505" t="str">
        <f>VLOOKUP(orders__17[[#This Row],[Customer_ID]],customers__2[#All],4,0)</f>
        <v>Corporate</v>
      </c>
      <c r="K1505" t="str">
        <f>VLOOKUP(orders__17[[#This Row],[Product_ID]],products[#All],3,0)</f>
        <v>Technology</v>
      </c>
      <c r="L1505" s="1" t="str">
        <f>VLOOKUP(orders__17[[#This Row],[Product_ID]],products[#All],4,0)</f>
        <v>Phone</v>
      </c>
      <c r="M1505" s="1" t="str">
        <f>VLOOKUP(orders__17[[#This Row],[Order_ID]],returns[#All],2,0)</f>
        <v>Yes</v>
      </c>
    </row>
    <row r="1506" spans="1:13" x14ac:dyDescent="0.3">
      <c r="A1506" s="1" t="s">
        <v>1812</v>
      </c>
      <c r="B1506" s="2">
        <v>44738</v>
      </c>
      <c r="C1506" s="1" t="s">
        <v>662</v>
      </c>
      <c r="D1506" s="1" t="s">
        <v>130</v>
      </c>
      <c r="E1506">
        <v>1</v>
      </c>
      <c r="F1506" s="4">
        <v>485</v>
      </c>
      <c r="G1506" s="3">
        <v>0</v>
      </c>
      <c r="H1506" s="4">
        <v>70</v>
      </c>
      <c r="I1506" t="str">
        <f>VLOOKUP(orders__17[[#This Row],[Customer_ID]],customers__2[#All],3,0)</f>
        <v>North</v>
      </c>
      <c r="J1506" t="str">
        <f>VLOOKUP(orders__17[[#This Row],[Customer_ID]],customers__2[#All],4,0)</f>
        <v>Corporate</v>
      </c>
      <c r="K1506" t="str">
        <f>VLOOKUP(orders__17[[#This Row],[Product_ID]],products[#All],3,0)</f>
        <v>Furniture</v>
      </c>
      <c r="L1506" s="1" t="str">
        <f>VLOOKUP(orders__17[[#This Row],[Product_ID]],products[#All],4,0)</f>
        <v>Desk</v>
      </c>
      <c r="M1506" s="1" t="str">
        <f>VLOOKUP(orders__17[[#This Row],[Order_ID]],returns[#All],2,0)</f>
        <v>No</v>
      </c>
    </row>
    <row r="1507" spans="1:13" x14ac:dyDescent="0.3">
      <c r="A1507" s="1" t="s">
        <v>1813</v>
      </c>
      <c r="B1507" s="2">
        <v>45171</v>
      </c>
      <c r="C1507" s="1" t="s">
        <v>94</v>
      </c>
      <c r="D1507" s="1" t="s">
        <v>239</v>
      </c>
      <c r="E1507">
        <v>4</v>
      </c>
      <c r="F1507" s="4">
        <v>1216.4100000000001</v>
      </c>
      <c r="G1507" s="3">
        <v>0.2</v>
      </c>
      <c r="H1507" s="4">
        <v>139.35</v>
      </c>
      <c r="I1507" t="str">
        <f>VLOOKUP(orders__17[[#This Row],[Customer_ID]],customers__2[#All],3,0)</f>
        <v>North</v>
      </c>
      <c r="J1507" t="str">
        <f>VLOOKUP(orders__17[[#This Row],[Customer_ID]],customers__2[#All],4,0)</f>
        <v>Home Office</v>
      </c>
      <c r="K1507" t="str">
        <f>VLOOKUP(orders__17[[#This Row],[Product_ID]],products[#All],3,0)</f>
        <v>Furniture</v>
      </c>
      <c r="L1507" s="1" t="str">
        <f>VLOOKUP(orders__17[[#This Row],[Product_ID]],products[#All],4,0)</f>
        <v>Shelf</v>
      </c>
      <c r="M1507" s="1" t="str">
        <f>VLOOKUP(orders__17[[#This Row],[Order_ID]],returns[#All],2,0)</f>
        <v>Yes</v>
      </c>
    </row>
    <row r="1508" spans="1:13" x14ac:dyDescent="0.3">
      <c r="A1508" s="1" t="s">
        <v>1814</v>
      </c>
      <c r="B1508" s="2">
        <v>45197</v>
      </c>
      <c r="C1508" s="1" t="s">
        <v>118</v>
      </c>
      <c r="D1508" s="1" t="s">
        <v>34</v>
      </c>
      <c r="E1508">
        <v>1</v>
      </c>
      <c r="F1508" s="4">
        <v>1432.17</v>
      </c>
      <c r="G1508" s="3">
        <v>0.1</v>
      </c>
      <c r="H1508" s="4">
        <v>158.78</v>
      </c>
      <c r="I1508" t="str">
        <f>VLOOKUP(orders__17[[#This Row],[Customer_ID]],customers__2[#All],3,0)</f>
        <v>North</v>
      </c>
      <c r="J1508" t="str">
        <f>VLOOKUP(orders__17[[#This Row],[Customer_ID]],customers__2[#All],4,0)</f>
        <v>Consumer</v>
      </c>
      <c r="K1508" t="str">
        <f>VLOOKUP(orders__17[[#This Row],[Product_ID]],products[#All],3,0)</f>
        <v>Furniture</v>
      </c>
      <c r="L1508" s="1" t="str">
        <f>VLOOKUP(orders__17[[#This Row],[Product_ID]],products[#All],4,0)</f>
        <v>Table</v>
      </c>
      <c r="M1508" s="1" t="str">
        <f>VLOOKUP(orders__17[[#This Row],[Order_ID]],returns[#All],2,0)</f>
        <v>No</v>
      </c>
    </row>
    <row r="1509" spans="1:13" x14ac:dyDescent="0.3">
      <c r="A1509" s="1" t="s">
        <v>1815</v>
      </c>
      <c r="B1509" s="2">
        <v>44935</v>
      </c>
      <c r="C1509" s="1" t="s">
        <v>353</v>
      </c>
      <c r="D1509" s="1" t="s">
        <v>253</v>
      </c>
      <c r="E1509">
        <v>2</v>
      </c>
      <c r="F1509" s="4">
        <v>1392.21</v>
      </c>
      <c r="G1509" s="3">
        <v>0</v>
      </c>
      <c r="H1509" s="4">
        <v>228.94</v>
      </c>
      <c r="I1509" t="str">
        <f>VLOOKUP(orders__17[[#This Row],[Customer_ID]],customers__2[#All],3,0)</f>
        <v>East</v>
      </c>
      <c r="J1509" t="str">
        <f>VLOOKUP(orders__17[[#This Row],[Customer_ID]],customers__2[#All],4,0)</f>
        <v>Home Office</v>
      </c>
      <c r="K1509" t="str">
        <f>VLOOKUP(orders__17[[#This Row],[Product_ID]],products[#All],3,0)</f>
        <v>Technology</v>
      </c>
      <c r="L1509" s="1" t="str">
        <f>VLOOKUP(orders__17[[#This Row],[Product_ID]],products[#All],4,0)</f>
        <v>Accessories</v>
      </c>
      <c r="M1509" s="1" t="str">
        <f>VLOOKUP(orders__17[[#This Row],[Order_ID]],returns[#All],2,0)</f>
        <v>No</v>
      </c>
    </row>
    <row r="1510" spans="1:13" x14ac:dyDescent="0.3">
      <c r="A1510" s="1" t="s">
        <v>1816</v>
      </c>
      <c r="B1510" s="2">
        <v>44935</v>
      </c>
      <c r="C1510" s="1" t="s">
        <v>1043</v>
      </c>
      <c r="D1510" s="1" t="s">
        <v>234</v>
      </c>
      <c r="E1510">
        <v>1</v>
      </c>
      <c r="F1510" s="4">
        <v>875.49</v>
      </c>
      <c r="G1510" s="3">
        <v>0.2</v>
      </c>
      <c r="H1510" s="4">
        <v>210.01</v>
      </c>
      <c r="I1510" t="str">
        <f>VLOOKUP(orders__17[[#This Row],[Customer_ID]],customers__2[#All],3,0)</f>
        <v>South</v>
      </c>
      <c r="J1510" t="str">
        <f>VLOOKUP(orders__17[[#This Row],[Customer_ID]],customers__2[#All],4,0)</f>
        <v>Corporate</v>
      </c>
      <c r="K1510" t="str">
        <f>VLOOKUP(orders__17[[#This Row],[Product_ID]],products[#All],3,0)</f>
        <v>Furniture</v>
      </c>
      <c r="L1510" s="1" t="str">
        <f>VLOOKUP(orders__17[[#This Row],[Product_ID]],products[#All],4,0)</f>
        <v>Shelf</v>
      </c>
      <c r="M1510" s="1" t="str">
        <f>VLOOKUP(orders__17[[#This Row],[Order_ID]],returns[#All],2,0)</f>
        <v>No</v>
      </c>
    </row>
    <row r="1511" spans="1:13" x14ac:dyDescent="0.3">
      <c r="A1511" s="1" t="s">
        <v>1817</v>
      </c>
      <c r="B1511" s="2">
        <v>45389</v>
      </c>
      <c r="C1511" s="1" t="s">
        <v>319</v>
      </c>
      <c r="D1511" s="1" t="s">
        <v>75</v>
      </c>
      <c r="E1511">
        <v>2</v>
      </c>
      <c r="F1511" s="4">
        <v>129.25</v>
      </c>
      <c r="G1511" s="3">
        <v>0.1</v>
      </c>
      <c r="H1511" s="4">
        <v>13.12</v>
      </c>
      <c r="I1511" t="str">
        <f>VLOOKUP(orders__17[[#This Row],[Customer_ID]],customers__2[#All],3,0)</f>
        <v>East</v>
      </c>
      <c r="J1511" t="str">
        <f>VLOOKUP(orders__17[[#This Row],[Customer_ID]],customers__2[#All],4,0)</f>
        <v>Consumer</v>
      </c>
      <c r="K1511" t="str">
        <f>VLOOKUP(orders__17[[#This Row],[Product_ID]],products[#All],3,0)</f>
        <v>Technology</v>
      </c>
      <c r="L1511" s="1" t="str">
        <f>VLOOKUP(orders__17[[#This Row],[Product_ID]],products[#All],4,0)</f>
        <v>Tablet</v>
      </c>
      <c r="M1511" s="1" t="str">
        <f>VLOOKUP(orders__17[[#This Row],[Order_ID]],returns[#All],2,0)</f>
        <v>No</v>
      </c>
    </row>
    <row r="1512" spans="1:13" x14ac:dyDescent="0.3">
      <c r="A1512" s="1" t="s">
        <v>1818</v>
      </c>
      <c r="B1512" s="2">
        <v>44766</v>
      </c>
      <c r="C1512" s="1" t="s">
        <v>167</v>
      </c>
      <c r="D1512" s="1" t="s">
        <v>141</v>
      </c>
      <c r="E1512">
        <v>3</v>
      </c>
      <c r="F1512" s="4">
        <v>1207.56</v>
      </c>
      <c r="G1512" s="3">
        <v>0.3</v>
      </c>
      <c r="H1512" s="4">
        <v>274.51</v>
      </c>
      <c r="I1512" t="str">
        <f>VLOOKUP(orders__17[[#This Row],[Customer_ID]],customers__2[#All],3,0)</f>
        <v>East</v>
      </c>
      <c r="J1512" t="str">
        <f>VLOOKUP(orders__17[[#This Row],[Customer_ID]],customers__2[#All],4,0)</f>
        <v>Corporate</v>
      </c>
      <c r="K1512" t="str">
        <f>VLOOKUP(orders__17[[#This Row],[Product_ID]],products[#All],3,0)</f>
        <v>Technology</v>
      </c>
      <c r="L1512" s="1" t="str">
        <f>VLOOKUP(orders__17[[#This Row],[Product_ID]],products[#All],4,0)</f>
        <v>Phone</v>
      </c>
      <c r="M1512" s="1" t="str">
        <f>VLOOKUP(orders__17[[#This Row],[Order_ID]],returns[#All],2,0)</f>
        <v>Yes</v>
      </c>
    </row>
    <row r="1513" spans="1:13" x14ac:dyDescent="0.3">
      <c r="A1513" s="1" t="s">
        <v>1819</v>
      </c>
      <c r="B1513" s="2">
        <v>45021</v>
      </c>
      <c r="C1513" s="1" t="s">
        <v>58</v>
      </c>
      <c r="D1513" s="1" t="s">
        <v>256</v>
      </c>
      <c r="E1513">
        <v>2</v>
      </c>
      <c r="F1513" s="4">
        <v>580.89</v>
      </c>
      <c r="G1513" s="3">
        <v>0.2</v>
      </c>
      <c r="H1513" s="4">
        <v>32.119999999999997</v>
      </c>
      <c r="I1513" t="str">
        <f>VLOOKUP(orders__17[[#This Row],[Customer_ID]],customers__2[#All],3,0)</f>
        <v>West</v>
      </c>
      <c r="J1513" t="str">
        <f>VLOOKUP(orders__17[[#This Row],[Customer_ID]],customers__2[#All],4,0)</f>
        <v>Corporate</v>
      </c>
      <c r="K1513" t="str">
        <f>VLOOKUP(orders__17[[#This Row],[Product_ID]],products[#All],3,0)</f>
        <v>Office Supplies</v>
      </c>
      <c r="L1513" s="1" t="str">
        <f>VLOOKUP(orders__17[[#This Row],[Product_ID]],products[#All],4,0)</f>
        <v>Pen</v>
      </c>
      <c r="M1513" s="1" t="str">
        <f>VLOOKUP(orders__17[[#This Row],[Order_ID]],returns[#All],2,0)</f>
        <v>No</v>
      </c>
    </row>
    <row r="1514" spans="1:13" x14ac:dyDescent="0.3">
      <c r="A1514" s="1" t="s">
        <v>1820</v>
      </c>
      <c r="B1514" s="2">
        <v>45316</v>
      </c>
      <c r="C1514" s="1" t="s">
        <v>313</v>
      </c>
      <c r="D1514" s="1" t="s">
        <v>45</v>
      </c>
      <c r="E1514">
        <v>2</v>
      </c>
      <c r="F1514" s="4">
        <v>955.48</v>
      </c>
      <c r="G1514" s="3">
        <v>0</v>
      </c>
      <c r="H1514" s="4">
        <v>147.84</v>
      </c>
      <c r="I1514" t="str">
        <f>VLOOKUP(orders__17[[#This Row],[Customer_ID]],customers__2[#All],3,0)</f>
        <v>West</v>
      </c>
      <c r="J1514" t="str">
        <f>VLOOKUP(orders__17[[#This Row],[Customer_ID]],customers__2[#All],4,0)</f>
        <v>Home Office</v>
      </c>
      <c r="K1514" t="str">
        <f>VLOOKUP(orders__17[[#This Row],[Product_ID]],products[#All],3,0)</f>
        <v>Office Supplies</v>
      </c>
      <c r="L1514" s="1" t="str">
        <f>VLOOKUP(orders__17[[#This Row],[Product_ID]],products[#All],4,0)</f>
        <v>Pen</v>
      </c>
      <c r="M1514" s="1" t="str">
        <f>VLOOKUP(orders__17[[#This Row],[Order_ID]],returns[#All],2,0)</f>
        <v>No</v>
      </c>
    </row>
    <row r="1515" spans="1:13" x14ac:dyDescent="0.3">
      <c r="A1515" s="1" t="s">
        <v>1821</v>
      </c>
      <c r="B1515" s="2">
        <v>45187</v>
      </c>
      <c r="C1515" s="1" t="s">
        <v>56</v>
      </c>
      <c r="D1515" s="1" t="s">
        <v>34</v>
      </c>
      <c r="E1515">
        <v>5</v>
      </c>
      <c r="F1515" s="4">
        <v>1919.4</v>
      </c>
      <c r="G1515" s="3">
        <v>0.3</v>
      </c>
      <c r="H1515" s="4">
        <v>468.27</v>
      </c>
      <c r="I1515" t="str">
        <f>VLOOKUP(orders__17[[#This Row],[Customer_ID]],customers__2[#All],3,0)</f>
        <v>South</v>
      </c>
      <c r="J1515" t="str">
        <f>VLOOKUP(orders__17[[#This Row],[Customer_ID]],customers__2[#All],4,0)</f>
        <v>Consumer</v>
      </c>
      <c r="K1515" t="str">
        <f>VLOOKUP(orders__17[[#This Row],[Product_ID]],products[#All],3,0)</f>
        <v>Furniture</v>
      </c>
      <c r="L1515" s="1" t="str">
        <f>VLOOKUP(orders__17[[#This Row],[Product_ID]],products[#All],4,0)</f>
        <v>Table</v>
      </c>
      <c r="M1515" s="1" t="str">
        <f>VLOOKUP(orders__17[[#This Row],[Order_ID]],returns[#All],2,0)</f>
        <v>No</v>
      </c>
    </row>
    <row r="1516" spans="1:13" x14ac:dyDescent="0.3">
      <c r="A1516" s="1" t="s">
        <v>1822</v>
      </c>
      <c r="B1516" s="2">
        <v>45443</v>
      </c>
      <c r="C1516" s="1" t="s">
        <v>126</v>
      </c>
      <c r="D1516" s="1" t="s">
        <v>186</v>
      </c>
      <c r="E1516">
        <v>4</v>
      </c>
      <c r="F1516" s="4">
        <v>858.17</v>
      </c>
      <c r="G1516" s="3">
        <v>0.1</v>
      </c>
      <c r="H1516" s="4">
        <v>115.58</v>
      </c>
      <c r="I1516" t="str">
        <f>VLOOKUP(orders__17[[#This Row],[Customer_ID]],customers__2[#All],3,0)</f>
        <v>North</v>
      </c>
      <c r="J1516" t="str">
        <f>VLOOKUP(orders__17[[#This Row],[Customer_ID]],customers__2[#All],4,0)</f>
        <v>Consumer</v>
      </c>
      <c r="K1516" t="str">
        <f>VLOOKUP(orders__17[[#This Row],[Product_ID]],products[#All],3,0)</f>
        <v>Technology</v>
      </c>
      <c r="L1516" s="1" t="str">
        <f>VLOOKUP(orders__17[[#This Row],[Product_ID]],products[#All],4,0)</f>
        <v>Laptop</v>
      </c>
      <c r="M1516" s="1" t="str">
        <f>VLOOKUP(orders__17[[#This Row],[Order_ID]],returns[#All],2,0)</f>
        <v>No</v>
      </c>
    </row>
    <row r="1517" spans="1:13" x14ac:dyDescent="0.3">
      <c r="A1517" s="1" t="s">
        <v>1823</v>
      </c>
      <c r="B1517" s="2">
        <v>44749</v>
      </c>
      <c r="C1517" s="1" t="s">
        <v>194</v>
      </c>
      <c r="D1517" s="1" t="s">
        <v>309</v>
      </c>
      <c r="E1517">
        <v>4</v>
      </c>
      <c r="F1517" s="4">
        <v>1695.62</v>
      </c>
      <c r="G1517" s="3">
        <v>0.1</v>
      </c>
      <c r="H1517" s="4">
        <v>323.75</v>
      </c>
      <c r="I1517" t="str">
        <f>VLOOKUP(orders__17[[#This Row],[Customer_ID]],customers__2[#All],3,0)</f>
        <v>North</v>
      </c>
      <c r="J1517" t="str">
        <f>VLOOKUP(orders__17[[#This Row],[Customer_ID]],customers__2[#All],4,0)</f>
        <v>Home Office</v>
      </c>
      <c r="K1517" t="str">
        <f>VLOOKUP(orders__17[[#This Row],[Product_ID]],products[#All],3,0)</f>
        <v>Office Supplies</v>
      </c>
      <c r="L1517" s="1" t="str">
        <f>VLOOKUP(orders__17[[#This Row],[Product_ID]],products[#All],4,0)</f>
        <v>Pen</v>
      </c>
      <c r="M1517" s="1" t="str">
        <f>VLOOKUP(orders__17[[#This Row],[Order_ID]],returns[#All],2,0)</f>
        <v>No</v>
      </c>
    </row>
    <row r="1518" spans="1:13" x14ac:dyDescent="0.3">
      <c r="A1518" s="1" t="s">
        <v>1824</v>
      </c>
      <c r="B1518" s="2">
        <v>44867</v>
      </c>
      <c r="C1518" s="1" t="s">
        <v>334</v>
      </c>
      <c r="D1518" s="1" t="s">
        <v>143</v>
      </c>
      <c r="E1518">
        <v>3</v>
      </c>
      <c r="F1518" s="4">
        <v>458.23</v>
      </c>
      <c r="G1518" s="3">
        <v>0.2</v>
      </c>
      <c r="H1518" s="4">
        <v>46.39</v>
      </c>
      <c r="I1518" t="str">
        <f>VLOOKUP(orders__17[[#This Row],[Customer_ID]],customers__2[#All],3,0)</f>
        <v>East</v>
      </c>
      <c r="J1518" t="str">
        <f>VLOOKUP(orders__17[[#This Row],[Customer_ID]],customers__2[#All],4,0)</f>
        <v>Consumer</v>
      </c>
      <c r="K1518" t="str">
        <f>VLOOKUP(orders__17[[#This Row],[Product_ID]],products[#All],3,0)</f>
        <v>Furniture</v>
      </c>
      <c r="L1518" s="1" t="str">
        <f>VLOOKUP(orders__17[[#This Row],[Product_ID]],products[#All],4,0)</f>
        <v>Shelf</v>
      </c>
      <c r="M1518" s="1" t="str">
        <f>VLOOKUP(orders__17[[#This Row],[Order_ID]],returns[#All],2,0)</f>
        <v>No</v>
      </c>
    </row>
    <row r="1519" spans="1:13" x14ac:dyDescent="0.3">
      <c r="A1519" s="1" t="s">
        <v>1825</v>
      </c>
      <c r="B1519" s="2">
        <v>45339</v>
      </c>
      <c r="C1519" s="1" t="s">
        <v>729</v>
      </c>
      <c r="D1519" s="1" t="s">
        <v>323</v>
      </c>
      <c r="E1519">
        <v>3</v>
      </c>
      <c r="F1519" s="4">
        <v>1377.67</v>
      </c>
      <c r="G1519" s="3">
        <v>0.2</v>
      </c>
      <c r="H1519" s="4">
        <v>324.44</v>
      </c>
      <c r="I1519" t="str">
        <f>VLOOKUP(orders__17[[#This Row],[Customer_ID]],customers__2[#All],3,0)</f>
        <v>North</v>
      </c>
      <c r="J1519" t="str">
        <f>VLOOKUP(orders__17[[#This Row],[Customer_ID]],customers__2[#All],4,0)</f>
        <v>Home Office</v>
      </c>
      <c r="K1519" t="str">
        <f>VLOOKUP(orders__17[[#This Row],[Product_ID]],products[#All],3,0)</f>
        <v>Technology</v>
      </c>
      <c r="L1519" s="1" t="str">
        <f>VLOOKUP(orders__17[[#This Row],[Product_ID]],products[#All],4,0)</f>
        <v>Tablet</v>
      </c>
      <c r="M1519" s="1" t="str">
        <f>VLOOKUP(orders__17[[#This Row],[Order_ID]],returns[#All],2,0)</f>
        <v>No</v>
      </c>
    </row>
    <row r="1520" spans="1:13" x14ac:dyDescent="0.3">
      <c r="A1520" s="1" t="s">
        <v>1826</v>
      </c>
      <c r="B1520" s="2">
        <v>44938</v>
      </c>
      <c r="C1520" s="1" t="s">
        <v>697</v>
      </c>
      <c r="D1520" s="1" t="s">
        <v>16</v>
      </c>
      <c r="E1520">
        <v>4</v>
      </c>
      <c r="F1520" s="4">
        <v>1956.31</v>
      </c>
      <c r="G1520" s="3">
        <v>0.2</v>
      </c>
      <c r="H1520" s="4">
        <v>123.38</v>
      </c>
      <c r="I1520" t="str">
        <f>VLOOKUP(orders__17[[#This Row],[Customer_ID]],customers__2[#All],3,0)</f>
        <v>South</v>
      </c>
      <c r="J1520" t="str">
        <f>VLOOKUP(orders__17[[#This Row],[Customer_ID]],customers__2[#All],4,0)</f>
        <v>Corporate</v>
      </c>
      <c r="K1520" t="str">
        <f>VLOOKUP(orders__17[[#This Row],[Product_ID]],products[#All],3,0)</f>
        <v>Technology</v>
      </c>
      <c r="L1520" s="1" t="str">
        <f>VLOOKUP(orders__17[[#This Row],[Product_ID]],products[#All],4,0)</f>
        <v>Laptop</v>
      </c>
      <c r="M1520" s="1" t="str">
        <f>VLOOKUP(orders__17[[#This Row],[Order_ID]],returns[#All],2,0)</f>
        <v>Yes</v>
      </c>
    </row>
    <row r="1521" spans="1:13" x14ac:dyDescent="0.3">
      <c r="A1521" s="1" t="s">
        <v>1827</v>
      </c>
      <c r="B1521" s="2">
        <v>44641</v>
      </c>
      <c r="C1521" s="1" t="s">
        <v>217</v>
      </c>
      <c r="D1521" s="1" t="s">
        <v>283</v>
      </c>
      <c r="E1521">
        <v>5</v>
      </c>
      <c r="F1521" s="4">
        <v>293.60000000000002</v>
      </c>
      <c r="G1521" s="3">
        <v>0.1</v>
      </c>
      <c r="H1521" s="4">
        <v>77.260000000000005</v>
      </c>
      <c r="I1521" t="str">
        <f>VLOOKUP(orders__17[[#This Row],[Customer_ID]],customers__2[#All],3,0)</f>
        <v>East</v>
      </c>
      <c r="J1521" t="str">
        <f>VLOOKUP(orders__17[[#This Row],[Customer_ID]],customers__2[#All],4,0)</f>
        <v>Corporate</v>
      </c>
      <c r="K1521" t="str">
        <f>VLOOKUP(orders__17[[#This Row],[Product_ID]],products[#All],3,0)</f>
        <v>Furniture</v>
      </c>
      <c r="L1521" s="1" t="str">
        <f>VLOOKUP(orders__17[[#This Row],[Product_ID]],products[#All],4,0)</f>
        <v>Chair</v>
      </c>
      <c r="M1521" s="1" t="str">
        <f>VLOOKUP(orders__17[[#This Row],[Order_ID]],returns[#All],2,0)</f>
        <v>Yes</v>
      </c>
    </row>
    <row r="1522" spans="1:13" x14ac:dyDescent="0.3">
      <c r="A1522" s="1" t="s">
        <v>1828</v>
      </c>
      <c r="B1522" s="2">
        <v>45175</v>
      </c>
      <c r="C1522" s="1" t="s">
        <v>134</v>
      </c>
      <c r="D1522" s="1" t="s">
        <v>585</v>
      </c>
      <c r="E1522">
        <v>4</v>
      </c>
      <c r="F1522" s="4">
        <v>115.81</v>
      </c>
      <c r="G1522" s="3">
        <v>0.3</v>
      </c>
      <c r="H1522" s="4">
        <v>11.53</v>
      </c>
      <c r="I1522" t="str">
        <f>VLOOKUP(orders__17[[#This Row],[Customer_ID]],customers__2[#All],3,0)</f>
        <v>West</v>
      </c>
      <c r="J1522" t="str">
        <f>VLOOKUP(orders__17[[#This Row],[Customer_ID]],customers__2[#All],4,0)</f>
        <v>Home Office</v>
      </c>
      <c r="K1522" t="str">
        <f>VLOOKUP(orders__17[[#This Row],[Product_ID]],products[#All],3,0)</f>
        <v>Office Supplies</v>
      </c>
      <c r="L1522" s="1" t="str">
        <f>VLOOKUP(orders__17[[#This Row],[Product_ID]],products[#All],4,0)</f>
        <v>Storage</v>
      </c>
      <c r="M1522" s="1" t="str">
        <f>VLOOKUP(orders__17[[#This Row],[Order_ID]],returns[#All],2,0)</f>
        <v>No</v>
      </c>
    </row>
    <row r="1523" spans="1:13" x14ac:dyDescent="0.3">
      <c r="A1523" s="1" t="s">
        <v>1829</v>
      </c>
      <c r="B1523" s="2">
        <v>45258</v>
      </c>
      <c r="C1523" s="1" t="s">
        <v>505</v>
      </c>
      <c r="D1523" s="1" t="s">
        <v>275</v>
      </c>
      <c r="E1523">
        <v>5</v>
      </c>
      <c r="F1523" s="4">
        <v>923.81</v>
      </c>
      <c r="G1523" s="3">
        <v>0.1</v>
      </c>
      <c r="H1523" s="4">
        <v>248.13</v>
      </c>
      <c r="I1523" t="str">
        <f>VLOOKUP(orders__17[[#This Row],[Customer_ID]],customers__2[#All],3,0)</f>
        <v>North</v>
      </c>
      <c r="J1523" t="str">
        <f>VLOOKUP(orders__17[[#This Row],[Customer_ID]],customers__2[#All],4,0)</f>
        <v>Consumer</v>
      </c>
      <c r="K1523" t="str">
        <f>VLOOKUP(orders__17[[#This Row],[Product_ID]],products[#All],3,0)</f>
        <v>Furniture</v>
      </c>
      <c r="L1523" s="1" t="str">
        <f>VLOOKUP(orders__17[[#This Row],[Product_ID]],products[#All],4,0)</f>
        <v>Table</v>
      </c>
      <c r="M1523" s="1" t="str">
        <f>VLOOKUP(orders__17[[#This Row],[Order_ID]],returns[#All],2,0)</f>
        <v>No</v>
      </c>
    </row>
    <row r="1524" spans="1:13" x14ac:dyDescent="0.3">
      <c r="A1524" s="1" t="s">
        <v>1830</v>
      </c>
      <c r="B1524" s="2">
        <v>45090</v>
      </c>
      <c r="C1524" s="1" t="s">
        <v>213</v>
      </c>
      <c r="D1524" s="1" t="s">
        <v>269</v>
      </c>
      <c r="E1524">
        <v>3</v>
      </c>
      <c r="F1524" s="4">
        <v>275.99</v>
      </c>
      <c r="G1524" s="3">
        <v>0</v>
      </c>
      <c r="H1524" s="4">
        <v>38.119999999999997</v>
      </c>
      <c r="I1524" t="str">
        <f>VLOOKUP(orders__17[[#This Row],[Customer_ID]],customers__2[#All],3,0)</f>
        <v>East</v>
      </c>
      <c r="J1524" t="str">
        <f>VLOOKUP(orders__17[[#This Row],[Customer_ID]],customers__2[#All],4,0)</f>
        <v>Corporate</v>
      </c>
      <c r="K1524" t="str">
        <f>VLOOKUP(orders__17[[#This Row],[Product_ID]],products[#All],3,0)</f>
        <v>Office Supplies</v>
      </c>
      <c r="L1524" s="1" t="str">
        <f>VLOOKUP(orders__17[[#This Row],[Product_ID]],products[#All],4,0)</f>
        <v>Pen</v>
      </c>
      <c r="M1524" s="1" t="str">
        <f>VLOOKUP(orders__17[[#This Row],[Order_ID]],returns[#All],2,0)</f>
        <v>No</v>
      </c>
    </row>
    <row r="1525" spans="1:13" x14ac:dyDescent="0.3">
      <c r="A1525" s="1" t="s">
        <v>1831</v>
      </c>
      <c r="B1525" s="2">
        <v>45091</v>
      </c>
      <c r="C1525" s="1" t="s">
        <v>169</v>
      </c>
      <c r="D1525" s="1" t="s">
        <v>143</v>
      </c>
      <c r="E1525">
        <v>1</v>
      </c>
      <c r="F1525" s="4">
        <v>1521.93</v>
      </c>
      <c r="G1525" s="3">
        <v>0.1</v>
      </c>
      <c r="H1525" s="4">
        <v>351.06</v>
      </c>
      <c r="I1525" t="str">
        <f>VLOOKUP(orders__17[[#This Row],[Customer_ID]],customers__2[#All],3,0)</f>
        <v>East</v>
      </c>
      <c r="J1525" t="str">
        <f>VLOOKUP(orders__17[[#This Row],[Customer_ID]],customers__2[#All],4,0)</f>
        <v>Home Office</v>
      </c>
      <c r="K1525" t="str">
        <f>VLOOKUP(orders__17[[#This Row],[Product_ID]],products[#All],3,0)</f>
        <v>Furniture</v>
      </c>
      <c r="L1525" s="1" t="str">
        <f>VLOOKUP(orders__17[[#This Row],[Product_ID]],products[#All],4,0)</f>
        <v>Shelf</v>
      </c>
      <c r="M1525" s="1" t="str">
        <f>VLOOKUP(orders__17[[#This Row],[Order_ID]],returns[#All],2,0)</f>
        <v>No</v>
      </c>
    </row>
    <row r="1526" spans="1:13" x14ac:dyDescent="0.3">
      <c r="A1526" s="1" t="s">
        <v>1832</v>
      </c>
      <c r="B1526" s="2">
        <v>44847</v>
      </c>
      <c r="C1526" s="1" t="s">
        <v>524</v>
      </c>
      <c r="D1526" s="1" t="s">
        <v>75</v>
      </c>
      <c r="E1526">
        <v>3</v>
      </c>
      <c r="F1526" s="4">
        <v>1837.64</v>
      </c>
      <c r="G1526" s="3">
        <v>0</v>
      </c>
      <c r="H1526" s="4">
        <v>238.54</v>
      </c>
      <c r="I1526" t="str">
        <f>VLOOKUP(orders__17[[#This Row],[Customer_ID]],customers__2[#All],3,0)</f>
        <v>East</v>
      </c>
      <c r="J1526" t="str">
        <f>VLOOKUP(orders__17[[#This Row],[Customer_ID]],customers__2[#All],4,0)</f>
        <v>Corporate</v>
      </c>
      <c r="K1526" t="str">
        <f>VLOOKUP(orders__17[[#This Row],[Product_ID]],products[#All],3,0)</f>
        <v>Technology</v>
      </c>
      <c r="L1526" s="1" t="str">
        <f>VLOOKUP(orders__17[[#This Row],[Product_ID]],products[#All],4,0)</f>
        <v>Tablet</v>
      </c>
      <c r="M1526" s="1" t="str">
        <f>VLOOKUP(orders__17[[#This Row],[Order_ID]],returns[#All],2,0)</f>
        <v>No</v>
      </c>
    </row>
    <row r="1527" spans="1:13" x14ac:dyDescent="0.3">
      <c r="A1527" s="1" t="s">
        <v>1833</v>
      </c>
      <c r="B1527" s="2">
        <v>45123</v>
      </c>
      <c r="C1527" s="1" t="s">
        <v>439</v>
      </c>
      <c r="D1527" s="1" t="s">
        <v>107</v>
      </c>
      <c r="E1527">
        <v>3</v>
      </c>
      <c r="F1527" s="4">
        <v>924.64</v>
      </c>
      <c r="G1527" s="3">
        <v>0.3</v>
      </c>
      <c r="H1527" s="4">
        <v>255.64</v>
      </c>
      <c r="I1527" t="str">
        <f>VLOOKUP(orders__17[[#This Row],[Customer_ID]],customers__2[#All],3,0)</f>
        <v>West</v>
      </c>
      <c r="J1527" t="str">
        <f>VLOOKUP(orders__17[[#This Row],[Customer_ID]],customers__2[#All],4,0)</f>
        <v>Corporate</v>
      </c>
      <c r="K1527" t="str">
        <f>VLOOKUP(orders__17[[#This Row],[Product_ID]],products[#All],3,0)</f>
        <v>Office Supplies</v>
      </c>
      <c r="L1527" s="1" t="str">
        <f>VLOOKUP(orders__17[[#This Row],[Product_ID]],products[#All],4,0)</f>
        <v>Pen</v>
      </c>
      <c r="M1527" s="1" t="str">
        <f>VLOOKUP(orders__17[[#This Row],[Order_ID]],returns[#All],2,0)</f>
        <v>Yes</v>
      </c>
    </row>
    <row r="1528" spans="1:13" x14ac:dyDescent="0.3">
      <c r="A1528" s="1" t="s">
        <v>1834</v>
      </c>
      <c r="B1528" s="2">
        <v>45217</v>
      </c>
      <c r="C1528" s="1" t="s">
        <v>280</v>
      </c>
      <c r="D1528" s="1" t="s">
        <v>61</v>
      </c>
      <c r="E1528">
        <v>2</v>
      </c>
      <c r="F1528" s="4">
        <v>591.54999999999995</v>
      </c>
      <c r="G1528" s="3">
        <v>0.2</v>
      </c>
      <c r="H1528" s="4">
        <v>48.31</v>
      </c>
      <c r="I1528" t="str">
        <f>VLOOKUP(orders__17[[#This Row],[Customer_ID]],customers__2[#All],3,0)</f>
        <v>East</v>
      </c>
      <c r="J1528" t="str">
        <f>VLOOKUP(orders__17[[#This Row],[Customer_ID]],customers__2[#All],4,0)</f>
        <v>Corporate</v>
      </c>
      <c r="K1528" t="str">
        <f>VLOOKUP(orders__17[[#This Row],[Product_ID]],products[#All],3,0)</f>
        <v>Office Supplies</v>
      </c>
      <c r="L1528" s="1" t="str">
        <f>VLOOKUP(orders__17[[#This Row],[Product_ID]],products[#All],4,0)</f>
        <v>Binder</v>
      </c>
      <c r="M1528" s="1" t="str">
        <f>VLOOKUP(orders__17[[#This Row],[Order_ID]],returns[#All],2,0)</f>
        <v>No</v>
      </c>
    </row>
    <row r="1529" spans="1:13" x14ac:dyDescent="0.3">
      <c r="A1529" s="1" t="s">
        <v>1835</v>
      </c>
      <c r="B1529" s="2">
        <v>44894</v>
      </c>
      <c r="C1529" s="1" t="s">
        <v>182</v>
      </c>
      <c r="D1529" s="1" t="s">
        <v>127</v>
      </c>
      <c r="E1529">
        <v>2</v>
      </c>
      <c r="F1529" s="4">
        <v>925.37</v>
      </c>
      <c r="G1529" s="3">
        <v>0.2</v>
      </c>
      <c r="H1529" s="4">
        <v>87.57</v>
      </c>
      <c r="I1529" t="str">
        <f>VLOOKUP(orders__17[[#This Row],[Customer_ID]],customers__2[#All],3,0)</f>
        <v>South</v>
      </c>
      <c r="J1529" t="str">
        <f>VLOOKUP(orders__17[[#This Row],[Customer_ID]],customers__2[#All],4,0)</f>
        <v>Consumer</v>
      </c>
      <c r="K1529" t="str">
        <f>VLOOKUP(orders__17[[#This Row],[Product_ID]],products[#All],3,0)</f>
        <v>Furniture</v>
      </c>
      <c r="L1529" s="1" t="str">
        <f>VLOOKUP(orders__17[[#This Row],[Product_ID]],products[#All],4,0)</f>
        <v>Chair</v>
      </c>
      <c r="M1529" s="1" t="str">
        <f>VLOOKUP(orders__17[[#This Row],[Order_ID]],returns[#All],2,0)</f>
        <v>No</v>
      </c>
    </row>
    <row r="1530" spans="1:13" x14ac:dyDescent="0.3">
      <c r="A1530" s="1" t="s">
        <v>1836</v>
      </c>
      <c r="B1530" s="2">
        <v>44578</v>
      </c>
      <c r="C1530" s="1" t="s">
        <v>220</v>
      </c>
      <c r="D1530" s="1" t="s">
        <v>116</v>
      </c>
      <c r="E1530">
        <v>2</v>
      </c>
      <c r="F1530" s="4">
        <v>1474.55</v>
      </c>
      <c r="G1530" s="3">
        <v>0.1</v>
      </c>
      <c r="H1530" s="4">
        <v>255.48</v>
      </c>
      <c r="I1530" t="str">
        <f>VLOOKUP(orders__17[[#This Row],[Customer_ID]],customers__2[#All],3,0)</f>
        <v>West</v>
      </c>
      <c r="J1530" t="str">
        <f>VLOOKUP(orders__17[[#This Row],[Customer_ID]],customers__2[#All],4,0)</f>
        <v>Corporate</v>
      </c>
      <c r="K1530" t="str">
        <f>VLOOKUP(orders__17[[#This Row],[Product_ID]],products[#All],3,0)</f>
        <v>Furniture</v>
      </c>
      <c r="L1530" s="1" t="str">
        <f>VLOOKUP(orders__17[[#This Row],[Product_ID]],products[#All],4,0)</f>
        <v>Shelf</v>
      </c>
      <c r="M1530" s="1" t="str">
        <f>VLOOKUP(orders__17[[#This Row],[Order_ID]],returns[#All],2,0)</f>
        <v>Yes</v>
      </c>
    </row>
    <row r="1531" spans="1:13" x14ac:dyDescent="0.3">
      <c r="A1531" s="1" t="s">
        <v>1837</v>
      </c>
      <c r="B1531" s="2">
        <v>44700</v>
      </c>
      <c r="C1531" s="1" t="s">
        <v>489</v>
      </c>
      <c r="D1531" s="1" t="s">
        <v>455</v>
      </c>
      <c r="E1531">
        <v>2</v>
      </c>
      <c r="F1531" s="4">
        <v>117.2</v>
      </c>
      <c r="G1531" s="3">
        <v>0.2</v>
      </c>
      <c r="H1531" s="4">
        <v>8.26</v>
      </c>
      <c r="I1531" t="str">
        <f>VLOOKUP(orders__17[[#This Row],[Customer_ID]],customers__2[#All],3,0)</f>
        <v>North</v>
      </c>
      <c r="J1531" t="str">
        <f>VLOOKUP(orders__17[[#This Row],[Customer_ID]],customers__2[#All],4,0)</f>
        <v>Home Office</v>
      </c>
      <c r="K1531" t="str">
        <f>VLOOKUP(orders__17[[#This Row],[Product_ID]],products[#All],3,0)</f>
        <v>Furniture</v>
      </c>
      <c r="L1531" s="1" t="str">
        <f>VLOOKUP(orders__17[[#This Row],[Product_ID]],products[#All],4,0)</f>
        <v>Shelf</v>
      </c>
      <c r="M1531" s="1" t="str">
        <f>VLOOKUP(orders__17[[#This Row],[Order_ID]],returns[#All],2,0)</f>
        <v>No</v>
      </c>
    </row>
    <row r="1532" spans="1:13" x14ac:dyDescent="0.3">
      <c r="A1532" s="1" t="s">
        <v>1838</v>
      </c>
      <c r="B1532" s="2">
        <v>44885</v>
      </c>
      <c r="C1532" s="1" t="s">
        <v>803</v>
      </c>
      <c r="D1532" s="1" t="s">
        <v>392</v>
      </c>
      <c r="E1532">
        <v>5</v>
      </c>
      <c r="F1532" s="4">
        <v>1219.96</v>
      </c>
      <c r="G1532" s="3">
        <v>0.3</v>
      </c>
      <c r="H1532" s="4">
        <v>120.77</v>
      </c>
      <c r="I1532" t="str">
        <f>VLOOKUP(orders__17[[#This Row],[Customer_ID]],customers__2[#All],3,0)</f>
        <v>South</v>
      </c>
      <c r="J1532" t="str">
        <f>VLOOKUP(orders__17[[#This Row],[Customer_ID]],customers__2[#All],4,0)</f>
        <v>Consumer</v>
      </c>
      <c r="K1532" t="str">
        <f>VLOOKUP(orders__17[[#This Row],[Product_ID]],products[#All],3,0)</f>
        <v>Furniture</v>
      </c>
      <c r="L1532" s="1" t="str">
        <f>VLOOKUP(orders__17[[#This Row],[Product_ID]],products[#All],4,0)</f>
        <v>Desk</v>
      </c>
      <c r="M1532" s="1" t="str">
        <f>VLOOKUP(orders__17[[#This Row],[Order_ID]],returns[#All],2,0)</f>
        <v>No</v>
      </c>
    </row>
    <row r="1533" spans="1:13" x14ac:dyDescent="0.3">
      <c r="A1533" s="1" t="s">
        <v>1839</v>
      </c>
      <c r="B1533" s="2">
        <v>44818</v>
      </c>
      <c r="C1533" s="1" t="s">
        <v>74</v>
      </c>
      <c r="D1533" s="1" t="s">
        <v>669</v>
      </c>
      <c r="E1533">
        <v>4</v>
      </c>
      <c r="F1533" s="4">
        <v>1265.25</v>
      </c>
      <c r="G1533" s="3">
        <v>0.2</v>
      </c>
      <c r="H1533" s="4">
        <v>361.79</v>
      </c>
      <c r="I1533" t="str">
        <f>VLOOKUP(orders__17[[#This Row],[Customer_ID]],customers__2[#All],3,0)</f>
        <v>North</v>
      </c>
      <c r="J1533" t="str">
        <f>VLOOKUP(orders__17[[#This Row],[Customer_ID]],customers__2[#All],4,0)</f>
        <v>Consumer</v>
      </c>
      <c r="K1533" t="str">
        <f>VLOOKUP(orders__17[[#This Row],[Product_ID]],products[#All],3,0)</f>
        <v>Office Supplies</v>
      </c>
      <c r="L1533" s="1" t="str">
        <f>VLOOKUP(orders__17[[#This Row],[Product_ID]],products[#All],4,0)</f>
        <v>Pen</v>
      </c>
      <c r="M1533" s="1" t="str">
        <f>VLOOKUP(orders__17[[#This Row],[Order_ID]],returns[#All],2,0)</f>
        <v>No</v>
      </c>
    </row>
    <row r="1534" spans="1:13" x14ac:dyDescent="0.3">
      <c r="A1534" s="1" t="s">
        <v>1840</v>
      </c>
      <c r="B1534" s="2">
        <v>45288</v>
      </c>
      <c r="C1534" s="1" t="s">
        <v>526</v>
      </c>
      <c r="D1534" s="1" t="s">
        <v>16</v>
      </c>
      <c r="E1534">
        <v>1</v>
      </c>
      <c r="F1534" s="4">
        <v>1311.61</v>
      </c>
      <c r="G1534" s="3">
        <v>0.1</v>
      </c>
      <c r="H1534" s="4">
        <v>385.77</v>
      </c>
      <c r="I1534" t="str">
        <f>VLOOKUP(orders__17[[#This Row],[Customer_ID]],customers__2[#All],3,0)</f>
        <v>West</v>
      </c>
      <c r="J1534" t="str">
        <f>VLOOKUP(orders__17[[#This Row],[Customer_ID]],customers__2[#All],4,0)</f>
        <v>Corporate</v>
      </c>
      <c r="K1534" t="str">
        <f>VLOOKUP(orders__17[[#This Row],[Product_ID]],products[#All],3,0)</f>
        <v>Technology</v>
      </c>
      <c r="L1534" s="1" t="str">
        <f>VLOOKUP(orders__17[[#This Row],[Product_ID]],products[#All],4,0)</f>
        <v>Laptop</v>
      </c>
      <c r="M1534" s="1" t="str">
        <f>VLOOKUP(orders__17[[#This Row],[Order_ID]],returns[#All],2,0)</f>
        <v>No</v>
      </c>
    </row>
    <row r="1535" spans="1:13" x14ac:dyDescent="0.3">
      <c r="A1535" s="1" t="s">
        <v>1841</v>
      </c>
      <c r="B1535" s="2">
        <v>45280</v>
      </c>
      <c r="C1535" s="1" t="s">
        <v>160</v>
      </c>
      <c r="D1535" s="1" t="s">
        <v>34</v>
      </c>
      <c r="E1535">
        <v>3</v>
      </c>
      <c r="F1535" s="4">
        <v>559.84</v>
      </c>
      <c r="G1535" s="3">
        <v>0.3</v>
      </c>
      <c r="H1535" s="4">
        <v>80.650000000000006</v>
      </c>
      <c r="I1535" t="str">
        <f>VLOOKUP(orders__17[[#This Row],[Customer_ID]],customers__2[#All],3,0)</f>
        <v>East</v>
      </c>
      <c r="J1535" t="str">
        <f>VLOOKUP(orders__17[[#This Row],[Customer_ID]],customers__2[#All],4,0)</f>
        <v>Corporate</v>
      </c>
      <c r="K1535" t="str">
        <f>VLOOKUP(orders__17[[#This Row],[Product_ID]],products[#All],3,0)</f>
        <v>Furniture</v>
      </c>
      <c r="L1535" s="1" t="str">
        <f>VLOOKUP(orders__17[[#This Row],[Product_ID]],products[#All],4,0)</f>
        <v>Table</v>
      </c>
      <c r="M1535" s="1" t="str">
        <f>VLOOKUP(orders__17[[#This Row],[Order_ID]],returns[#All],2,0)</f>
        <v>No</v>
      </c>
    </row>
    <row r="1536" spans="1:13" x14ac:dyDescent="0.3">
      <c r="A1536" s="1" t="s">
        <v>1842</v>
      </c>
      <c r="B1536" s="2">
        <v>44877</v>
      </c>
      <c r="C1536" s="1" t="s">
        <v>217</v>
      </c>
      <c r="D1536" s="1" t="s">
        <v>161</v>
      </c>
      <c r="E1536">
        <v>5</v>
      </c>
      <c r="F1536" s="4">
        <v>1456.7</v>
      </c>
      <c r="G1536" s="3">
        <v>0</v>
      </c>
      <c r="H1536" s="4">
        <v>409.07</v>
      </c>
      <c r="I1536" t="str">
        <f>VLOOKUP(orders__17[[#This Row],[Customer_ID]],customers__2[#All],3,0)</f>
        <v>East</v>
      </c>
      <c r="J1536" t="str">
        <f>VLOOKUP(orders__17[[#This Row],[Customer_ID]],customers__2[#All],4,0)</f>
        <v>Corporate</v>
      </c>
      <c r="K1536" t="str">
        <f>VLOOKUP(orders__17[[#This Row],[Product_ID]],products[#All],3,0)</f>
        <v>Office Supplies</v>
      </c>
      <c r="L1536" s="1" t="str">
        <f>VLOOKUP(orders__17[[#This Row],[Product_ID]],products[#All],4,0)</f>
        <v>Binder</v>
      </c>
      <c r="M1536" s="1" t="str">
        <f>VLOOKUP(orders__17[[#This Row],[Order_ID]],returns[#All],2,0)</f>
        <v>No</v>
      </c>
    </row>
    <row r="1537" spans="1:13" x14ac:dyDescent="0.3">
      <c r="A1537" s="1" t="s">
        <v>1843</v>
      </c>
      <c r="B1537" s="2">
        <v>45456</v>
      </c>
      <c r="C1537" s="1" t="s">
        <v>353</v>
      </c>
      <c r="D1537" s="1" t="s">
        <v>256</v>
      </c>
      <c r="E1537">
        <v>1</v>
      </c>
      <c r="F1537" s="4">
        <v>273.64</v>
      </c>
      <c r="G1537" s="3">
        <v>0.1</v>
      </c>
      <c r="H1537" s="4">
        <v>50.95</v>
      </c>
      <c r="I1537" t="str">
        <f>VLOOKUP(orders__17[[#This Row],[Customer_ID]],customers__2[#All],3,0)</f>
        <v>East</v>
      </c>
      <c r="J1537" t="str">
        <f>VLOOKUP(orders__17[[#This Row],[Customer_ID]],customers__2[#All],4,0)</f>
        <v>Home Office</v>
      </c>
      <c r="K1537" t="str">
        <f>VLOOKUP(orders__17[[#This Row],[Product_ID]],products[#All],3,0)</f>
        <v>Office Supplies</v>
      </c>
      <c r="L1537" s="1" t="str">
        <f>VLOOKUP(orders__17[[#This Row],[Product_ID]],products[#All],4,0)</f>
        <v>Pen</v>
      </c>
      <c r="M1537" s="1" t="str">
        <f>VLOOKUP(orders__17[[#This Row],[Order_ID]],returns[#All],2,0)</f>
        <v>No</v>
      </c>
    </row>
    <row r="1538" spans="1:13" x14ac:dyDescent="0.3">
      <c r="A1538" s="1" t="s">
        <v>1844</v>
      </c>
      <c r="B1538" s="2">
        <v>44638</v>
      </c>
      <c r="C1538" s="1" t="s">
        <v>194</v>
      </c>
      <c r="D1538" s="1" t="s">
        <v>97</v>
      </c>
      <c r="E1538">
        <v>5</v>
      </c>
      <c r="F1538" s="4">
        <v>478.61</v>
      </c>
      <c r="G1538" s="3">
        <v>0</v>
      </c>
      <c r="H1538" s="4">
        <v>56.21</v>
      </c>
      <c r="I1538" t="str">
        <f>VLOOKUP(orders__17[[#This Row],[Customer_ID]],customers__2[#All],3,0)</f>
        <v>North</v>
      </c>
      <c r="J1538" t="str">
        <f>VLOOKUP(orders__17[[#This Row],[Customer_ID]],customers__2[#All],4,0)</f>
        <v>Home Office</v>
      </c>
      <c r="K1538" t="str">
        <f>VLOOKUP(orders__17[[#This Row],[Product_ID]],products[#All],3,0)</f>
        <v>Technology</v>
      </c>
      <c r="L1538" s="1" t="str">
        <f>VLOOKUP(orders__17[[#This Row],[Product_ID]],products[#All],4,0)</f>
        <v>Tablet</v>
      </c>
      <c r="M1538" s="1" t="str">
        <f>VLOOKUP(orders__17[[#This Row],[Order_ID]],returns[#All],2,0)</f>
        <v>No</v>
      </c>
    </row>
    <row r="1539" spans="1:13" x14ac:dyDescent="0.3">
      <c r="A1539" s="1" t="s">
        <v>1845</v>
      </c>
      <c r="B1539" s="2">
        <v>44585</v>
      </c>
      <c r="C1539" s="1" t="s">
        <v>208</v>
      </c>
      <c r="D1539" s="1" t="s">
        <v>288</v>
      </c>
      <c r="E1539">
        <v>5</v>
      </c>
      <c r="F1539" s="4">
        <v>1767.19</v>
      </c>
      <c r="G1539" s="3">
        <v>0.3</v>
      </c>
      <c r="H1539" s="4">
        <v>398.68</v>
      </c>
      <c r="I1539" t="str">
        <f>VLOOKUP(orders__17[[#This Row],[Customer_ID]],customers__2[#All],3,0)</f>
        <v>North</v>
      </c>
      <c r="J1539" t="str">
        <f>VLOOKUP(orders__17[[#This Row],[Customer_ID]],customers__2[#All],4,0)</f>
        <v>Home Office</v>
      </c>
      <c r="K1539" t="str">
        <f>VLOOKUP(orders__17[[#This Row],[Product_ID]],products[#All],3,0)</f>
        <v>Furniture</v>
      </c>
      <c r="L1539" s="1" t="str">
        <f>VLOOKUP(orders__17[[#This Row],[Product_ID]],products[#All],4,0)</f>
        <v>Chair</v>
      </c>
      <c r="M1539" s="1" t="str">
        <f>VLOOKUP(orders__17[[#This Row],[Order_ID]],returns[#All],2,0)</f>
        <v>No</v>
      </c>
    </row>
    <row r="1540" spans="1:13" x14ac:dyDescent="0.3">
      <c r="A1540" s="1" t="s">
        <v>1846</v>
      </c>
      <c r="B1540" s="2">
        <v>45178</v>
      </c>
      <c r="C1540" s="1" t="s">
        <v>598</v>
      </c>
      <c r="D1540" s="1" t="s">
        <v>75</v>
      </c>
      <c r="E1540">
        <v>3</v>
      </c>
      <c r="F1540" s="4">
        <v>1503.57</v>
      </c>
      <c r="G1540" s="3">
        <v>0.1</v>
      </c>
      <c r="H1540" s="4">
        <v>322.85000000000002</v>
      </c>
      <c r="I1540" t="str">
        <f>VLOOKUP(orders__17[[#This Row],[Customer_ID]],customers__2[#All],3,0)</f>
        <v>South</v>
      </c>
      <c r="J1540" t="str">
        <f>VLOOKUP(orders__17[[#This Row],[Customer_ID]],customers__2[#All],4,0)</f>
        <v>Home Office</v>
      </c>
      <c r="K1540" t="str">
        <f>VLOOKUP(orders__17[[#This Row],[Product_ID]],products[#All],3,0)</f>
        <v>Technology</v>
      </c>
      <c r="L1540" s="1" t="str">
        <f>VLOOKUP(orders__17[[#This Row],[Product_ID]],products[#All],4,0)</f>
        <v>Tablet</v>
      </c>
      <c r="M1540" s="1" t="str">
        <f>VLOOKUP(orders__17[[#This Row],[Order_ID]],returns[#All],2,0)</f>
        <v>No</v>
      </c>
    </row>
    <row r="1541" spans="1:13" x14ac:dyDescent="0.3">
      <c r="A1541" s="1" t="s">
        <v>1847</v>
      </c>
      <c r="B1541" s="2">
        <v>45291</v>
      </c>
      <c r="C1541" s="1" t="s">
        <v>607</v>
      </c>
      <c r="D1541" s="1" t="s">
        <v>40</v>
      </c>
      <c r="E1541">
        <v>4</v>
      </c>
      <c r="F1541" s="4">
        <v>126.12</v>
      </c>
      <c r="G1541" s="3">
        <v>0.1</v>
      </c>
      <c r="H1541" s="4">
        <v>37.49</v>
      </c>
      <c r="I1541" t="str">
        <f>VLOOKUP(orders__17[[#This Row],[Customer_ID]],customers__2[#All],3,0)</f>
        <v>East</v>
      </c>
      <c r="J1541" t="str">
        <f>VLOOKUP(orders__17[[#This Row],[Customer_ID]],customers__2[#All],4,0)</f>
        <v>Consumer</v>
      </c>
      <c r="K1541" t="str">
        <f>VLOOKUP(orders__17[[#This Row],[Product_ID]],products[#All],3,0)</f>
        <v>Office Supplies</v>
      </c>
      <c r="L1541" s="1" t="str">
        <f>VLOOKUP(orders__17[[#This Row],[Product_ID]],products[#All],4,0)</f>
        <v>Storage</v>
      </c>
      <c r="M1541" s="1" t="str">
        <f>VLOOKUP(orders__17[[#This Row],[Order_ID]],returns[#All],2,0)</f>
        <v>No</v>
      </c>
    </row>
    <row r="1542" spans="1:13" x14ac:dyDescent="0.3">
      <c r="A1542" s="1" t="s">
        <v>1848</v>
      </c>
      <c r="B1542" s="2">
        <v>44939</v>
      </c>
      <c r="C1542" s="1" t="s">
        <v>482</v>
      </c>
      <c r="D1542" s="1" t="s">
        <v>757</v>
      </c>
      <c r="E1542">
        <v>2</v>
      </c>
      <c r="F1542" s="4">
        <v>571.91</v>
      </c>
      <c r="G1542" s="3">
        <v>0.3</v>
      </c>
      <c r="H1542" s="4">
        <v>66.489999999999995</v>
      </c>
      <c r="I1542" t="str">
        <f>VLOOKUP(orders__17[[#This Row],[Customer_ID]],customers__2[#All],3,0)</f>
        <v>North</v>
      </c>
      <c r="J1542" t="str">
        <f>VLOOKUP(orders__17[[#This Row],[Customer_ID]],customers__2[#All],4,0)</f>
        <v>Consumer</v>
      </c>
      <c r="K1542" t="str">
        <f>VLOOKUP(orders__17[[#This Row],[Product_ID]],products[#All],3,0)</f>
        <v>Office Supplies</v>
      </c>
      <c r="L1542" s="1" t="str">
        <f>VLOOKUP(orders__17[[#This Row],[Product_ID]],products[#All],4,0)</f>
        <v>Pen</v>
      </c>
      <c r="M1542" s="1" t="str">
        <f>VLOOKUP(orders__17[[#This Row],[Order_ID]],returns[#All],2,0)</f>
        <v>Yes</v>
      </c>
    </row>
    <row r="1543" spans="1:13" x14ac:dyDescent="0.3">
      <c r="A1543" s="1" t="s">
        <v>1849</v>
      </c>
      <c r="B1543" s="2">
        <v>45072</v>
      </c>
      <c r="C1543" s="1" t="s">
        <v>63</v>
      </c>
      <c r="D1543" s="1" t="s">
        <v>31</v>
      </c>
      <c r="E1543">
        <v>4</v>
      </c>
      <c r="F1543" s="4">
        <v>507.37</v>
      </c>
      <c r="G1543" s="3">
        <v>0.2</v>
      </c>
      <c r="H1543" s="4">
        <v>110.61</v>
      </c>
      <c r="I1543" t="str">
        <f>VLOOKUP(orders__17[[#This Row],[Customer_ID]],customers__2[#All],3,0)</f>
        <v>East</v>
      </c>
      <c r="J1543" t="str">
        <f>VLOOKUP(orders__17[[#This Row],[Customer_ID]],customers__2[#All],4,0)</f>
        <v>Home Office</v>
      </c>
      <c r="K1543" t="str">
        <f>VLOOKUP(orders__17[[#This Row],[Product_ID]],products[#All],3,0)</f>
        <v>Furniture</v>
      </c>
      <c r="L1543" s="1" t="str">
        <f>VLOOKUP(orders__17[[#This Row],[Product_ID]],products[#All],4,0)</f>
        <v>Chair</v>
      </c>
      <c r="M1543" s="1" t="str">
        <f>VLOOKUP(orders__17[[#This Row],[Order_ID]],returns[#All],2,0)</f>
        <v>No</v>
      </c>
    </row>
    <row r="1544" spans="1:13" x14ac:dyDescent="0.3">
      <c r="A1544" s="1" t="s">
        <v>1850</v>
      </c>
      <c r="B1544" s="2">
        <v>44798</v>
      </c>
      <c r="C1544" s="1" t="s">
        <v>1181</v>
      </c>
      <c r="D1544" s="1" t="s">
        <v>97</v>
      </c>
      <c r="E1544">
        <v>3</v>
      </c>
      <c r="F1544" s="4">
        <v>614.53</v>
      </c>
      <c r="G1544" s="3">
        <v>0.1</v>
      </c>
      <c r="H1544" s="4">
        <v>38.72</v>
      </c>
      <c r="I1544" t="str">
        <f>VLOOKUP(orders__17[[#This Row],[Customer_ID]],customers__2[#All],3,0)</f>
        <v>West</v>
      </c>
      <c r="J1544" t="str">
        <f>VLOOKUP(orders__17[[#This Row],[Customer_ID]],customers__2[#All],4,0)</f>
        <v>Consumer</v>
      </c>
      <c r="K1544" t="str">
        <f>VLOOKUP(orders__17[[#This Row],[Product_ID]],products[#All],3,0)</f>
        <v>Technology</v>
      </c>
      <c r="L1544" s="1" t="str">
        <f>VLOOKUP(orders__17[[#This Row],[Product_ID]],products[#All],4,0)</f>
        <v>Tablet</v>
      </c>
      <c r="M1544" s="1" t="str">
        <f>VLOOKUP(orders__17[[#This Row],[Order_ID]],returns[#All],2,0)</f>
        <v>No</v>
      </c>
    </row>
    <row r="1545" spans="1:13" x14ac:dyDescent="0.3">
      <c r="A1545" s="1" t="s">
        <v>1851</v>
      </c>
      <c r="B1545" s="2">
        <v>44718</v>
      </c>
      <c r="C1545" s="1" t="s">
        <v>316</v>
      </c>
      <c r="D1545" s="1" t="s">
        <v>392</v>
      </c>
      <c r="E1545">
        <v>3</v>
      </c>
      <c r="F1545" s="4">
        <v>570.36</v>
      </c>
      <c r="G1545" s="3">
        <v>0.1</v>
      </c>
      <c r="H1545" s="4">
        <v>44.72</v>
      </c>
      <c r="I1545" t="str">
        <f>VLOOKUP(orders__17[[#This Row],[Customer_ID]],customers__2[#All],3,0)</f>
        <v>South</v>
      </c>
      <c r="J1545" t="str">
        <f>VLOOKUP(orders__17[[#This Row],[Customer_ID]],customers__2[#All],4,0)</f>
        <v>Home Office</v>
      </c>
      <c r="K1545" t="str">
        <f>VLOOKUP(orders__17[[#This Row],[Product_ID]],products[#All],3,0)</f>
        <v>Furniture</v>
      </c>
      <c r="L1545" s="1" t="str">
        <f>VLOOKUP(orders__17[[#This Row],[Product_ID]],products[#All],4,0)</f>
        <v>Desk</v>
      </c>
      <c r="M1545" s="1" t="str">
        <f>VLOOKUP(orders__17[[#This Row],[Order_ID]],returns[#All],2,0)</f>
        <v>No</v>
      </c>
    </row>
    <row r="1546" spans="1:13" x14ac:dyDescent="0.3">
      <c r="A1546" s="1" t="s">
        <v>1852</v>
      </c>
      <c r="B1546" s="2">
        <v>45312</v>
      </c>
      <c r="C1546" s="1" t="s">
        <v>268</v>
      </c>
      <c r="D1546" s="1" t="s">
        <v>278</v>
      </c>
      <c r="E1546">
        <v>3</v>
      </c>
      <c r="F1546" s="4">
        <v>218.8</v>
      </c>
      <c r="G1546" s="3">
        <v>0</v>
      </c>
      <c r="H1546" s="4">
        <v>11.15</v>
      </c>
      <c r="I1546" t="str">
        <f>VLOOKUP(orders__17[[#This Row],[Customer_ID]],customers__2[#All],3,0)</f>
        <v>East</v>
      </c>
      <c r="J1546" t="str">
        <f>VLOOKUP(orders__17[[#This Row],[Customer_ID]],customers__2[#All],4,0)</f>
        <v>Consumer</v>
      </c>
      <c r="K1546" t="str">
        <f>VLOOKUP(orders__17[[#This Row],[Product_ID]],products[#All],3,0)</f>
        <v>Office Supplies</v>
      </c>
      <c r="L1546" s="1" t="str">
        <f>VLOOKUP(orders__17[[#This Row],[Product_ID]],products[#All],4,0)</f>
        <v>Pen</v>
      </c>
      <c r="M1546" s="1" t="str">
        <f>VLOOKUP(orders__17[[#This Row],[Order_ID]],returns[#All],2,0)</f>
        <v>Yes</v>
      </c>
    </row>
    <row r="1547" spans="1:13" x14ac:dyDescent="0.3">
      <c r="A1547" s="1" t="s">
        <v>1853</v>
      </c>
      <c r="B1547" s="2">
        <v>45440</v>
      </c>
      <c r="C1547" s="1" t="s">
        <v>529</v>
      </c>
      <c r="D1547" s="1" t="s">
        <v>132</v>
      </c>
      <c r="E1547">
        <v>1</v>
      </c>
      <c r="F1547" s="4">
        <v>971.99</v>
      </c>
      <c r="G1547" s="3">
        <v>0.2</v>
      </c>
      <c r="H1547" s="4">
        <v>291.47000000000003</v>
      </c>
      <c r="I1547" t="str">
        <f>VLOOKUP(orders__17[[#This Row],[Customer_ID]],customers__2[#All],3,0)</f>
        <v>South</v>
      </c>
      <c r="J1547" t="str">
        <f>VLOOKUP(orders__17[[#This Row],[Customer_ID]],customers__2[#All],4,0)</f>
        <v>Corporate</v>
      </c>
      <c r="K1547" t="str">
        <f>VLOOKUP(orders__17[[#This Row],[Product_ID]],products[#All],3,0)</f>
        <v>Furniture</v>
      </c>
      <c r="L1547" s="1" t="str">
        <f>VLOOKUP(orders__17[[#This Row],[Product_ID]],products[#All],4,0)</f>
        <v>Shelf</v>
      </c>
      <c r="M1547" s="1" t="str">
        <f>VLOOKUP(orders__17[[#This Row],[Order_ID]],returns[#All],2,0)</f>
        <v>No</v>
      </c>
    </row>
    <row r="1548" spans="1:13" x14ac:dyDescent="0.3">
      <c r="A1548" s="1" t="s">
        <v>1854</v>
      </c>
      <c r="B1548" s="2">
        <v>45004</v>
      </c>
      <c r="C1548" s="1" t="s">
        <v>729</v>
      </c>
      <c r="D1548" s="1" t="s">
        <v>54</v>
      </c>
      <c r="E1548">
        <v>4</v>
      </c>
      <c r="F1548" s="4">
        <v>1492.19</v>
      </c>
      <c r="G1548" s="3">
        <v>0</v>
      </c>
      <c r="H1548" s="4">
        <v>373.9</v>
      </c>
      <c r="I1548" t="str">
        <f>VLOOKUP(orders__17[[#This Row],[Customer_ID]],customers__2[#All],3,0)</f>
        <v>North</v>
      </c>
      <c r="J1548" t="str">
        <f>VLOOKUP(orders__17[[#This Row],[Customer_ID]],customers__2[#All],4,0)</f>
        <v>Home Office</v>
      </c>
      <c r="K1548" t="str">
        <f>VLOOKUP(orders__17[[#This Row],[Product_ID]],products[#All],3,0)</f>
        <v>Office Supplies</v>
      </c>
      <c r="L1548" s="1" t="str">
        <f>VLOOKUP(orders__17[[#This Row],[Product_ID]],products[#All],4,0)</f>
        <v>Binder</v>
      </c>
      <c r="M1548" s="1" t="str">
        <f>VLOOKUP(orders__17[[#This Row],[Order_ID]],returns[#All],2,0)</f>
        <v>No</v>
      </c>
    </row>
    <row r="1549" spans="1:13" x14ac:dyDescent="0.3">
      <c r="A1549" s="1" t="s">
        <v>1855</v>
      </c>
      <c r="B1549" s="2">
        <v>44721</v>
      </c>
      <c r="C1549" s="1" t="s">
        <v>1043</v>
      </c>
      <c r="D1549" s="1" t="s">
        <v>161</v>
      </c>
      <c r="E1549">
        <v>4</v>
      </c>
      <c r="F1549" s="4">
        <v>1252.79</v>
      </c>
      <c r="G1549" s="3">
        <v>0</v>
      </c>
      <c r="H1549" s="4">
        <v>309.04000000000002</v>
      </c>
      <c r="I1549" t="str">
        <f>VLOOKUP(orders__17[[#This Row],[Customer_ID]],customers__2[#All],3,0)</f>
        <v>South</v>
      </c>
      <c r="J1549" t="str">
        <f>VLOOKUP(orders__17[[#This Row],[Customer_ID]],customers__2[#All],4,0)</f>
        <v>Corporate</v>
      </c>
      <c r="K1549" t="str">
        <f>VLOOKUP(orders__17[[#This Row],[Product_ID]],products[#All],3,0)</f>
        <v>Office Supplies</v>
      </c>
      <c r="L1549" s="1" t="str">
        <f>VLOOKUP(orders__17[[#This Row],[Product_ID]],products[#All],4,0)</f>
        <v>Binder</v>
      </c>
      <c r="M1549" s="1" t="str">
        <f>VLOOKUP(orders__17[[#This Row],[Order_ID]],returns[#All],2,0)</f>
        <v>Yes</v>
      </c>
    </row>
    <row r="1550" spans="1:13" x14ac:dyDescent="0.3">
      <c r="A1550" s="1" t="s">
        <v>1856</v>
      </c>
      <c r="B1550" s="2">
        <v>44869</v>
      </c>
      <c r="C1550" s="1" t="s">
        <v>88</v>
      </c>
      <c r="D1550" s="1" t="s">
        <v>278</v>
      </c>
      <c r="E1550">
        <v>5</v>
      </c>
      <c r="F1550" s="4">
        <v>1378.46</v>
      </c>
      <c r="G1550" s="3">
        <v>0.2</v>
      </c>
      <c r="H1550" s="4">
        <v>244.58</v>
      </c>
      <c r="I1550" t="str">
        <f>VLOOKUP(orders__17[[#This Row],[Customer_ID]],customers__2[#All],3,0)</f>
        <v>West</v>
      </c>
      <c r="J1550" t="str">
        <f>VLOOKUP(orders__17[[#This Row],[Customer_ID]],customers__2[#All],4,0)</f>
        <v>Corporate</v>
      </c>
      <c r="K1550" t="str">
        <f>VLOOKUP(orders__17[[#This Row],[Product_ID]],products[#All],3,0)</f>
        <v>Office Supplies</v>
      </c>
      <c r="L1550" s="1" t="str">
        <f>VLOOKUP(orders__17[[#This Row],[Product_ID]],products[#All],4,0)</f>
        <v>Pen</v>
      </c>
      <c r="M1550" s="1" t="str">
        <f>VLOOKUP(orders__17[[#This Row],[Order_ID]],returns[#All],2,0)</f>
        <v>Yes</v>
      </c>
    </row>
    <row r="1551" spans="1:13" x14ac:dyDescent="0.3">
      <c r="A1551" s="1" t="s">
        <v>1857</v>
      </c>
      <c r="B1551" s="2">
        <v>44749</v>
      </c>
      <c r="C1551" s="1" t="s">
        <v>744</v>
      </c>
      <c r="D1551" s="1" t="s">
        <v>392</v>
      </c>
      <c r="E1551">
        <v>5</v>
      </c>
      <c r="F1551" s="4">
        <v>254.18</v>
      </c>
      <c r="G1551" s="3">
        <v>0.2</v>
      </c>
      <c r="H1551" s="4">
        <v>31.78</v>
      </c>
      <c r="I1551" t="str">
        <f>VLOOKUP(orders__17[[#This Row],[Customer_ID]],customers__2[#All],3,0)</f>
        <v>East</v>
      </c>
      <c r="J1551" t="str">
        <f>VLOOKUP(orders__17[[#This Row],[Customer_ID]],customers__2[#All],4,0)</f>
        <v>Consumer</v>
      </c>
      <c r="K1551" t="str">
        <f>VLOOKUP(orders__17[[#This Row],[Product_ID]],products[#All],3,0)</f>
        <v>Furniture</v>
      </c>
      <c r="L1551" s="1" t="str">
        <f>VLOOKUP(orders__17[[#This Row],[Product_ID]],products[#All],4,0)</f>
        <v>Desk</v>
      </c>
      <c r="M1551" s="1" t="str">
        <f>VLOOKUP(orders__17[[#This Row],[Order_ID]],returns[#All],2,0)</f>
        <v>No</v>
      </c>
    </row>
    <row r="1552" spans="1:13" x14ac:dyDescent="0.3">
      <c r="A1552" s="1" t="s">
        <v>1858</v>
      </c>
      <c r="B1552" s="2">
        <v>44932</v>
      </c>
      <c r="C1552" s="1" t="s">
        <v>610</v>
      </c>
      <c r="D1552" s="1" t="s">
        <v>309</v>
      </c>
      <c r="E1552">
        <v>5</v>
      </c>
      <c r="F1552" s="4">
        <v>1907.83</v>
      </c>
      <c r="G1552" s="3">
        <v>0.3</v>
      </c>
      <c r="H1552" s="4">
        <v>167.54</v>
      </c>
      <c r="I1552" t="str">
        <f>VLOOKUP(orders__17[[#This Row],[Customer_ID]],customers__2[#All],3,0)</f>
        <v>West</v>
      </c>
      <c r="J1552" t="str">
        <f>VLOOKUP(orders__17[[#This Row],[Customer_ID]],customers__2[#All],4,0)</f>
        <v>Home Office</v>
      </c>
      <c r="K1552" t="str">
        <f>VLOOKUP(orders__17[[#This Row],[Product_ID]],products[#All],3,0)</f>
        <v>Office Supplies</v>
      </c>
      <c r="L1552" s="1" t="str">
        <f>VLOOKUP(orders__17[[#This Row],[Product_ID]],products[#All],4,0)</f>
        <v>Pen</v>
      </c>
      <c r="M1552" s="1" t="str">
        <f>VLOOKUP(orders__17[[#This Row],[Order_ID]],returns[#All],2,0)</f>
        <v>No</v>
      </c>
    </row>
    <row r="1553" spans="1:13" x14ac:dyDescent="0.3">
      <c r="A1553" s="1" t="s">
        <v>1859</v>
      </c>
      <c r="B1553" s="2">
        <v>45254</v>
      </c>
      <c r="C1553" s="1" t="s">
        <v>96</v>
      </c>
      <c r="D1553" s="1" t="s">
        <v>727</v>
      </c>
      <c r="E1553">
        <v>3</v>
      </c>
      <c r="F1553" s="4">
        <v>1693.13</v>
      </c>
      <c r="G1553" s="3">
        <v>0.2</v>
      </c>
      <c r="H1553" s="4">
        <v>205.15</v>
      </c>
      <c r="I1553" t="str">
        <f>VLOOKUP(orders__17[[#This Row],[Customer_ID]],customers__2[#All],3,0)</f>
        <v>West</v>
      </c>
      <c r="J1553" t="str">
        <f>VLOOKUP(orders__17[[#This Row],[Customer_ID]],customers__2[#All],4,0)</f>
        <v>Corporate</v>
      </c>
      <c r="K1553" t="str">
        <f>VLOOKUP(orders__17[[#This Row],[Product_ID]],products[#All],3,0)</f>
        <v>Furniture</v>
      </c>
      <c r="L1553" s="1" t="str">
        <f>VLOOKUP(orders__17[[#This Row],[Product_ID]],products[#All],4,0)</f>
        <v>Chair</v>
      </c>
      <c r="M1553" s="1" t="str">
        <f>VLOOKUP(orders__17[[#This Row],[Order_ID]],returns[#All],2,0)</f>
        <v>No</v>
      </c>
    </row>
    <row r="1554" spans="1:13" x14ac:dyDescent="0.3">
      <c r="A1554" s="1" t="s">
        <v>1860</v>
      </c>
      <c r="B1554" s="2">
        <v>44898</v>
      </c>
      <c r="C1554" s="1" t="s">
        <v>1043</v>
      </c>
      <c r="D1554" s="1" t="s">
        <v>234</v>
      </c>
      <c r="E1554">
        <v>4</v>
      </c>
      <c r="F1554" s="4">
        <v>1629.67</v>
      </c>
      <c r="G1554" s="3">
        <v>0.1</v>
      </c>
      <c r="H1554" s="4">
        <v>234.66</v>
      </c>
      <c r="I1554" t="str">
        <f>VLOOKUP(orders__17[[#This Row],[Customer_ID]],customers__2[#All],3,0)</f>
        <v>South</v>
      </c>
      <c r="J1554" t="str">
        <f>VLOOKUP(orders__17[[#This Row],[Customer_ID]],customers__2[#All],4,0)</f>
        <v>Corporate</v>
      </c>
      <c r="K1554" t="str">
        <f>VLOOKUP(orders__17[[#This Row],[Product_ID]],products[#All],3,0)</f>
        <v>Furniture</v>
      </c>
      <c r="L1554" s="1" t="str">
        <f>VLOOKUP(orders__17[[#This Row],[Product_ID]],products[#All],4,0)</f>
        <v>Shelf</v>
      </c>
      <c r="M1554" s="1" t="str">
        <f>VLOOKUP(orders__17[[#This Row],[Order_ID]],returns[#All],2,0)</f>
        <v>No</v>
      </c>
    </row>
    <row r="1555" spans="1:13" x14ac:dyDescent="0.3">
      <c r="A1555" s="1" t="s">
        <v>1861</v>
      </c>
      <c r="B1555" s="2">
        <v>44700</v>
      </c>
      <c r="C1555" s="1" t="s">
        <v>744</v>
      </c>
      <c r="D1555" s="1" t="s">
        <v>34</v>
      </c>
      <c r="E1555">
        <v>3</v>
      </c>
      <c r="F1555" s="4">
        <v>1663.67</v>
      </c>
      <c r="G1555" s="3">
        <v>0.2</v>
      </c>
      <c r="H1555" s="4">
        <v>397.75</v>
      </c>
      <c r="I1555" t="str">
        <f>VLOOKUP(orders__17[[#This Row],[Customer_ID]],customers__2[#All],3,0)</f>
        <v>East</v>
      </c>
      <c r="J1555" t="str">
        <f>VLOOKUP(orders__17[[#This Row],[Customer_ID]],customers__2[#All],4,0)</f>
        <v>Consumer</v>
      </c>
      <c r="K1555" t="str">
        <f>VLOOKUP(orders__17[[#This Row],[Product_ID]],products[#All],3,0)</f>
        <v>Furniture</v>
      </c>
      <c r="L1555" s="1" t="str">
        <f>VLOOKUP(orders__17[[#This Row],[Product_ID]],products[#All],4,0)</f>
        <v>Table</v>
      </c>
      <c r="M1555" s="1" t="str">
        <f>VLOOKUP(orders__17[[#This Row],[Order_ID]],returns[#All],2,0)</f>
        <v>No</v>
      </c>
    </row>
    <row r="1556" spans="1:13" x14ac:dyDescent="0.3">
      <c r="A1556" s="1" t="s">
        <v>1862</v>
      </c>
      <c r="B1556" s="2">
        <v>44692</v>
      </c>
      <c r="C1556" s="1" t="s">
        <v>106</v>
      </c>
      <c r="D1556" s="1" t="s">
        <v>304</v>
      </c>
      <c r="E1556">
        <v>1</v>
      </c>
      <c r="F1556" s="4">
        <v>1872.15</v>
      </c>
      <c r="G1556" s="3">
        <v>0.3</v>
      </c>
      <c r="H1556" s="4">
        <v>346.19</v>
      </c>
      <c r="I1556" t="str">
        <f>VLOOKUP(orders__17[[#This Row],[Customer_ID]],customers__2[#All],3,0)</f>
        <v>South</v>
      </c>
      <c r="J1556" t="str">
        <f>VLOOKUP(orders__17[[#This Row],[Customer_ID]],customers__2[#All],4,0)</f>
        <v>Consumer</v>
      </c>
      <c r="K1556" t="str">
        <f>VLOOKUP(orders__17[[#This Row],[Product_ID]],products[#All],3,0)</f>
        <v>Technology</v>
      </c>
      <c r="L1556" s="1" t="str">
        <f>VLOOKUP(orders__17[[#This Row],[Product_ID]],products[#All],4,0)</f>
        <v>Accessories</v>
      </c>
      <c r="M1556" s="1" t="str">
        <f>VLOOKUP(orders__17[[#This Row],[Order_ID]],returns[#All],2,0)</f>
        <v>No</v>
      </c>
    </row>
    <row r="1557" spans="1:13" x14ac:dyDescent="0.3">
      <c r="A1557" s="1" t="s">
        <v>1863</v>
      </c>
      <c r="B1557" s="2">
        <v>45045</v>
      </c>
      <c r="C1557" s="1" t="s">
        <v>439</v>
      </c>
      <c r="D1557" s="1" t="s">
        <v>314</v>
      </c>
      <c r="E1557">
        <v>5</v>
      </c>
      <c r="F1557" s="4">
        <v>1134.08</v>
      </c>
      <c r="G1557" s="3">
        <v>0.3</v>
      </c>
      <c r="H1557" s="4">
        <v>78.67</v>
      </c>
      <c r="I1557" t="str">
        <f>VLOOKUP(orders__17[[#This Row],[Customer_ID]],customers__2[#All],3,0)</f>
        <v>West</v>
      </c>
      <c r="J1557" t="str">
        <f>VLOOKUP(orders__17[[#This Row],[Customer_ID]],customers__2[#All],4,0)</f>
        <v>Corporate</v>
      </c>
      <c r="K1557" t="str">
        <f>VLOOKUP(orders__17[[#This Row],[Product_ID]],products[#All],3,0)</f>
        <v>Office Supplies</v>
      </c>
      <c r="L1557" s="1" t="str">
        <f>VLOOKUP(orders__17[[#This Row],[Product_ID]],products[#All],4,0)</f>
        <v>Paper</v>
      </c>
      <c r="M1557" s="1" t="str">
        <f>VLOOKUP(orders__17[[#This Row],[Order_ID]],returns[#All],2,0)</f>
        <v>No</v>
      </c>
    </row>
    <row r="1558" spans="1:13" x14ac:dyDescent="0.3">
      <c r="A1558" s="1" t="s">
        <v>1864</v>
      </c>
      <c r="B1558" s="2">
        <v>44703</v>
      </c>
      <c r="C1558" s="1" t="s">
        <v>244</v>
      </c>
      <c r="D1558" s="1" t="s">
        <v>455</v>
      </c>
      <c r="E1558">
        <v>3</v>
      </c>
      <c r="F1558" s="4">
        <v>480.54</v>
      </c>
      <c r="G1558" s="3">
        <v>0.3</v>
      </c>
      <c r="H1558" s="4">
        <v>26.19</v>
      </c>
      <c r="I1558" t="str">
        <f>VLOOKUP(orders__17[[#This Row],[Customer_ID]],customers__2[#All],3,0)</f>
        <v>South</v>
      </c>
      <c r="J1558" t="str">
        <f>VLOOKUP(orders__17[[#This Row],[Customer_ID]],customers__2[#All],4,0)</f>
        <v>Corporate</v>
      </c>
      <c r="K1558" t="str">
        <f>VLOOKUP(orders__17[[#This Row],[Product_ID]],products[#All],3,0)</f>
        <v>Furniture</v>
      </c>
      <c r="L1558" s="1" t="str">
        <f>VLOOKUP(orders__17[[#This Row],[Product_ID]],products[#All],4,0)</f>
        <v>Shelf</v>
      </c>
      <c r="M1558" s="1" t="str">
        <f>VLOOKUP(orders__17[[#This Row],[Order_ID]],returns[#All],2,0)</f>
        <v>No</v>
      </c>
    </row>
    <row r="1559" spans="1:13" x14ac:dyDescent="0.3">
      <c r="A1559" s="1" t="s">
        <v>1865</v>
      </c>
      <c r="B1559" s="2">
        <v>45268</v>
      </c>
      <c r="C1559" s="1" t="s">
        <v>15</v>
      </c>
      <c r="D1559" s="1" t="s">
        <v>97</v>
      </c>
      <c r="E1559">
        <v>3</v>
      </c>
      <c r="F1559" s="4">
        <v>1271.8900000000001</v>
      </c>
      <c r="G1559" s="3">
        <v>0.2</v>
      </c>
      <c r="H1559" s="4">
        <v>96.13</v>
      </c>
      <c r="I1559" t="str">
        <f>VLOOKUP(orders__17[[#This Row],[Customer_ID]],customers__2[#All],3,0)</f>
        <v>West</v>
      </c>
      <c r="J1559" t="str">
        <f>VLOOKUP(orders__17[[#This Row],[Customer_ID]],customers__2[#All],4,0)</f>
        <v>Corporate</v>
      </c>
      <c r="K1559" t="str">
        <f>VLOOKUP(orders__17[[#This Row],[Product_ID]],products[#All],3,0)</f>
        <v>Technology</v>
      </c>
      <c r="L1559" s="1" t="str">
        <f>VLOOKUP(orders__17[[#This Row],[Product_ID]],products[#All],4,0)</f>
        <v>Tablet</v>
      </c>
      <c r="M1559" s="1" t="str">
        <f>VLOOKUP(orders__17[[#This Row],[Order_ID]],returns[#All],2,0)</f>
        <v>Yes</v>
      </c>
    </row>
    <row r="1560" spans="1:13" x14ac:dyDescent="0.3">
      <c r="A1560" s="1" t="s">
        <v>1866</v>
      </c>
      <c r="B1560" s="2">
        <v>45328</v>
      </c>
      <c r="C1560" s="1" t="s">
        <v>277</v>
      </c>
      <c r="D1560" s="1" t="s">
        <v>16</v>
      </c>
      <c r="E1560">
        <v>1</v>
      </c>
      <c r="F1560" s="4">
        <v>1511.47</v>
      </c>
      <c r="G1560" s="3">
        <v>0.2</v>
      </c>
      <c r="H1560" s="4">
        <v>230.69</v>
      </c>
      <c r="I1560" t="str">
        <f>VLOOKUP(orders__17[[#This Row],[Customer_ID]],customers__2[#All],3,0)</f>
        <v>North</v>
      </c>
      <c r="J1560" t="str">
        <f>VLOOKUP(orders__17[[#This Row],[Customer_ID]],customers__2[#All],4,0)</f>
        <v>Corporate</v>
      </c>
      <c r="K1560" t="str">
        <f>VLOOKUP(orders__17[[#This Row],[Product_ID]],products[#All],3,0)</f>
        <v>Technology</v>
      </c>
      <c r="L1560" s="1" t="str">
        <f>VLOOKUP(orders__17[[#This Row],[Product_ID]],products[#All],4,0)</f>
        <v>Laptop</v>
      </c>
      <c r="M1560" s="1" t="str">
        <f>VLOOKUP(orders__17[[#This Row],[Order_ID]],returns[#All],2,0)</f>
        <v>No</v>
      </c>
    </row>
    <row r="1561" spans="1:13" x14ac:dyDescent="0.3">
      <c r="A1561" s="1" t="s">
        <v>1867</v>
      </c>
      <c r="B1561" s="2">
        <v>45417</v>
      </c>
      <c r="C1561" s="1" t="s">
        <v>662</v>
      </c>
      <c r="D1561" s="1" t="s">
        <v>603</v>
      </c>
      <c r="E1561">
        <v>2</v>
      </c>
      <c r="F1561" s="4">
        <v>1502.04</v>
      </c>
      <c r="G1561" s="3">
        <v>0</v>
      </c>
      <c r="H1561" s="4">
        <v>425.53</v>
      </c>
      <c r="I1561" t="str">
        <f>VLOOKUP(orders__17[[#This Row],[Customer_ID]],customers__2[#All],3,0)</f>
        <v>North</v>
      </c>
      <c r="J1561" t="str">
        <f>VLOOKUP(orders__17[[#This Row],[Customer_ID]],customers__2[#All],4,0)</f>
        <v>Corporate</v>
      </c>
      <c r="K1561" t="str">
        <f>VLOOKUP(orders__17[[#This Row],[Product_ID]],products[#All],3,0)</f>
        <v>Technology</v>
      </c>
      <c r="L1561" s="1" t="str">
        <f>VLOOKUP(orders__17[[#This Row],[Product_ID]],products[#All],4,0)</f>
        <v>Accessories</v>
      </c>
      <c r="M1561" s="1" t="str">
        <f>VLOOKUP(orders__17[[#This Row],[Order_ID]],returns[#All],2,0)</f>
        <v>No</v>
      </c>
    </row>
    <row r="1562" spans="1:13" x14ac:dyDescent="0.3">
      <c r="A1562" s="1" t="s">
        <v>1868</v>
      </c>
      <c r="B1562" s="2">
        <v>44983</v>
      </c>
      <c r="C1562" s="1" t="s">
        <v>330</v>
      </c>
      <c r="D1562" s="1" t="s">
        <v>19</v>
      </c>
      <c r="E1562">
        <v>4</v>
      </c>
      <c r="F1562" s="4">
        <v>1090.75</v>
      </c>
      <c r="G1562" s="3">
        <v>0</v>
      </c>
      <c r="H1562" s="4">
        <v>228.35</v>
      </c>
      <c r="I1562" t="str">
        <f>VLOOKUP(orders__17[[#This Row],[Customer_ID]],customers__2[#All],3,0)</f>
        <v>South</v>
      </c>
      <c r="J1562" t="str">
        <f>VLOOKUP(orders__17[[#This Row],[Customer_ID]],customers__2[#All],4,0)</f>
        <v>Consumer</v>
      </c>
      <c r="K1562" t="str">
        <f>VLOOKUP(orders__17[[#This Row],[Product_ID]],products[#All],3,0)</f>
        <v>Office Supplies</v>
      </c>
      <c r="L1562" s="1" t="str">
        <f>VLOOKUP(orders__17[[#This Row],[Product_ID]],products[#All],4,0)</f>
        <v>Pen</v>
      </c>
      <c r="M1562" s="1" t="str">
        <f>VLOOKUP(orders__17[[#This Row],[Order_ID]],returns[#All],2,0)</f>
        <v>No</v>
      </c>
    </row>
    <row r="1563" spans="1:13" x14ac:dyDescent="0.3">
      <c r="A1563" s="1" t="s">
        <v>1869</v>
      </c>
      <c r="B1563" s="2">
        <v>44696</v>
      </c>
      <c r="C1563" s="1" t="s">
        <v>449</v>
      </c>
      <c r="D1563" s="1" t="s">
        <v>211</v>
      </c>
      <c r="E1563">
        <v>2</v>
      </c>
      <c r="F1563" s="4">
        <v>230.07</v>
      </c>
      <c r="G1563" s="3">
        <v>0.1</v>
      </c>
      <c r="H1563" s="4">
        <v>57.62</v>
      </c>
      <c r="I1563" t="str">
        <f>VLOOKUP(orders__17[[#This Row],[Customer_ID]],customers__2[#All],3,0)</f>
        <v>North</v>
      </c>
      <c r="J1563" t="str">
        <f>VLOOKUP(orders__17[[#This Row],[Customer_ID]],customers__2[#All],4,0)</f>
        <v>Consumer</v>
      </c>
      <c r="K1563" t="str">
        <f>VLOOKUP(orders__17[[#This Row],[Product_ID]],products[#All],3,0)</f>
        <v>Office Supplies</v>
      </c>
      <c r="L1563" s="1" t="str">
        <f>VLOOKUP(orders__17[[#This Row],[Product_ID]],products[#All],4,0)</f>
        <v>Binder</v>
      </c>
      <c r="M1563" s="1" t="str">
        <f>VLOOKUP(orders__17[[#This Row],[Order_ID]],returns[#All],2,0)</f>
        <v>No</v>
      </c>
    </row>
    <row r="1564" spans="1:13" x14ac:dyDescent="0.3">
      <c r="A1564" s="1" t="s">
        <v>1870</v>
      </c>
      <c r="B1564" s="2">
        <v>45126</v>
      </c>
      <c r="C1564" s="1" t="s">
        <v>328</v>
      </c>
      <c r="D1564" s="1" t="s">
        <v>28</v>
      </c>
      <c r="E1564">
        <v>5</v>
      </c>
      <c r="F1564" s="4">
        <v>805.11</v>
      </c>
      <c r="G1564" s="3">
        <v>0</v>
      </c>
      <c r="H1564" s="4">
        <v>134.13</v>
      </c>
      <c r="I1564" t="str">
        <f>VLOOKUP(orders__17[[#This Row],[Customer_ID]],customers__2[#All],3,0)</f>
        <v>South</v>
      </c>
      <c r="J1564" t="str">
        <f>VLOOKUP(orders__17[[#This Row],[Customer_ID]],customers__2[#All],4,0)</f>
        <v>Corporate</v>
      </c>
      <c r="K1564" t="str">
        <f>VLOOKUP(orders__17[[#This Row],[Product_ID]],products[#All],3,0)</f>
        <v>Office Supplies</v>
      </c>
      <c r="L1564" s="1" t="str">
        <f>VLOOKUP(orders__17[[#This Row],[Product_ID]],products[#All],4,0)</f>
        <v>Storage</v>
      </c>
      <c r="M1564" s="1" t="str">
        <f>VLOOKUP(orders__17[[#This Row],[Order_ID]],returns[#All],2,0)</f>
        <v>Yes</v>
      </c>
    </row>
    <row r="1565" spans="1:13" x14ac:dyDescent="0.3">
      <c r="A1565" s="1" t="s">
        <v>1871</v>
      </c>
      <c r="B1565" s="2">
        <v>45077</v>
      </c>
      <c r="C1565" s="1" t="s">
        <v>647</v>
      </c>
      <c r="D1565" s="1" t="s">
        <v>323</v>
      </c>
      <c r="E1565">
        <v>3</v>
      </c>
      <c r="F1565" s="4">
        <v>1849.46</v>
      </c>
      <c r="G1565" s="3">
        <v>0.1</v>
      </c>
      <c r="H1565" s="4">
        <v>259.69</v>
      </c>
      <c r="I1565" t="str">
        <f>VLOOKUP(orders__17[[#This Row],[Customer_ID]],customers__2[#All],3,0)</f>
        <v>South</v>
      </c>
      <c r="J1565" t="str">
        <f>VLOOKUP(orders__17[[#This Row],[Customer_ID]],customers__2[#All],4,0)</f>
        <v>Consumer</v>
      </c>
      <c r="K1565" t="str">
        <f>VLOOKUP(orders__17[[#This Row],[Product_ID]],products[#All],3,0)</f>
        <v>Technology</v>
      </c>
      <c r="L1565" s="1" t="str">
        <f>VLOOKUP(orders__17[[#This Row],[Product_ID]],products[#All],4,0)</f>
        <v>Tablet</v>
      </c>
      <c r="M1565" s="1" t="str">
        <f>VLOOKUP(orders__17[[#This Row],[Order_ID]],returns[#All],2,0)</f>
        <v>No</v>
      </c>
    </row>
    <row r="1566" spans="1:13" x14ac:dyDescent="0.3">
      <c r="A1566" s="1" t="s">
        <v>1872</v>
      </c>
      <c r="B1566" s="2">
        <v>45451</v>
      </c>
      <c r="C1566" s="1" t="s">
        <v>1143</v>
      </c>
      <c r="D1566" s="1" t="s">
        <v>45</v>
      </c>
      <c r="E1566">
        <v>1</v>
      </c>
      <c r="F1566" s="4">
        <v>1210.45</v>
      </c>
      <c r="G1566" s="3">
        <v>0.3</v>
      </c>
      <c r="H1566" s="4">
        <v>93.33</v>
      </c>
      <c r="I1566" t="str">
        <f>VLOOKUP(orders__17[[#This Row],[Customer_ID]],customers__2[#All],3,0)</f>
        <v>West</v>
      </c>
      <c r="J1566" t="str">
        <f>VLOOKUP(orders__17[[#This Row],[Customer_ID]],customers__2[#All],4,0)</f>
        <v>Corporate</v>
      </c>
      <c r="K1566" t="str">
        <f>VLOOKUP(orders__17[[#This Row],[Product_ID]],products[#All],3,0)</f>
        <v>Office Supplies</v>
      </c>
      <c r="L1566" s="1" t="str">
        <f>VLOOKUP(orders__17[[#This Row],[Product_ID]],products[#All],4,0)</f>
        <v>Pen</v>
      </c>
      <c r="M1566" s="1" t="str">
        <f>VLOOKUP(orders__17[[#This Row],[Order_ID]],returns[#All],2,0)</f>
        <v>No</v>
      </c>
    </row>
    <row r="1567" spans="1:13" x14ac:dyDescent="0.3">
      <c r="A1567" s="1" t="s">
        <v>1873</v>
      </c>
      <c r="B1567" s="2">
        <v>45298</v>
      </c>
      <c r="C1567" s="1" t="s">
        <v>265</v>
      </c>
      <c r="D1567" s="1" t="s">
        <v>83</v>
      </c>
      <c r="E1567">
        <v>1</v>
      </c>
      <c r="F1567" s="4">
        <v>1122.83</v>
      </c>
      <c r="G1567" s="3">
        <v>0</v>
      </c>
      <c r="H1567" s="4">
        <v>302.02</v>
      </c>
      <c r="I1567" t="str">
        <f>VLOOKUP(orders__17[[#This Row],[Customer_ID]],customers__2[#All],3,0)</f>
        <v>East</v>
      </c>
      <c r="J1567" t="str">
        <f>VLOOKUP(orders__17[[#This Row],[Customer_ID]],customers__2[#All],4,0)</f>
        <v>Consumer</v>
      </c>
      <c r="K1567" t="str">
        <f>VLOOKUP(orders__17[[#This Row],[Product_ID]],products[#All],3,0)</f>
        <v>Furniture</v>
      </c>
      <c r="L1567" s="1" t="str">
        <f>VLOOKUP(orders__17[[#This Row],[Product_ID]],products[#All],4,0)</f>
        <v>Table</v>
      </c>
      <c r="M1567" s="1" t="str">
        <f>VLOOKUP(orders__17[[#This Row],[Order_ID]],returns[#All],2,0)</f>
        <v>No</v>
      </c>
    </row>
    <row r="1568" spans="1:13" x14ac:dyDescent="0.3">
      <c r="A1568" s="1" t="s">
        <v>1874</v>
      </c>
      <c r="B1568" s="2">
        <v>44599</v>
      </c>
      <c r="C1568" s="1" t="s">
        <v>927</v>
      </c>
      <c r="D1568" s="1" t="s">
        <v>188</v>
      </c>
      <c r="E1568">
        <v>4</v>
      </c>
      <c r="F1568" s="4">
        <v>610.82000000000005</v>
      </c>
      <c r="G1568" s="3">
        <v>0.2</v>
      </c>
      <c r="H1568" s="4">
        <v>150.13</v>
      </c>
      <c r="I1568" t="str">
        <f>VLOOKUP(orders__17[[#This Row],[Customer_ID]],customers__2[#All],3,0)</f>
        <v>South</v>
      </c>
      <c r="J1568" t="str">
        <f>VLOOKUP(orders__17[[#This Row],[Customer_ID]],customers__2[#All],4,0)</f>
        <v>Corporate</v>
      </c>
      <c r="K1568" t="str">
        <f>VLOOKUP(orders__17[[#This Row],[Product_ID]],products[#All],3,0)</f>
        <v>Technology</v>
      </c>
      <c r="L1568" s="1" t="str">
        <f>VLOOKUP(orders__17[[#This Row],[Product_ID]],products[#All],4,0)</f>
        <v>Laptop</v>
      </c>
      <c r="M1568" s="1" t="str">
        <f>VLOOKUP(orders__17[[#This Row],[Order_ID]],returns[#All],2,0)</f>
        <v>No</v>
      </c>
    </row>
    <row r="1569" spans="1:13" x14ac:dyDescent="0.3">
      <c r="A1569" s="1" t="s">
        <v>1875</v>
      </c>
      <c r="B1569" s="2">
        <v>45296</v>
      </c>
      <c r="C1569" s="1" t="s">
        <v>1043</v>
      </c>
      <c r="D1569" s="1" t="s">
        <v>67</v>
      </c>
      <c r="E1569">
        <v>2</v>
      </c>
      <c r="F1569" s="4">
        <v>800.05</v>
      </c>
      <c r="G1569" s="3">
        <v>0</v>
      </c>
      <c r="H1569" s="4">
        <v>73.63</v>
      </c>
      <c r="I1569" t="str">
        <f>VLOOKUP(orders__17[[#This Row],[Customer_ID]],customers__2[#All],3,0)</f>
        <v>South</v>
      </c>
      <c r="J1569" t="str">
        <f>VLOOKUP(orders__17[[#This Row],[Customer_ID]],customers__2[#All],4,0)</f>
        <v>Corporate</v>
      </c>
      <c r="K1569" t="str">
        <f>VLOOKUP(orders__17[[#This Row],[Product_ID]],products[#All],3,0)</f>
        <v>Furniture</v>
      </c>
      <c r="L1569" s="1" t="str">
        <f>VLOOKUP(orders__17[[#This Row],[Product_ID]],products[#All],4,0)</f>
        <v>Chair</v>
      </c>
      <c r="M1569" s="1" t="str">
        <f>VLOOKUP(orders__17[[#This Row],[Order_ID]],returns[#All],2,0)</f>
        <v>Yes</v>
      </c>
    </row>
    <row r="1570" spans="1:13" x14ac:dyDescent="0.3">
      <c r="A1570" s="1" t="s">
        <v>1876</v>
      </c>
      <c r="B1570" s="2">
        <v>44992</v>
      </c>
      <c r="C1570" s="1" t="s">
        <v>436</v>
      </c>
      <c r="D1570" s="1" t="s">
        <v>111</v>
      </c>
      <c r="E1570">
        <v>4</v>
      </c>
      <c r="F1570" s="4">
        <v>1801.16</v>
      </c>
      <c r="G1570" s="3">
        <v>0.1</v>
      </c>
      <c r="H1570" s="4">
        <v>320.72000000000003</v>
      </c>
      <c r="I1570" t="str">
        <f>VLOOKUP(orders__17[[#This Row],[Customer_ID]],customers__2[#All],3,0)</f>
        <v>East</v>
      </c>
      <c r="J1570" t="str">
        <f>VLOOKUP(orders__17[[#This Row],[Customer_ID]],customers__2[#All],4,0)</f>
        <v>Consumer</v>
      </c>
      <c r="K1570" t="str">
        <f>VLOOKUP(orders__17[[#This Row],[Product_ID]],products[#All],3,0)</f>
        <v>Technology</v>
      </c>
      <c r="L1570" s="1" t="str">
        <f>VLOOKUP(orders__17[[#This Row],[Product_ID]],products[#All],4,0)</f>
        <v>Accessories</v>
      </c>
      <c r="M1570" s="1" t="str">
        <f>VLOOKUP(orders__17[[#This Row],[Order_ID]],returns[#All],2,0)</f>
        <v>No</v>
      </c>
    </row>
    <row r="1571" spans="1:13" x14ac:dyDescent="0.3">
      <c r="A1571" s="1" t="s">
        <v>1877</v>
      </c>
      <c r="B1571" s="2">
        <v>45416</v>
      </c>
      <c r="C1571" s="1" t="s">
        <v>167</v>
      </c>
      <c r="D1571" s="1" t="s">
        <v>97</v>
      </c>
      <c r="E1571">
        <v>3</v>
      </c>
      <c r="F1571" s="4">
        <v>1366.28</v>
      </c>
      <c r="G1571" s="3">
        <v>0</v>
      </c>
      <c r="H1571" s="4">
        <v>234.79</v>
      </c>
      <c r="I1571" t="str">
        <f>VLOOKUP(orders__17[[#This Row],[Customer_ID]],customers__2[#All],3,0)</f>
        <v>East</v>
      </c>
      <c r="J1571" t="str">
        <f>VLOOKUP(orders__17[[#This Row],[Customer_ID]],customers__2[#All],4,0)</f>
        <v>Corporate</v>
      </c>
      <c r="K1571" t="str">
        <f>VLOOKUP(orders__17[[#This Row],[Product_ID]],products[#All],3,0)</f>
        <v>Technology</v>
      </c>
      <c r="L1571" s="1" t="str">
        <f>VLOOKUP(orders__17[[#This Row],[Product_ID]],products[#All],4,0)</f>
        <v>Tablet</v>
      </c>
      <c r="M1571" s="1" t="str">
        <f>VLOOKUP(orders__17[[#This Row],[Order_ID]],returns[#All],2,0)</f>
        <v>No</v>
      </c>
    </row>
    <row r="1572" spans="1:13" x14ac:dyDescent="0.3">
      <c r="A1572" s="1" t="s">
        <v>1878</v>
      </c>
      <c r="B1572" s="2">
        <v>45428</v>
      </c>
      <c r="C1572" s="1" t="s">
        <v>526</v>
      </c>
      <c r="D1572" s="1" t="s">
        <v>170</v>
      </c>
      <c r="E1572">
        <v>4</v>
      </c>
      <c r="F1572" s="4">
        <v>1596.04</v>
      </c>
      <c r="G1572" s="3">
        <v>0.3</v>
      </c>
      <c r="H1572" s="4">
        <v>329.22</v>
      </c>
      <c r="I1572" t="str">
        <f>VLOOKUP(orders__17[[#This Row],[Customer_ID]],customers__2[#All],3,0)</f>
        <v>West</v>
      </c>
      <c r="J1572" t="str">
        <f>VLOOKUP(orders__17[[#This Row],[Customer_ID]],customers__2[#All],4,0)</f>
        <v>Corporate</v>
      </c>
      <c r="K1572" t="str">
        <f>VLOOKUP(orders__17[[#This Row],[Product_ID]],products[#All],3,0)</f>
        <v>Furniture</v>
      </c>
      <c r="L1572" s="1" t="str">
        <f>VLOOKUP(orders__17[[#This Row],[Product_ID]],products[#All],4,0)</f>
        <v>Shelf</v>
      </c>
      <c r="M1572" s="1" t="str">
        <f>VLOOKUP(orders__17[[#This Row],[Order_ID]],returns[#All],2,0)</f>
        <v>No</v>
      </c>
    </row>
    <row r="1573" spans="1:13" x14ac:dyDescent="0.3">
      <c r="A1573" s="1" t="s">
        <v>1879</v>
      </c>
      <c r="B1573" s="2">
        <v>45375</v>
      </c>
      <c r="C1573" s="1" t="s">
        <v>124</v>
      </c>
      <c r="D1573" s="1" t="s">
        <v>211</v>
      </c>
      <c r="E1573">
        <v>1</v>
      </c>
      <c r="F1573" s="4">
        <v>963.26</v>
      </c>
      <c r="G1573" s="3">
        <v>0.2</v>
      </c>
      <c r="H1573" s="4">
        <v>276.02</v>
      </c>
      <c r="I1573" t="str">
        <f>VLOOKUP(orders__17[[#This Row],[Customer_ID]],customers__2[#All],3,0)</f>
        <v>North</v>
      </c>
      <c r="J1573" t="str">
        <f>VLOOKUP(orders__17[[#This Row],[Customer_ID]],customers__2[#All],4,0)</f>
        <v>Consumer</v>
      </c>
      <c r="K1573" t="str">
        <f>VLOOKUP(orders__17[[#This Row],[Product_ID]],products[#All],3,0)</f>
        <v>Office Supplies</v>
      </c>
      <c r="L1573" s="1" t="str">
        <f>VLOOKUP(orders__17[[#This Row],[Product_ID]],products[#All],4,0)</f>
        <v>Binder</v>
      </c>
      <c r="M1573" s="1" t="str">
        <f>VLOOKUP(orders__17[[#This Row],[Order_ID]],returns[#All],2,0)</f>
        <v>No</v>
      </c>
    </row>
    <row r="1574" spans="1:13" x14ac:dyDescent="0.3">
      <c r="A1574" s="1" t="s">
        <v>1880</v>
      </c>
      <c r="B1574" s="2">
        <v>45367</v>
      </c>
      <c r="C1574" s="1" t="s">
        <v>74</v>
      </c>
      <c r="D1574" s="1" t="s">
        <v>278</v>
      </c>
      <c r="E1574">
        <v>1</v>
      </c>
      <c r="F1574" s="4">
        <v>1297.47</v>
      </c>
      <c r="G1574" s="3">
        <v>0.1</v>
      </c>
      <c r="H1574" s="4">
        <v>252.93</v>
      </c>
      <c r="I1574" t="str">
        <f>VLOOKUP(orders__17[[#This Row],[Customer_ID]],customers__2[#All],3,0)</f>
        <v>North</v>
      </c>
      <c r="J1574" t="str">
        <f>VLOOKUP(orders__17[[#This Row],[Customer_ID]],customers__2[#All],4,0)</f>
        <v>Consumer</v>
      </c>
      <c r="K1574" t="str">
        <f>VLOOKUP(orders__17[[#This Row],[Product_ID]],products[#All],3,0)</f>
        <v>Office Supplies</v>
      </c>
      <c r="L1574" s="1" t="str">
        <f>VLOOKUP(orders__17[[#This Row],[Product_ID]],products[#All],4,0)</f>
        <v>Pen</v>
      </c>
      <c r="M1574" s="1" t="str">
        <f>VLOOKUP(orders__17[[#This Row],[Order_ID]],returns[#All],2,0)</f>
        <v>No</v>
      </c>
    </row>
    <row r="1575" spans="1:13" x14ac:dyDescent="0.3">
      <c r="A1575" s="1" t="s">
        <v>1881</v>
      </c>
      <c r="B1575" s="2">
        <v>45355</v>
      </c>
      <c r="C1575" s="1" t="s">
        <v>1056</v>
      </c>
      <c r="D1575" s="1" t="s">
        <v>139</v>
      </c>
      <c r="E1575">
        <v>5</v>
      </c>
      <c r="F1575" s="4">
        <v>571.92999999999995</v>
      </c>
      <c r="G1575" s="3">
        <v>0.2</v>
      </c>
      <c r="H1575" s="4">
        <v>105.84</v>
      </c>
      <c r="I1575" t="str">
        <f>VLOOKUP(orders__17[[#This Row],[Customer_ID]],customers__2[#All],3,0)</f>
        <v>North</v>
      </c>
      <c r="J1575" t="str">
        <f>VLOOKUP(orders__17[[#This Row],[Customer_ID]],customers__2[#All],4,0)</f>
        <v>Corporate</v>
      </c>
      <c r="K1575" t="str">
        <f>VLOOKUP(orders__17[[#This Row],[Product_ID]],products[#All],3,0)</f>
        <v>Furniture</v>
      </c>
      <c r="L1575" s="1" t="str">
        <f>VLOOKUP(orders__17[[#This Row],[Product_ID]],products[#All],4,0)</f>
        <v>Table</v>
      </c>
      <c r="M1575" s="1" t="str">
        <f>VLOOKUP(orders__17[[#This Row],[Order_ID]],returns[#All],2,0)</f>
        <v>No</v>
      </c>
    </row>
    <row r="1576" spans="1:13" x14ac:dyDescent="0.3">
      <c r="A1576" s="1" t="s">
        <v>1882</v>
      </c>
      <c r="B1576" s="2">
        <v>45082</v>
      </c>
      <c r="C1576" s="1" t="s">
        <v>678</v>
      </c>
      <c r="D1576" s="1" t="s">
        <v>278</v>
      </c>
      <c r="E1576">
        <v>5</v>
      </c>
      <c r="F1576" s="4">
        <v>1440.38</v>
      </c>
      <c r="G1576" s="3">
        <v>0.2</v>
      </c>
      <c r="H1576" s="4">
        <v>90.14</v>
      </c>
      <c r="I1576" t="str">
        <f>VLOOKUP(orders__17[[#This Row],[Customer_ID]],customers__2[#All],3,0)</f>
        <v>West</v>
      </c>
      <c r="J1576" t="str">
        <f>VLOOKUP(orders__17[[#This Row],[Customer_ID]],customers__2[#All],4,0)</f>
        <v>Consumer</v>
      </c>
      <c r="K1576" t="str">
        <f>VLOOKUP(orders__17[[#This Row],[Product_ID]],products[#All],3,0)</f>
        <v>Office Supplies</v>
      </c>
      <c r="L1576" s="1" t="str">
        <f>VLOOKUP(orders__17[[#This Row],[Product_ID]],products[#All],4,0)</f>
        <v>Pen</v>
      </c>
      <c r="M1576" s="1" t="str">
        <f>VLOOKUP(orders__17[[#This Row],[Order_ID]],returns[#All],2,0)</f>
        <v>Yes</v>
      </c>
    </row>
    <row r="1577" spans="1:13" x14ac:dyDescent="0.3">
      <c r="A1577" s="1" t="s">
        <v>1883</v>
      </c>
      <c r="B1577" s="2">
        <v>44921</v>
      </c>
      <c r="C1577" s="1" t="s">
        <v>233</v>
      </c>
      <c r="D1577" s="1" t="s">
        <v>397</v>
      </c>
      <c r="E1577">
        <v>3</v>
      </c>
      <c r="F1577" s="4">
        <v>912.44</v>
      </c>
      <c r="G1577" s="3">
        <v>0.1</v>
      </c>
      <c r="H1577" s="4">
        <v>59.97</v>
      </c>
      <c r="I1577" t="str">
        <f>VLOOKUP(orders__17[[#This Row],[Customer_ID]],customers__2[#All],3,0)</f>
        <v>South</v>
      </c>
      <c r="J1577" t="str">
        <f>VLOOKUP(orders__17[[#This Row],[Customer_ID]],customers__2[#All],4,0)</f>
        <v>Home Office</v>
      </c>
      <c r="K1577" t="str">
        <f>VLOOKUP(orders__17[[#This Row],[Product_ID]],products[#All],3,0)</f>
        <v>Office Supplies</v>
      </c>
      <c r="L1577" s="1" t="str">
        <f>VLOOKUP(orders__17[[#This Row],[Product_ID]],products[#All],4,0)</f>
        <v>Pen</v>
      </c>
      <c r="M1577" s="1" t="str">
        <f>VLOOKUP(orders__17[[#This Row],[Order_ID]],returns[#All],2,0)</f>
        <v>No</v>
      </c>
    </row>
    <row r="1578" spans="1:13" x14ac:dyDescent="0.3">
      <c r="A1578" s="1" t="s">
        <v>1884</v>
      </c>
      <c r="B1578" s="2">
        <v>44612</v>
      </c>
      <c r="C1578" s="1" t="s">
        <v>66</v>
      </c>
      <c r="D1578" s="1" t="s">
        <v>242</v>
      </c>
      <c r="E1578">
        <v>2</v>
      </c>
      <c r="F1578" s="4">
        <v>940.84</v>
      </c>
      <c r="G1578" s="3">
        <v>0.2</v>
      </c>
      <c r="H1578" s="4">
        <v>91.11</v>
      </c>
      <c r="I1578" t="str">
        <f>VLOOKUP(orders__17[[#This Row],[Customer_ID]],customers__2[#All],3,0)</f>
        <v>East</v>
      </c>
      <c r="J1578" t="str">
        <f>VLOOKUP(orders__17[[#This Row],[Customer_ID]],customers__2[#All],4,0)</f>
        <v>Corporate</v>
      </c>
      <c r="K1578" t="str">
        <f>VLOOKUP(orders__17[[#This Row],[Product_ID]],products[#All],3,0)</f>
        <v>Technology</v>
      </c>
      <c r="L1578" s="1" t="str">
        <f>VLOOKUP(orders__17[[#This Row],[Product_ID]],products[#All],4,0)</f>
        <v>Phone</v>
      </c>
      <c r="M1578" s="1" t="str">
        <f>VLOOKUP(orders__17[[#This Row],[Order_ID]],returns[#All],2,0)</f>
        <v>No</v>
      </c>
    </row>
    <row r="1579" spans="1:13" x14ac:dyDescent="0.3">
      <c r="A1579" s="1" t="s">
        <v>1885</v>
      </c>
      <c r="B1579" s="2">
        <v>45193</v>
      </c>
      <c r="C1579" s="1" t="s">
        <v>436</v>
      </c>
      <c r="D1579" s="1" t="s">
        <v>502</v>
      </c>
      <c r="E1579">
        <v>4</v>
      </c>
      <c r="F1579" s="4">
        <v>1333.71</v>
      </c>
      <c r="G1579" s="3">
        <v>0.2</v>
      </c>
      <c r="H1579" s="4">
        <v>77.510000000000005</v>
      </c>
      <c r="I1579" t="str">
        <f>VLOOKUP(orders__17[[#This Row],[Customer_ID]],customers__2[#All],3,0)</f>
        <v>East</v>
      </c>
      <c r="J1579" t="str">
        <f>VLOOKUP(orders__17[[#This Row],[Customer_ID]],customers__2[#All],4,0)</f>
        <v>Consumer</v>
      </c>
      <c r="K1579" t="str">
        <f>VLOOKUP(orders__17[[#This Row],[Product_ID]],products[#All],3,0)</f>
        <v>Furniture</v>
      </c>
      <c r="L1579" s="1" t="str">
        <f>VLOOKUP(orders__17[[#This Row],[Product_ID]],products[#All],4,0)</f>
        <v>Shelf</v>
      </c>
      <c r="M1579" s="1" t="str">
        <f>VLOOKUP(orders__17[[#This Row],[Order_ID]],returns[#All],2,0)</f>
        <v>Yes</v>
      </c>
    </row>
    <row r="1580" spans="1:13" x14ac:dyDescent="0.3">
      <c r="A1580" s="1" t="s">
        <v>1886</v>
      </c>
      <c r="B1580" s="2">
        <v>45324</v>
      </c>
      <c r="C1580" s="1" t="s">
        <v>203</v>
      </c>
      <c r="D1580" s="1" t="s">
        <v>161</v>
      </c>
      <c r="E1580">
        <v>3</v>
      </c>
      <c r="F1580" s="4">
        <v>1878.93</v>
      </c>
      <c r="G1580" s="3">
        <v>0</v>
      </c>
      <c r="H1580" s="4">
        <v>443.12</v>
      </c>
      <c r="I1580" t="str">
        <f>VLOOKUP(orders__17[[#This Row],[Customer_ID]],customers__2[#All],3,0)</f>
        <v>West</v>
      </c>
      <c r="J1580" t="str">
        <f>VLOOKUP(orders__17[[#This Row],[Customer_ID]],customers__2[#All],4,0)</f>
        <v>Corporate</v>
      </c>
      <c r="K1580" t="str">
        <f>VLOOKUP(orders__17[[#This Row],[Product_ID]],products[#All],3,0)</f>
        <v>Office Supplies</v>
      </c>
      <c r="L1580" s="1" t="str">
        <f>VLOOKUP(orders__17[[#This Row],[Product_ID]],products[#All],4,0)</f>
        <v>Binder</v>
      </c>
      <c r="M1580" s="1" t="str">
        <f>VLOOKUP(orders__17[[#This Row],[Order_ID]],returns[#All],2,0)</f>
        <v>No</v>
      </c>
    </row>
    <row r="1581" spans="1:13" x14ac:dyDescent="0.3">
      <c r="A1581" s="1" t="s">
        <v>1887</v>
      </c>
      <c r="B1581" s="2">
        <v>44593</v>
      </c>
      <c r="C1581" s="1" t="s">
        <v>238</v>
      </c>
      <c r="D1581" s="1" t="s">
        <v>253</v>
      </c>
      <c r="E1581">
        <v>5</v>
      </c>
      <c r="F1581" s="4">
        <v>221.61</v>
      </c>
      <c r="G1581" s="3">
        <v>0.2</v>
      </c>
      <c r="H1581" s="4">
        <v>51.15</v>
      </c>
      <c r="I1581" t="str">
        <f>VLOOKUP(orders__17[[#This Row],[Customer_ID]],customers__2[#All],3,0)</f>
        <v>West</v>
      </c>
      <c r="J1581" t="str">
        <f>VLOOKUP(orders__17[[#This Row],[Customer_ID]],customers__2[#All],4,0)</f>
        <v>Corporate</v>
      </c>
      <c r="K1581" t="str">
        <f>VLOOKUP(orders__17[[#This Row],[Product_ID]],products[#All],3,0)</f>
        <v>Technology</v>
      </c>
      <c r="L1581" s="1" t="str">
        <f>VLOOKUP(orders__17[[#This Row],[Product_ID]],products[#All],4,0)</f>
        <v>Accessories</v>
      </c>
      <c r="M1581" s="1" t="str">
        <f>VLOOKUP(orders__17[[#This Row],[Order_ID]],returns[#All],2,0)</f>
        <v>No</v>
      </c>
    </row>
    <row r="1582" spans="1:13" x14ac:dyDescent="0.3">
      <c r="A1582" s="1" t="s">
        <v>1888</v>
      </c>
      <c r="B1582" s="2">
        <v>45263</v>
      </c>
      <c r="C1582" s="1" t="s">
        <v>265</v>
      </c>
      <c r="D1582" s="1" t="s">
        <v>141</v>
      </c>
      <c r="E1582">
        <v>4</v>
      </c>
      <c r="F1582" s="4">
        <v>1667.01</v>
      </c>
      <c r="G1582" s="3">
        <v>0.2</v>
      </c>
      <c r="H1582" s="4">
        <v>140.05000000000001</v>
      </c>
      <c r="I1582" t="str">
        <f>VLOOKUP(orders__17[[#This Row],[Customer_ID]],customers__2[#All],3,0)</f>
        <v>East</v>
      </c>
      <c r="J1582" t="str">
        <f>VLOOKUP(orders__17[[#This Row],[Customer_ID]],customers__2[#All],4,0)</f>
        <v>Consumer</v>
      </c>
      <c r="K1582" t="str">
        <f>VLOOKUP(orders__17[[#This Row],[Product_ID]],products[#All],3,0)</f>
        <v>Technology</v>
      </c>
      <c r="L1582" s="1" t="str">
        <f>VLOOKUP(orders__17[[#This Row],[Product_ID]],products[#All],4,0)</f>
        <v>Phone</v>
      </c>
      <c r="M1582" s="1" t="str">
        <f>VLOOKUP(orders__17[[#This Row],[Order_ID]],returns[#All],2,0)</f>
        <v>No</v>
      </c>
    </row>
    <row r="1583" spans="1:13" x14ac:dyDescent="0.3">
      <c r="A1583" s="1" t="s">
        <v>1889</v>
      </c>
      <c r="B1583" s="2">
        <v>45311</v>
      </c>
      <c r="C1583" s="1" t="s">
        <v>336</v>
      </c>
      <c r="D1583" s="1" t="s">
        <v>258</v>
      </c>
      <c r="E1583">
        <v>5</v>
      </c>
      <c r="F1583" s="4">
        <v>655.53</v>
      </c>
      <c r="G1583" s="3">
        <v>0.2</v>
      </c>
      <c r="H1583" s="4">
        <v>169.8</v>
      </c>
      <c r="I1583" t="str">
        <f>VLOOKUP(orders__17[[#This Row],[Customer_ID]],customers__2[#All],3,0)</f>
        <v>South</v>
      </c>
      <c r="J1583" t="str">
        <f>VLOOKUP(orders__17[[#This Row],[Customer_ID]],customers__2[#All],4,0)</f>
        <v>Consumer</v>
      </c>
      <c r="K1583" t="str">
        <f>VLOOKUP(orders__17[[#This Row],[Product_ID]],products[#All],3,0)</f>
        <v>Technology</v>
      </c>
      <c r="L1583" s="1" t="str">
        <f>VLOOKUP(orders__17[[#This Row],[Product_ID]],products[#All],4,0)</f>
        <v>Phone</v>
      </c>
      <c r="M1583" s="1" t="str">
        <f>VLOOKUP(orders__17[[#This Row],[Order_ID]],returns[#All],2,0)</f>
        <v>No</v>
      </c>
    </row>
    <row r="1584" spans="1:13" x14ac:dyDescent="0.3">
      <c r="A1584" s="1" t="s">
        <v>1890</v>
      </c>
      <c r="B1584" s="2">
        <v>45436</v>
      </c>
      <c r="C1584" s="1" t="s">
        <v>12</v>
      </c>
      <c r="D1584" s="1" t="s">
        <v>156</v>
      </c>
      <c r="E1584">
        <v>4</v>
      </c>
      <c r="F1584" s="4">
        <v>943.45</v>
      </c>
      <c r="G1584" s="3">
        <v>0.2</v>
      </c>
      <c r="H1584" s="4">
        <v>83.68</v>
      </c>
      <c r="I1584" t="str">
        <f>VLOOKUP(orders__17[[#This Row],[Customer_ID]],customers__2[#All],3,0)</f>
        <v>West</v>
      </c>
      <c r="J1584" t="str">
        <f>VLOOKUP(orders__17[[#This Row],[Customer_ID]],customers__2[#All],4,0)</f>
        <v>Home Office</v>
      </c>
      <c r="K1584" t="str">
        <f>VLOOKUP(orders__17[[#This Row],[Product_ID]],products[#All],3,0)</f>
        <v>Furniture</v>
      </c>
      <c r="L1584" s="1" t="str">
        <f>VLOOKUP(orders__17[[#This Row],[Product_ID]],products[#All],4,0)</f>
        <v>Desk</v>
      </c>
      <c r="M1584" s="1" t="str">
        <f>VLOOKUP(orders__17[[#This Row],[Order_ID]],returns[#All],2,0)</f>
        <v>No</v>
      </c>
    </row>
    <row r="1585" spans="1:13" x14ac:dyDescent="0.3">
      <c r="A1585" s="1" t="s">
        <v>1891</v>
      </c>
      <c r="B1585" s="2">
        <v>45066</v>
      </c>
      <c r="C1585" s="1" t="s">
        <v>529</v>
      </c>
      <c r="D1585" s="1" t="s">
        <v>111</v>
      </c>
      <c r="E1585">
        <v>2</v>
      </c>
      <c r="F1585" s="4">
        <v>141.63999999999999</v>
      </c>
      <c r="G1585" s="3">
        <v>0.1</v>
      </c>
      <c r="H1585" s="4">
        <v>17.75</v>
      </c>
      <c r="I1585" t="str">
        <f>VLOOKUP(orders__17[[#This Row],[Customer_ID]],customers__2[#All],3,0)</f>
        <v>South</v>
      </c>
      <c r="J1585" t="str">
        <f>VLOOKUP(orders__17[[#This Row],[Customer_ID]],customers__2[#All],4,0)</f>
        <v>Corporate</v>
      </c>
      <c r="K1585" t="str">
        <f>VLOOKUP(orders__17[[#This Row],[Product_ID]],products[#All],3,0)</f>
        <v>Technology</v>
      </c>
      <c r="L1585" s="1" t="str">
        <f>VLOOKUP(orders__17[[#This Row],[Product_ID]],products[#All],4,0)</f>
        <v>Accessories</v>
      </c>
      <c r="M1585" s="1" t="str">
        <f>VLOOKUP(orders__17[[#This Row],[Order_ID]],returns[#All],2,0)</f>
        <v>Yes</v>
      </c>
    </row>
    <row r="1586" spans="1:13" x14ac:dyDescent="0.3">
      <c r="A1586" s="1" t="s">
        <v>1892</v>
      </c>
      <c r="B1586" s="2">
        <v>45181</v>
      </c>
      <c r="C1586" s="1" t="s">
        <v>673</v>
      </c>
      <c r="D1586" s="1" t="s">
        <v>61</v>
      </c>
      <c r="E1586">
        <v>3</v>
      </c>
      <c r="F1586" s="4">
        <v>671.99</v>
      </c>
      <c r="G1586" s="3">
        <v>0.3</v>
      </c>
      <c r="H1586" s="4">
        <v>75.430000000000007</v>
      </c>
      <c r="I1586" t="str">
        <f>VLOOKUP(orders__17[[#This Row],[Customer_ID]],customers__2[#All],3,0)</f>
        <v>West</v>
      </c>
      <c r="J1586" t="str">
        <f>VLOOKUP(orders__17[[#This Row],[Customer_ID]],customers__2[#All],4,0)</f>
        <v>Consumer</v>
      </c>
      <c r="K1586" t="str">
        <f>VLOOKUP(orders__17[[#This Row],[Product_ID]],products[#All],3,0)</f>
        <v>Office Supplies</v>
      </c>
      <c r="L1586" s="1" t="str">
        <f>VLOOKUP(orders__17[[#This Row],[Product_ID]],products[#All],4,0)</f>
        <v>Binder</v>
      </c>
      <c r="M1586" s="1" t="str">
        <f>VLOOKUP(orders__17[[#This Row],[Order_ID]],returns[#All],2,0)</f>
        <v>No</v>
      </c>
    </row>
    <row r="1587" spans="1:13" x14ac:dyDescent="0.3">
      <c r="A1587" s="1" t="s">
        <v>1893</v>
      </c>
      <c r="B1587" s="2">
        <v>45065</v>
      </c>
      <c r="C1587" s="1" t="s">
        <v>69</v>
      </c>
      <c r="D1587" s="1" t="s">
        <v>61</v>
      </c>
      <c r="E1587">
        <v>4</v>
      </c>
      <c r="F1587" s="4">
        <v>1055</v>
      </c>
      <c r="G1587" s="3">
        <v>0</v>
      </c>
      <c r="H1587" s="4">
        <v>150.94999999999999</v>
      </c>
      <c r="I1587" t="str">
        <f>VLOOKUP(orders__17[[#This Row],[Customer_ID]],customers__2[#All],3,0)</f>
        <v>West</v>
      </c>
      <c r="J1587" t="str">
        <f>VLOOKUP(orders__17[[#This Row],[Customer_ID]],customers__2[#All],4,0)</f>
        <v>Corporate</v>
      </c>
      <c r="K1587" t="str">
        <f>VLOOKUP(orders__17[[#This Row],[Product_ID]],products[#All],3,0)</f>
        <v>Office Supplies</v>
      </c>
      <c r="L1587" s="1" t="str">
        <f>VLOOKUP(orders__17[[#This Row],[Product_ID]],products[#All],4,0)</f>
        <v>Binder</v>
      </c>
      <c r="M1587" s="1" t="str">
        <f>VLOOKUP(orders__17[[#This Row],[Order_ID]],returns[#All],2,0)</f>
        <v>No</v>
      </c>
    </row>
    <row r="1588" spans="1:13" x14ac:dyDescent="0.3">
      <c r="A1588" s="1" t="s">
        <v>1894</v>
      </c>
      <c r="B1588" s="2">
        <v>44947</v>
      </c>
      <c r="C1588" s="1" t="s">
        <v>344</v>
      </c>
      <c r="D1588" s="1" t="s">
        <v>603</v>
      </c>
      <c r="E1588">
        <v>1</v>
      </c>
      <c r="F1588" s="4">
        <v>206.73</v>
      </c>
      <c r="G1588" s="3">
        <v>0.2</v>
      </c>
      <c r="H1588" s="4">
        <v>23.5</v>
      </c>
      <c r="I1588" t="str">
        <f>VLOOKUP(orders__17[[#This Row],[Customer_ID]],customers__2[#All],3,0)</f>
        <v>North</v>
      </c>
      <c r="J1588" t="str">
        <f>VLOOKUP(orders__17[[#This Row],[Customer_ID]],customers__2[#All],4,0)</f>
        <v>Home Office</v>
      </c>
      <c r="K1588" t="str">
        <f>VLOOKUP(orders__17[[#This Row],[Product_ID]],products[#All],3,0)</f>
        <v>Technology</v>
      </c>
      <c r="L1588" s="1" t="str">
        <f>VLOOKUP(orders__17[[#This Row],[Product_ID]],products[#All],4,0)</f>
        <v>Accessories</v>
      </c>
      <c r="M1588" s="1" t="str">
        <f>VLOOKUP(orders__17[[#This Row],[Order_ID]],returns[#All],2,0)</f>
        <v>No</v>
      </c>
    </row>
    <row r="1589" spans="1:13" x14ac:dyDescent="0.3">
      <c r="A1589" s="1" t="s">
        <v>1895</v>
      </c>
      <c r="B1589" s="2">
        <v>45313</v>
      </c>
      <c r="C1589" s="1" t="s">
        <v>203</v>
      </c>
      <c r="D1589" s="1" t="s">
        <v>397</v>
      </c>
      <c r="E1589">
        <v>1</v>
      </c>
      <c r="F1589" s="4">
        <v>1033.08</v>
      </c>
      <c r="G1589" s="3">
        <v>0.2</v>
      </c>
      <c r="H1589" s="4">
        <v>177.94</v>
      </c>
      <c r="I1589" t="str">
        <f>VLOOKUP(orders__17[[#This Row],[Customer_ID]],customers__2[#All],3,0)</f>
        <v>West</v>
      </c>
      <c r="J1589" t="str">
        <f>VLOOKUP(orders__17[[#This Row],[Customer_ID]],customers__2[#All],4,0)</f>
        <v>Corporate</v>
      </c>
      <c r="K1589" t="str">
        <f>VLOOKUP(orders__17[[#This Row],[Product_ID]],products[#All],3,0)</f>
        <v>Office Supplies</v>
      </c>
      <c r="L1589" s="1" t="str">
        <f>VLOOKUP(orders__17[[#This Row],[Product_ID]],products[#All],4,0)</f>
        <v>Pen</v>
      </c>
      <c r="M1589" s="1" t="str">
        <f>VLOOKUP(orders__17[[#This Row],[Order_ID]],returns[#All],2,0)</f>
        <v>No</v>
      </c>
    </row>
    <row r="1590" spans="1:13" x14ac:dyDescent="0.3">
      <c r="A1590" s="1" t="s">
        <v>1896</v>
      </c>
      <c r="B1590" s="2">
        <v>45139</v>
      </c>
      <c r="C1590" s="1" t="s">
        <v>1061</v>
      </c>
      <c r="D1590" s="1" t="s">
        <v>372</v>
      </c>
      <c r="E1590">
        <v>4</v>
      </c>
      <c r="F1590" s="4">
        <v>1861.51</v>
      </c>
      <c r="G1590" s="3">
        <v>0.1</v>
      </c>
      <c r="H1590" s="4">
        <v>282.67</v>
      </c>
      <c r="I1590" t="str">
        <f>VLOOKUP(orders__17[[#This Row],[Customer_ID]],customers__2[#All],3,0)</f>
        <v>East</v>
      </c>
      <c r="J1590" t="str">
        <f>VLOOKUP(orders__17[[#This Row],[Customer_ID]],customers__2[#All],4,0)</f>
        <v>Consumer</v>
      </c>
      <c r="K1590" t="str">
        <f>VLOOKUP(orders__17[[#This Row],[Product_ID]],products[#All],3,0)</f>
        <v>Furniture</v>
      </c>
      <c r="L1590" s="1" t="str">
        <f>VLOOKUP(orders__17[[#This Row],[Product_ID]],products[#All],4,0)</f>
        <v>Shelf</v>
      </c>
      <c r="M1590" s="1" t="str">
        <f>VLOOKUP(orders__17[[#This Row],[Order_ID]],returns[#All],2,0)</f>
        <v>Yes</v>
      </c>
    </row>
    <row r="1591" spans="1:13" x14ac:dyDescent="0.3">
      <c r="A1591" s="1" t="s">
        <v>1897</v>
      </c>
      <c r="B1591" s="2">
        <v>45275</v>
      </c>
      <c r="C1591" s="1" t="s">
        <v>1093</v>
      </c>
      <c r="D1591" s="1" t="s">
        <v>59</v>
      </c>
      <c r="E1591">
        <v>4</v>
      </c>
      <c r="F1591" s="4">
        <v>300.25</v>
      </c>
      <c r="G1591" s="3">
        <v>0.3</v>
      </c>
      <c r="H1591" s="4">
        <v>89.07</v>
      </c>
      <c r="I1591" t="str">
        <f>VLOOKUP(orders__17[[#This Row],[Customer_ID]],customers__2[#All],3,0)</f>
        <v>West</v>
      </c>
      <c r="J1591" t="str">
        <f>VLOOKUP(orders__17[[#This Row],[Customer_ID]],customers__2[#All],4,0)</f>
        <v>Home Office</v>
      </c>
      <c r="K1591" t="str">
        <f>VLOOKUP(orders__17[[#This Row],[Product_ID]],products[#All],3,0)</f>
        <v>Office Supplies</v>
      </c>
      <c r="L1591" s="1" t="str">
        <f>VLOOKUP(orders__17[[#This Row],[Product_ID]],products[#All],4,0)</f>
        <v>Paper</v>
      </c>
      <c r="M1591" s="1" t="str">
        <f>VLOOKUP(orders__17[[#This Row],[Order_ID]],returns[#All],2,0)</f>
        <v>No</v>
      </c>
    </row>
    <row r="1592" spans="1:13" x14ac:dyDescent="0.3">
      <c r="A1592" s="1" t="s">
        <v>1898</v>
      </c>
      <c r="B1592" s="2">
        <v>45137</v>
      </c>
      <c r="C1592" s="1" t="s">
        <v>80</v>
      </c>
      <c r="D1592" s="1" t="s">
        <v>234</v>
      </c>
      <c r="E1592">
        <v>4</v>
      </c>
      <c r="F1592" s="4">
        <v>1552.44</v>
      </c>
      <c r="G1592" s="3">
        <v>0.2</v>
      </c>
      <c r="H1592" s="4">
        <v>99.33</v>
      </c>
      <c r="I1592" t="str">
        <f>VLOOKUP(orders__17[[#This Row],[Customer_ID]],customers__2[#All],3,0)</f>
        <v>East</v>
      </c>
      <c r="J1592" t="str">
        <f>VLOOKUP(orders__17[[#This Row],[Customer_ID]],customers__2[#All],4,0)</f>
        <v>Home Office</v>
      </c>
      <c r="K1592" t="str">
        <f>VLOOKUP(orders__17[[#This Row],[Product_ID]],products[#All],3,0)</f>
        <v>Furniture</v>
      </c>
      <c r="L1592" s="1" t="str">
        <f>VLOOKUP(orders__17[[#This Row],[Product_ID]],products[#All],4,0)</f>
        <v>Shelf</v>
      </c>
      <c r="M1592" s="1" t="str">
        <f>VLOOKUP(orders__17[[#This Row],[Order_ID]],returns[#All],2,0)</f>
        <v>No</v>
      </c>
    </row>
    <row r="1593" spans="1:13" x14ac:dyDescent="0.3">
      <c r="A1593" s="1" t="s">
        <v>1899</v>
      </c>
      <c r="B1593" s="2">
        <v>45330</v>
      </c>
      <c r="C1593" s="1" t="s">
        <v>637</v>
      </c>
      <c r="D1593" s="1" t="s">
        <v>177</v>
      </c>
      <c r="E1593">
        <v>1</v>
      </c>
      <c r="F1593" s="4">
        <v>878.38</v>
      </c>
      <c r="G1593" s="3">
        <v>0.1</v>
      </c>
      <c r="H1593" s="4">
        <v>75.14</v>
      </c>
      <c r="I1593" t="str">
        <f>VLOOKUP(orders__17[[#This Row],[Customer_ID]],customers__2[#All],3,0)</f>
        <v>North</v>
      </c>
      <c r="J1593" t="str">
        <f>VLOOKUP(orders__17[[#This Row],[Customer_ID]],customers__2[#All],4,0)</f>
        <v>Corporate</v>
      </c>
      <c r="K1593" t="str">
        <f>VLOOKUP(orders__17[[#This Row],[Product_ID]],products[#All],3,0)</f>
        <v>Furniture</v>
      </c>
      <c r="L1593" s="1" t="str">
        <f>VLOOKUP(orders__17[[#This Row],[Product_ID]],products[#All],4,0)</f>
        <v>Table</v>
      </c>
      <c r="M1593" s="1" t="str">
        <f>VLOOKUP(orders__17[[#This Row],[Order_ID]],returns[#All],2,0)</f>
        <v>Yes</v>
      </c>
    </row>
    <row r="1594" spans="1:13" x14ac:dyDescent="0.3">
      <c r="A1594" s="1" t="s">
        <v>1900</v>
      </c>
      <c r="B1594" s="2">
        <v>44756</v>
      </c>
      <c r="C1594" s="1" t="s">
        <v>744</v>
      </c>
      <c r="D1594" s="1" t="s">
        <v>669</v>
      </c>
      <c r="E1594">
        <v>1</v>
      </c>
      <c r="F1594" s="4">
        <v>1344.83</v>
      </c>
      <c r="G1594" s="3">
        <v>0</v>
      </c>
      <c r="H1594" s="4">
        <v>85</v>
      </c>
      <c r="I1594" t="str">
        <f>VLOOKUP(orders__17[[#This Row],[Customer_ID]],customers__2[#All],3,0)</f>
        <v>East</v>
      </c>
      <c r="J1594" t="str">
        <f>VLOOKUP(orders__17[[#This Row],[Customer_ID]],customers__2[#All],4,0)</f>
        <v>Consumer</v>
      </c>
      <c r="K1594" t="str">
        <f>VLOOKUP(orders__17[[#This Row],[Product_ID]],products[#All],3,0)</f>
        <v>Office Supplies</v>
      </c>
      <c r="L1594" s="1" t="str">
        <f>VLOOKUP(orders__17[[#This Row],[Product_ID]],products[#All],4,0)</f>
        <v>Pen</v>
      </c>
      <c r="M1594" s="1" t="str">
        <f>VLOOKUP(orders__17[[#This Row],[Order_ID]],returns[#All],2,0)</f>
        <v>No</v>
      </c>
    </row>
    <row r="1595" spans="1:13" x14ac:dyDescent="0.3">
      <c r="A1595" s="1" t="s">
        <v>1901</v>
      </c>
      <c r="B1595" s="2">
        <v>44652</v>
      </c>
      <c r="C1595" s="1" t="s">
        <v>529</v>
      </c>
      <c r="D1595" s="1" t="s">
        <v>455</v>
      </c>
      <c r="E1595">
        <v>4</v>
      </c>
      <c r="F1595" s="4">
        <v>594.45000000000005</v>
      </c>
      <c r="G1595" s="3">
        <v>0</v>
      </c>
      <c r="H1595" s="4">
        <v>122.73</v>
      </c>
      <c r="I1595" t="str">
        <f>VLOOKUP(orders__17[[#This Row],[Customer_ID]],customers__2[#All],3,0)</f>
        <v>South</v>
      </c>
      <c r="J1595" t="str">
        <f>VLOOKUP(orders__17[[#This Row],[Customer_ID]],customers__2[#All],4,0)</f>
        <v>Corporate</v>
      </c>
      <c r="K1595" t="str">
        <f>VLOOKUP(orders__17[[#This Row],[Product_ID]],products[#All],3,0)</f>
        <v>Furniture</v>
      </c>
      <c r="L1595" s="1" t="str">
        <f>VLOOKUP(orders__17[[#This Row],[Product_ID]],products[#All],4,0)</f>
        <v>Shelf</v>
      </c>
      <c r="M1595" s="1" t="str">
        <f>VLOOKUP(orders__17[[#This Row],[Order_ID]],returns[#All],2,0)</f>
        <v>No</v>
      </c>
    </row>
    <row r="1596" spans="1:13" x14ac:dyDescent="0.3">
      <c r="A1596" s="1" t="s">
        <v>1902</v>
      </c>
      <c r="B1596" s="2">
        <v>44823</v>
      </c>
      <c r="C1596" s="1" t="s">
        <v>138</v>
      </c>
      <c r="D1596" s="1" t="s">
        <v>218</v>
      </c>
      <c r="E1596">
        <v>5</v>
      </c>
      <c r="F1596" s="4">
        <v>403.04</v>
      </c>
      <c r="G1596" s="3">
        <v>0.2</v>
      </c>
      <c r="H1596" s="4">
        <v>25.64</v>
      </c>
      <c r="I1596" t="str">
        <f>VLOOKUP(orders__17[[#This Row],[Customer_ID]],customers__2[#All],3,0)</f>
        <v>West</v>
      </c>
      <c r="J1596" t="str">
        <f>VLOOKUP(orders__17[[#This Row],[Customer_ID]],customers__2[#All],4,0)</f>
        <v>Consumer</v>
      </c>
      <c r="K1596" t="str">
        <f>VLOOKUP(orders__17[[#This Row],[Product_ID]],products[#All],3,0)</f>
        <v>Office Supplies</v>
      </c>
      <c r="L1596" s="1" t="str">
        <f>VLOOKUP(orders__17[[#This Row],[Product_ID]],products[#All],4,0)</f>
        <v>Storage</v>
      </c>
      <c r="M1596" s="1" t="str">
        <f>VLOOKUP(orders__17[[#This Row],[Order_ID]],returns[#All],2,0)</f>
        <v>No</v>
      </c>
    </row>
    <row r="1597" spans="1:13" x14ac:dyDescent="0.3">
      <c r="A1597" s="1" t="s">
        <v>1903</v>
      </c>
      <c r="B1597" s="2">
        <v>45055</v>
      </c>
      <c r="C1597" s="1" t="s">
        <v>526</v>
      </c>
      <c r="D1597" s="1" t="s">
        <v>458</v>
      </c>
      <c r="E1597">
        <v>5</v>
      </c>
      <c r="F1597" s="4">
        <v>404.88</v>
      </c>
      <c r="G1597" s="3">
        <v>0.2</v>
      </c>
      <c r="H1597" s="4">
        <v>104.91</v>
      </c>
      <c r="I1597" t="str">
        <f>VLOOKUP(orders__17[[#This Row],[Customer_ID]],customers__2[#All],3,0)</f>
        <v>West</v>
      </c>
      <c r="J1597" t="str">
        <f>VLOOKUP(orders__17[[#This Row],[Customer_ID]],customers__2[#All],4,0)</f>
        <v>Corporate</v>
      </c>
      <c r="K1597" t="str">
        <f>VLOOKUP(orders__17[[#This Row],[Product_ID]],products[#All],3,0)</f>
        <v>Technology</v>
      </c>
      <c r="L1597" s="1" t="str">
        <f>VLOOKUP(orders__17[[#This Row],[Product_ID]],products[#All],4,0)</f>
        <v>Phone</v>
      </c>
      <c r="M1597" s="1" t="str">
        <f>VLOOKUP(orders__17[[#This Row],[Order_ID]],returns[#All],2,0)</f>
        <v>No</v>
      </c>
    </row>
    <row r="1598" spans="1:13" x14ac:dyDescent="0.3">
      <c r="A1598" s="1" t="s">
        <v>1904</v>
      </c>
      <c r="B1598" s="2">
        <v>45357</v>
      </c>
      <c r="C1598" s="1" t="s">
        <v>559</v>
      </c>
      <c r="D1598" s="1" t="s">
        <v>301</v>
      </c>
      <c r="E1598">
        <v>2</v>
      </c>
      <c r="F1598" s="4">
        <v>233.93</v>
      </c>
      <c r="G1598" s="3">
        <v>0.3</v>
      </c>
      <c r="H1598" s="4">
        <v>41.64</v>
      </c>
      <c r="I1598" t="str">
        <f>VLOOKUP(orders__17[[#This Row],[Customer_ID]],customers__2[#All],3,0)</f>
        <v>South</v>
      </c>
      <c r="J1598" t="str">
        <f>VLOOKUP(orders__17[[#This Row],[Customer_ID]],customers__2[#All],4,0)</f>
        <v>Consumer</v>
      </c>
      <c r="K1598" t="str">
        <f>VLOOKUP(orders__17[[#This Row],[Product_ID]],products[#All],3,0)</f>
        <v>Furniture</v>
      </c>
      <c r="L1598" s="1" t="str">
        <f>VLOOKUP(orders__17[[#This Row],[Product_ID]],products[#All],4,0)</f>
        <v>Table</v>
      </c>
      <c r="M1598" s="1" t="str">
        <f>VLOOKUP(orders__17[[#This Row],[Order_ID]],returns[#All],2,0)</f>
        <v>No</v>
      </c>
    </row>
    <row r="1599" spans="1:13" x14ac:dyDescent="0.3">
      <c r="A1599" s="1" t="s">
        <v>1905</v>
      </c>
      <c r="B1599" s="2">
        <v>45366</v>
      </c>
      <c r="C1599" s="1" t="s">
        <v>579</v>
      </c>
      <c r="D1599" s="1" t="s">
        <v>215</v>
      </c>
      <c r="E1599">
        <v>3</v>
      </c>
      <c r="F1599" s="4">
        <v>452.73</v>
      </c>
      <c r="G1599" s="3">
        <v>0.3</v>
      </c>
      <c r="H1599" s="4">
        <v>82.28</v>
      </c>
      <c r="I1599" t="str">
        <f>VLOOKUP(orders__17[[#This Row],[Customer_ID]],customers__2[#All],3,0)</f>
        <v>West</v>
      </c>
      <c r="J1599" t="str">
        <f>VLOOKUP(orders__17[[#This Row],[Customer_ID]],customers__2[#All],4,0)</f>
        <v>Corporate</v>
      </c>
      <c r="K1599" t="str">
        <f>VLOOKUP(orders__17[[#This Row],[Product_ID]],products[#All],3,0)</f>
        <v>Furniture</v>
      </c>
      <c r="L1599" s="1" t="str">
        <f>VLOOKUP(orders__17[[#This Row],[Product_ID]],products[#All],4,0)</f>
        <v>Table</v>
      </c>
      <c r="M1599" s="1" t="str">
        <f>VLOOKUP(orders__17[[#This Row],[Order_ID]],returns[#All],2,0)</f>
        <v>No</v>
      </c>
    </row>
    <row r="1600" spans="1:13" x14ac:dyDescent="0.3">
      <c r="A1600" s="1" t="s">
        <v>1906</v>
      </c>
      <c r="B1600" s="2">
        <v>45308</v>
      </c>
      <c r="C1600" s="1" t="s">
        <v>554</v>
      </c>
      <c r="D1600" s="1" t="s">
        <v>143</v>
      </c>
      <c r="E1600">
        <v>5</v>
      </c>
      <c r="F1600" s="4">
        <v>1362.02</v>
      </c>
      <c r="G1600" s="3">
        <v>0.2</v>
      </c>
      <c r="H1600" s="4">
        <v>259.33</v>
      </c>
      <c r="I1600" t="str">
        <f>VLOOKUP(orders__17[[#This Row],[Customer_ID]],customers__2[#All],3,0)</f>
        <v>East</v>
      </c>
      <c r="J1600" t="str">
        <f>VLOOKUP(orders__17[[#This Row],[Customer_ID]],customers__2[#All],4,0)</f>
        <v>Consumer</v>
      </c>
      <c r="K1600" t="str">
        <f>VLOOKUP(orders__17[[#This Row],[Product_ID]],products[#All],3,0)</f>
        <v>Furniture</v>
      </c>
      <c r="L1600" s="1" t="str">
        <f>VLOOKUP(orders__17[[#This Row],[Product_ID]],products[#All],4,0)</f>
        <v>Shelf</v>
      </c>
      <c r="M1600" s="1" t="str">
        <f>VLOOKUP(orders__17[[#This Row],[Order_ID]],returns[#All],2,0)</f>
        <v>No</v>
      </c>
    </row>
    <row r="1601" spans="1:13" x14ac:dyDescent="0.3">
      <c r="A1601" s="1" t="s">
        <v>1907</v>
      </c>
      <c r="B1601" s="2">
        <v>45040</v>
      </c>
      <c r="C1601" s="1" t="s">
        <v>319</v>
      </c>
      <c r="D1601" s="1" t="s">
        <v>48</v>
      </c>
      <c r="E1601">
        <v>1</v>
      </c>
      <c r="F1601" s="4">
        <v>1775.21</v>
      </c>
      <c r="G1601" s="3">
        <v>0.1</v>
      </c>
      <c r="H1601" s="4">
        <v>164.57</v>
      </c>
      <c r="I1601" t="str">
        <f>VLOOKUP(orders__17[[#This Row],[Customer_ID]],customers__2[#All],3,0)</f>
        <v>East</v>
      </c>
      <c r="J1601" t="str">
        <f>VLOOKUP(orders__17[[#This Row],[Customer_ID]],customers__2[#All],4,0)</f>
        <v>Consumer</v>
      </c>
      <c r="K1601" t="str">
        <f>VLOOKUP(orders__17[[#This Row],[Product_ID]],products[#All],3,0)</f>
        <v>Office Supplies</v>
      </c>
      <c r="L1601" s="1" t="str">
        <f>VLOOKUP(orders__17[[#This Row],[Product_ID]],products[#All],4,0)</f>
        <v>Pen</v>
      </c>
      <c r="M1601" s="1" t="str">
        <f>VLOOKUP(orders__17[[#This Row],[Order_ID]],returns[#All],2,0)</f>
        <v>No</v>
      </c>
    </row>
    <row r="1602" spans="1:13" x14ac:dyDescent="0.3">
      <c r="A1602" s="1" t="s">
        <v>1908</v>
      </c>
      <c r="B1602" s="2">
        <v>44994</v>
      </c>
      <c r="C1602" s="1" t="s">
        <v>520</v>
      </c>
      <c r="D1602" s="1" t="s">
        <v>111</v>
      </c>
      <c r="E1602">
        <v>5</v>
      </c>
      <c r="F1602" s="4">
        <v>1646.84</v>
      </c>
      <c r="G1602" s="3">
        <v>0.3</v>
      </c>
      <c r="H1602" s="4">
        <v>163.72999999999999</v>
      </c>
      <c r="I1602" t="str">
        <f>VLOOKUP(orders__17[[#This Row],[Customer_ID]],customers__2[#All],3,0)</f>
        <v>West</v>
      </c>
      <c r="J1602" t="str">
        <f>VLOOKUP(orders__17[[#This Row],[Customer_ID]],customers__2[#All],4,0)</f>
        <v>Consumer</v>
      </c>
      <c r="K1602" t="str">
        <f>VLOOKUP(orders__17[[#This Row],[Product_ID]],products[#All],3,0)</f>
        <v>Technology</v>
      </c>
      <c r="L1602" s="1" t="str">
        <f>VLOOKUP(orders__17[[#This Row],[Product_ID]],products[#All],4,0)</f>
        <v>Accessories</v>
      </c>
      <c r="M1602" s="1" t="str">
        <f>VLOOKUP(orders__17[[#This Row],[Order_ID]],returns[#All],2,0)</f>
        <v>Yes</v>
      </c>
    </row>
    <row r="1603" spans="1:13" x14ac:dyDescent="0.3">
      <c r="A1603" s="1" t="s">
        <v>1909</v>
      </c>
      <c r="B1603" s="2">
        <v>45120</v>
      </c>
      <c r="C1603" s="1" t="s">
        <v>473</v>
      </c>
      <c r="D1603" s="1" t="s">
        <v>323</v>
      </c>
      <c r="E1603">
        <v>2</v>
      </c>
      <c r="F1603" s="4">
        <v>1401.76</v>
      </c>
      <c r="G1603" s="3">
        <v>0.2</v>
      </c>
      <c r="H1603" s="4">
        <v>181.81</v>
      </c>
      <c r="I1603" t="str">
        <f>VLOOKUP(orders__17[[#This Row],[Customer_ID]],customers__2[#All],3,0)</f>
        <v>North</v>
      </c>
      <c r="J1603" t="str">
        <f>VLOOKUP(orders__17[[#This Row],[Customer_ID]],customers__2[#All],4,0)</f>
        <v>Corporate</v>
      </c>
      <c r="K1603" t="str">
        <f>VLOOKUP(orders__17[[#This Row],[Product_ID]],products[#All],3,0)</f>
        <v>Technology</v>
      </c>
      <c r="L1603" s="1" t="str">
        <f>VLOOKUP(orders__17[[#This Row],[Product_ID]],products[#All],4,0)</f>
        <v>Tablet</v>
      </c>
      <c r="M1603" s="1" t="str">
        <f>VLOOKUP(orders__17[[#This Row],[Order_ID]],returns[#All],2,0)</f>
        <v>Yes</v>
      </c>
    </row>
    <row r="1604" spans="1:13" x14ac:dyDescent="0.3">
      <c r="A1604" s="1" t="s">
        <v>1910</v>
      </c>
      <c r="B1604" s="2">
        <v>45278</v>
      </c>
      <c r="C1604" s="1" t="s">
        <v>344</v>
      </c>
      <c r="D1604" s="1" t="s">
        <v>275</v>
      </c>
      <c r="E1604">
        <v>2</v>
      </c>
      <c r="F1604" s="4">
        <v>309.82</v>
      </c>
      <c r="G1604" s="3">
        <v>0.3</v>
      </c>
      <c r="H1604" s="4">
        <v>61.46</v>
      </c>
      <c r="I1604" t="str">
        <f>VLOOKUP(orders__17[[#This Row],[Customer_ID]],customers__2[#All],3,0)</f>
        <v>North</v>
      </c>
      <c r="J1604" t="str">
        <f>VLOOKUP(orders__17[[#This Row],[Customer_ID]],customers__2[#All],4,0)</f>
        <v>Home Office</v>
      </c>
      <c r="K1604" t="str">
        <f>VLOOKUP(orders__17[[#This Row],[Product_ID]],products[#All],3,0)</f>
        <v>Furniture</v>
      </c>
      <c r="L1604" s="1" t="str">
        <f>VLOOKUP(orders__17[[#This Row],[Product_ID]],products[#All],4,0)</f>
        <v>Table</v>
      </c>
      <c r="M1604" s="1" t="str">
        <f>VLOOKUP(orders__17[[#This Row],[Order_ID]],returns[#All],2,0)</f>
        <v>Yes</v>
      </c>
    </row>
    <row r="1605" spans="1:13" x14ac:dyDescent="0.3">
      <c r="A1605" s="1" t="s">
        <v>1911</v>
      </c>
      <c r="B1605" s="2">
        <v>44986</v>
      </c>
      <c r="C1605" s="1" t="s">
        <v>334</v>
      </c>
      <c r="D1605" s="1" t="s">
        <v>31</v>
      </c>
      <c r="E1605">
        <v>3</v>
      </c>
      <c r="F1605" s="4">
        <v>649.46</v>
      </c>
      <c r="G1605" s="3">
        <v>0.2</v>
      </c>
      <c r="H1605" s="4">
        <v>66.59</v>
      </c>
      <c r="I1605" t="str">
        <f>VLOOKUP(orders__17[[#This Row],[Customer_ID]],customers__2[#All],3,0)</f>
        <v>East</v>
      </c>
      <c r="J1605" t="str">
        <f>VLOOKUP(orders__17[[#This Row],[Customer_ID]],customers__2[#All],4,0)</f>
        <v>Consumer</v>
      </c>
      <c r="K1605" t="str">
        <f>VLOOKUP(orders__17[[#This Row],[Product_ID]],products[#All],3,0)</f>
        <v>Furniture</v>
      </c>
      <c r="L1605" s="1" t="str">
        <f>VLOOKUP(orders__17[[#This Row],[Product_ID]],products[#All],4,0)</f>
        <v>Chair</v>
      </c>
      <c r="M1605" s="1" t="str">
        <f>VLOOKUP(orders__17[[#This Row],[Order_ID]],returns[#All],2,0)</f>
        <v>Yes</v>
      </c>
    </row>
    <row r="1606" spans="1:13" x14ac:dyDescent="0.3">
      <c r="A1606" s="1" t="s">
        <v>1912</v>
      </c>
      <c r="B1606" s="2">
        <v>45363</v>
      </c>
      <c r="C1606" s="1" t="s">
        <v>198</v>
      </c>
      <c r="D1606" s="1" t="s">
        <v>54</v>
      </c>
      <c r="E1606">
        <v>5</v>
      </c>
      <c r="F1606" s="4">
        <v>688.63</v>
      </c>
      <c r="G1606" s="3">
        <v>0</v>
      </c>
      <c r="H1606" s="4">
        <v>54.46</v>
      </c>
      <c r="I1606" t="str">
        <f>VLOOKUP(orders__17[[#This Row],[Customer_ID]],customers__2[#All],3,0)</f>
        <v>North</v>
      </c>
      <c r="J1606" t="str">
        <f>VLOOKUP(orders__17[[#This Row],[Customer_ID]],customers__2[#All],4,0)</f>
        <v>Consumer</v>
      </c>
      <c r="K1606" t="str">
        <f>VLOOKUP(orders__17[[#This Row],[Product_ID]],products[#All],3,0)</f>
        <v>Office Supplies</v>
      </c>
      <c r="L1606" s="1" t="str">
        <f>VLOOKUP(orders__17[[#This Row],[Product_ID]],products[#All],4,0)</f>
        <v>Binder</v>
      </c>
      <c r="M1606" s="1" t="str">
        <f>VLOOKUP(orders__17[[#This Row],[Order_ID]],returns[#All],2,0)</f>
        <v>Yes</v>
      </c>
    </row>
    <row r="1607" spans="1:13" x14ac:dyDescent="0.3">
      <c r="A1607" s="1" t="s">
        <v>1913</v>
      </c>
      <c r="B1607" s="2">
        <v>44825</v>
      </c>
      <c r="C1607" s="1" t="s">
        <v>172</v>
      </c>
      <c r="D1607" s="1" t="s">
        <v>364</v>
      </c>
      <c r="E1607">
        <v>1</v>
      </c>
      <c r="F1607" s="4">
        <v>574.91999999999996</v>
      </c>
      <c r="G1607" s="3">
        <v>0.2</v>
      </c>
      <c r="H1607" s="4">
        <v>168.18</v>
      </c>
      <c r="I1607" t="str">
        <f>VLOOKUP(orders__17[[#This Row],[Customer_ID]],customers__2[#All],3,0)</f>
        <v>East</v>
      </c>
      <c r="J1607" t="str">
        <f>VLOOKUP(orders__17[[#This Row],[Customer_ID]],customers__2[#All],4,0)</f>
        <v>Home Office</v>
      </c>
      <c r="K1607" t="str">
        <f>VLOOKUP(orders__17[[#This Row],[Product_ID]],products[#All],3,0)</f>
        <v>Technology</v>
      </c>
      <c r="L1607" s="1" t="str">
        <f>VLOOKUP(orders__17[[#This Row],[Product_ID]],products[#All],4,0)</f>
        <v>Accessories</v>
      </c>
      <c r="M1607" s="1" t="str">
        <f>VLOOKUP(orders__17[[#This Row],[Order_ID]],returns[#All],2,0)</f>
        <v>No</v>
      </c>
    </row>
    <row r="1608" spans="1:13" x14ac:dyDescent="0.3">
      <c r="A1608" s="1" t="s">
        <v>1914</v>
      </c>
      <c r="B1608" s="2">
        <v>44727</v>
      </c>
      <c r="C1608" s="1" t="s">
        <v>605</v>
      </c>
      <c r="D1608" s="1" t="s">
        <v>109</v>
      </c>
      <c r="E1608">
        <v>1</v>
      </c>
      <c r="F1608" s="4">
        <v>1078.51</v>
      </c>
      <c r="G1608" s="3">
        <v>0</v>
      </c>
      <c r="H1608" s="4">
        <v>59.85</v>
      </c>
      <c r="I1608" t="str">
        <f>VLOOKUP(orders__17[[#This Row],[Customer_ID]],customers__2[#All],3,0)</f>
        <v>West</v>
      </c>
      <c r="J1608" t="str">
        <f>VLOOKUP(orders__17[[#This Row],[Customer_ID]],customers__2[#All],4,0)</f>
        <v>Corporate</v>
      </c>
      <c r="K1608" t="str">
        <f>VLOOKUP(orders__17[[#This Row],[Product_ID]],products[#All],3,0)</f>
        <v>Furniture</v>
      </c>
      <c r="L1608" s="1" t="str">
        <f>VLOOKUP(orders__17[[#This Row],[Product_ID]],products[#All],4,0)</f>
        <v>Chair</v>
      </c>
      <c r="M1608" s="1" t="str">
        <f>VLOOKUP(orders__17[[#This Row],[Order_ID]],returns[#All],2,0)</f>
        <v>No</v>
      </c>
    </row>
    <row r="1609" spans="1:13" x14ac:dyDescent="0.3">
      <c r="A1609" s="1" t="s">
        <v>1915</v>
      </c>
      <c r="B1609" s="2">
        <v>44600</v>
      </c>
      <c r="C1609" s="1" t="s">
        <v>182</v>
      </c>
      <c r="D1609" s="1" t="s">
        <v>28</v>
      </c>
      <c r="E1609">
        <v>4</v>
      </c>
      <c r="F1609" s="4">
        <v>1117.55</v>
      </c>
      <c r="G1609" s="3">
        <v>0.3</v>
      </c>
      <c r="H1609" s="4">
        <v>280.14</v>
      </c>
      <c r="I1609" t="str">
        <f>VLOOKUP(orders__17[[#This Row],[Customer_ID]],customers__2[#All],3,0)</f>
        <v>South</v>
      </c>
      <c r="J1609" t="str">
        <f>VLOOKUP(orders__17[[#This Row],[Customer_ID]],customers__2[#All],4,0)</f>
        <v>Consumer</v>
      </c>
      <c r="K1609" t="str">
        <f>VLOOKUP(orders__17[[#This Row],[Product_ID]],products[#All],3,0)</f>
        <v>Office Supplies</v>
      </c>
      <c r="L1609" s="1" t="str">
        <f>VLOOKUP(orders__17[[#This Row],[Product_ID]],products[#All],4,0)</f>
        <v>Storage</v>
      </c>
      <c r="M1609" s="1" t="str">
        <f>VLOOKUP(orders__17[[#This Row],[Order_ID]],returns[#All],2,0)</f>
        <v>Yes</v>
      </c>
    </row>
    <row r="1610" spans="1:13" x14ac:dyDescent="0.3">
      <c r="A1610" s="1" t="s">
        <v>1916</v>
      </c>
      <c r="B1610" s="2">
        <v>45364</v>
      </c>
      <c r="C1610" s="1" t="s">
        <v>174</v>
      </c>
      <c r="D1610" s="1" t="s">
        <v>116</v>
      </c>
      <c r="E1610">
        <v>1</v>
      </c>
      <c r="F1610" s="4">
        <v>778.08</v>
      </c>
      <c r="G1610" s="3">
        <v>0.2</v>
      </c>
      <c r="H1610" s="4">
        <v>192.19</v>
      </c>
      <c r="I1610" t="str">
        <f>VLOOKUP(orders__17[[#This Row],[Customer_ID]],customers__2[#All],3,0)</f>
        <v>East</v>
      </c>
      <c r="J1610" t="str">
        <f>VLOOKUP(orders__17[[#This Row],[Customer_ID]],customers__2[#All],4,0)</f>
        <v>Consumer</v>
      </c>
      <c r="K1610" t="str">
        <f>VLOOKUP(orders__17[[#This Row],[Product_ID]],products[#All],3,0)</f>
        <v>Furniture</v>
      </c>
      <c r="L1610" s="1" t="str">
        <f>VLOOKUP(orders__17[[#This Row],[Product_ID]],products[#All],4,0)</f>
        <v>Shelf</v>
      </c>
      <c r="M1610" s="1" t="str">
        <f>VLOOKUP(orders__17[[#This Row],[Order_ID]],returns[#All],2,0)</f>
        <v>No</v>
      </c>
    </row>
    <row r="1611" spans="1:13" x14ac:dyDescent="0.3">
      <c r="A1611" s="1" t="s">
        <v>1917</v>
      </c>
      <c r="B1611" s="2">
        <v>45454</v>
      </c>
      <c r="C1611" s="1" t="s">
        <v>683</v>
      </c>
      <c r="D1611" s="1" t="s">
        <v>372</v>
      </c>
      <c r="E1611">
        <v>3</v>
      </c>
      <c r="F1611" s="4">
        <v>772.2</v>
      </c>
      <c r="G1611" s="3">
        <v>0.3</v>
      </c>
      <c r="H1611" s="4">
        <v>95.99</v>
      </c>
      <c r="I1611" t="str">
        <f>VLOOKUP(orders__17[[#This Row],[Customer_ID]],customers__2[#All],3,0)</f>
        <v>East</v>
      </c>
      <c r="J1611" t="str">
        <f>VLOOKUP(orders__17[[#This Row],[Customer_ID]],customers__2[#All],4,0)</f>
        <v>Corporate</v>
      </c>
      <c r="K1611" t="str">
        <f>VLOOKUP(orders__17[[#This Row],[Product_ID]],products[#All],3,0)</f>
        <v>Furniture</v>
      </c>
      <c r="L1611" s="1" t="str">
        <f>VLOOKUP(orders__17[[#This Row],[Product_ID]],products[#All],4,0)</f>
        <v>Shelf</v>
      </c>
      <c r="M1611" s="1" t="str">
        <f>VLOOKUP(orders__17[[#This Row],[Order_ID]],returns[#All],2,0)</f>
        <v>No</v>
      </c>
    </row>
    <row r="1612" spans="1:13" x14ac:dyDescent="0.3">
      <c r="A1612" s="1" t="s">
        <v>1918</v>
      </c>
      <c r="B1612" s="2">
        <v>44600</v>
      </c>
      <c r="C1612" s="1" t="s">
        <v>803</v>
      </c>
      <c r="D1612" s="1" t="s">
        <v>455</v>
      </c>
      <c r="E1612">
        <v>3</v>
      </c>
      <c r="F1612" s="4">
        <v>1674.26</v>
      </c>
      <c r="G1612" s="3">
        <v>0</v>
      </c>
      <c r="H1612" s="4">
        <v>140.47999999999999</v>
      </c>
      <c r="I1612" t="str">
        <f>VLOOKUP(orders__17[[#This Row],[Customer_ID]],customers__2[#All],3,0)</f>
        <v>South</v>
      </c>
      <c r="J1612" t="str">
        <f>VLOOKUP(orders__17[[#This Row],[Customer_ID]],customers__2[#All],4,0)</f>
        <v>Consumer</v>
      </c>
      <c r="K1612" t="str">
        <f>VLOOKUP(orders__17[[#This Row],[Product_ID]],products[#All],3,0)</f>
        <v>Furniture</v>
      </c>
      <c r="L1612" s="1" t="str">
        <f>VLOOKUP(orders__17[[#This Row],[Product_ID]],products[#All],4,0)</f>
        <v>Shelf</v>
      </c>
      <c r="M1612" s="1" t="str">
        <f>VLOOKUP(orders__17[[#This Row],[Order_ID]],returns[#All],2,0)</f>
        <v>No</v>
      </c>
    </row>
    <row r="1613" spans="1:13" x14ac:dyDescent="0.3">
      <c r="A1613" s="1" t="s">
        <v>1919</v>
      </c>
      <c r="B1613" s="2">
        <v>44696</v>
      </c>
      <c r="C1613" s="1" t="s">
        <v>482</v>
      </c>
      <c r="D1613" s="1" t="s">
        <v>458</v>
      </c>
      <c r="E1613">
        <v>1</v>
      </c>
      <c r="F1613" s="4">
        <v>1599.66</v>
      </c>
      <c r="G1613" s="3">
        <v>0.2</v>
      </c>
      <c r="H1613" s="4">
        <v>138.22</v>
      </c>
      <c r="I1613" t="str">
        <f>VLOOKUP(orders__17[[#This Row],[Customer_ID]],customers__2[#All],3,0)</f>
        <v>North</v>
      </c>
      <c r="J1613" t="str">
        <f>VLOOKUP(orders__17[[#This Row],[Customer_ID]],customers__2[#All],4,0)</f>
        <v>Consumer</v>
      </c>
      <c r="K1613" t="str">
        <f>VLOOKUP(orders__17[[#This Row],[Product_ID]],products[#All],3,0)</f>
        <v>Technology</v>
      </c>
      <c r="L1613" s="1" t="str">
        <f>VLOOKUP(orders__17[[#This Row],[Product_ID]],products[#All],4,0)</f>
        <v>Phone</v>
      </c>
      <c r="M1613" s="1" t="str">
        <f>VLOOKUP(orders__17[[#This Row],[Order_ID]],returns[#All],2,0)</f>
        <v>No</v>
      </c>
    </row>
    <row r="1614" spans="1:13" x14ac:dyDescent="0.3">
      <c r="A1614" s="1" t="s">
        <v>1920</v>
      </c>
      <c r="B1614" s="2">
        <v>45450</v>
      </c>
      <c r="C1614" s="1" t="s">
        <v>174</v>
      </c>
      <c r="D1614" s="1" t="s">
        <v>727</v>
      </c>
      <c r="E1614">
        <v>1</v>
      </c>
      <c r="F1614" s="4">
        <v>684.81</v>
      </c>
      <c r="G1614" s="3">
        <v>0.3</v>
      </c>
      <c r="H1614" s="4">
        <v>153.63999999999999</v>
      </c>
      <c r="I1614" t="str">
        <f>VLOOKUP(orders__17[[#This Row],[Customer_ID]],customers__2[#All],3,0)</f>
        <v>East</v>
      </c>
      <c r="J1614" t="str">
        <f>VLOOKUP(orders__17[[#This Row],[Customer_ID]],customers__2[#All],4,0)</f>
        <v>Consumer</v>
      </c>
      <c r="K1614" t="str">
        <f>VLOOKUP(orders__17[[#This Row],[Product_ID]],products[#All],3,0)</f>
        <v>Furniture</v>
      </c>
      <c r="L1614" s="1" t="str">
        <f>VLOOKUP(orders__17[[#This Row],[Product_ID]],products[#All],4,0)</f>
        <v>Chair</v>
      </c>
      <c r="M1614" s="1" t="str">
        <f>VLOOKUP(orders__17[[#This Row],[Order_ID]],returns[#All],2,0)</f>
        <v>No</v>
      </c>
    </row>
    <row r="1615" spans="1:13" x14ac:dyDescent="0.3">
      <c r="A1615" s="1" t="s">
        <v>1921</v>
      </c>
      <c r="B1615" s="2">
        <v>44594</v>
      </c>
      <c r="C1615" s="1" t="s">
        <v>124</v>
      </c>
      <c r="D1615" s="1" t="s">
        <v>28</v>
      </c>
      <c r="E1615">
        <v>4</v>
      </c>
      <c r="F1615" s="4">
        <v>1836.2</v>
      </c>
      <c r="G1615" s="3">
        <v>0</v>
      </c>
      <c r="H1615" s="4">
        <v>386.89</v>
      </c>
      <c r="I1615" t="str">
        <f>VLOOKUP(orders__17[[#This Row],[Customer_ID]],customers__2[#All],3,0)</f>
        <v>North</v>
      </c>
      <c r="J1615" t="str">
        <f>VLOOKUP(orders__17[[#This Row],[Customer_ID]],customers__2[#All],4,0)</f>
        <v>Consumer</v>
      </c>
      <c r="K1615" t="str">
        <f>VLOOKUP(orders__17[[#This Row],[Product_ID]],products[#All],3,0)</f>
        <v>Office Supplies</v>
      </c>
      <c r="L1615" s="1" t="str">
        <f>VLOOKUP(orders__17[[#This Row],[Product_ID]],products[#All],4,0)</f>
        <v>Storage</v>
      </c>
      <c r="M1615" s="1" t="str">
        <f>VLOOKUP(orders__17[[#This Row],[Order_ID]],returns[#All],2,0)</f>
        <v>No</v>
      </c>
    </row>
    <row r="1616" spans="1:13" x14ac:dyDescent="0.3">
      <c r="A1616" s="1" t="s">
        <v>1922</v>
      </c>
      <c r="B1616" s="2">
        <v>45116</v>
      </c>
      <c r="C1616" s="1" t="s">
        <v>134</v>
      </c>
      <c r="D1616" s="1" t="s">
        <v>180</v>
      </c>
      <c r="E1616">
        <v>1</v>
      </c>
      <c r="F1616" s="4">
        <v>1910.35</v>
      </c>
      <c r="G1616" s="3">
        <v>0.3</v>
      </c>
      <c r="H1616" s="4">
        <v>469.35</v>
      </c>
      <c r="I1616" t="str">
        <f>VLOOKUP(orders__17[[#This Row],[Customer_ID]],customers__2[#All],3,0)</f>
        <v>West</v>
      </c>
      <c r="J1616" t="str">
        <f>VLOOKUP(orders__17[[#This Row],[Customer_ID]],customers__2[#All],4,0)</f>
        <v>Home Office</v>
      </c>
      <c r="K1616" t="str">
        <f>VLOOKUP(orders__17[[#This Row],[Product_ID]],products[#All],3,0)</f>
        <v>Furniture</v>
      </c>
      <c r="L1616" s="1" t="str">
        <f>VLOOKUP(orders__17[[#This Row],[Product_ID]],products[#All],4,0)</f>
        <v>Chair</v>
      </c>
      <c r="M1616" s="1" t="str">
        <f>VLOOKUP(orders__17[[#This Row],[Order_ID]],returns[#All],2,0)</f>
        <v>No</v>
      </c>
    </row>
    <row r="1617" spans="1:13" x14ac:dyDescent="0.3">
      <c r="A1617" s="1" t="s">
        <v>1923</v>
      </c>
      <c r="B1617" s="2">
        <v>44908</v>
      </c>
      <c r="C1617" s="1" t="s">
        <v>355</v>
      </c>
      <c r="D1617" s="1" t="s">
        <v>660</v>
      </c>
      <c r="E1617">
        <v>4</v>
      </c>
      <c r="F1617" s="4">
        <v>720.81</v>
      </c>
      <c r="G1617" s="3">
        <v>0.1</v>
      </c>
      <c r="H1617" s="4">
        <v>204.98</v>
      </c>
      <c r="I1617" t="str">
        <f>VLOOKUP(orders__17[[#This Row],[Customer_ID]],customers__2[#All],3,0)</f>
        <v>South</v>
      </c>
      <c r="J1617" t="str">
        <f>VLOOKUP(orders__17[[#This Row],[Customer_ID]],customers__2[#All],4,0)</f>
        <v>Home Office</v>
      </c>
      <c r="K1617" t="str">
        <f>VLOOKUP(orders__17[[#This Row],[Product_ID]],products[#All],3,0)</f>
        <v>Office Supplies</v>
      </c>
      <c r="L1617" s="1" t="str">
        <f>VLOOKUP(orders__17[[#This Row],[Product_ID]],products[#All],4,0)</f>
        <v>Storage</v>
      </c>
      <c r="M1617" s="1" t="str">
        <f>VLOOKUP(orders__17[[#This Row],[Order_ID]],returns[#All],2,0)</f>
        <v>No</v>
      </c>
    </row>
    <row r="1618" spans="1:13" x14ac:dyDescent="0.3">
      <c r="A1618" s="1" t="s">
        <v>1924</v>
      </c>
      <c r="B1618" s="2">
        <v>45210</v>
      </c>
      <c r="C1618" s="1" t="s">
        <v>834</v>
      </c>
      <c r="D1618" s="1" t="s">
        <v>111</v>
      </c>
      <c r="E1618">
        <v>4</v>
      </c>
      <c r="F1618" s="4">
        <v>773.41</v>
      </c>
      <c r="G1618" s="3">
        <v>0</v>
      </c>
      <c r="H1618" s="4">
        <v>172.46</v>
      </c>
      <c r="I1618" t="str">
        <f>VLOOKUP(orders__17[[#This Row],[Customer_ID]],customers__2[#All],3,0)</f>
        <v>South</v>
      </c>
      <c r="J1618" t="str">
        <f>VLOOKUP(orders__17[[#This Row],[Customer_ID]],customers__2[#All],4,0)</f>
        <v>Consumer</v>
      </c>
      <c r="K1618" t="str">
        <f>VLOOKUP(orders__17[[#This Row],[Product_ID]],products[#All],3,0)</f>
        <v>Technology</v>
      </c>
      <c r="L1618" s="1" t="str">
        <f>VLOOKUP(orders__17[[#This Row],[Product_ID]],products[#All],4,0)</f>
        <v>Accessories</v>
      </c>
      <c r="M1618" s="1" t="str">
        <f>VLOOKUP(orders__17[[#This Row],[Order_ID]],returns[#All],2,0)</f>
        <v>No</v>
      </c>
    </row>
    <row r="1619" spans="1:13" x14ac:dyDescent="0.3">
      <c r="A1619" s="1" t="s">
        <v>1925</v>
      </c>
      <c r="B1619" s="2">
        <v>44793</v>
      </c>
      <c r="C1619" s="1" t="s">
        <v>66</v>
      </c>
      <c r="D1619" s="1" t="s">
        <v>72</v>
      </c>
      <c r="E1619">
        <v>1</v>
      </c>
      <c r="F1619" s="4">
        <v>1060.7</v>
      </c>
      <c r="G1619" s="3">
        <v>0</v>
      </c>
      <c r="H1619" s="4">
        <v>94.36</v>
      </c>
      <c r="I1619" t="str">
        <f>VLOOKUP(orders__17[[#This Row],[Customer_ID]],customers__2[#All],3,0)</f>
        <v>East</v>
      </c>
      <c r="J1619" t="str">
        <f>VLOOKUP(orders__17[[#This Row],[Customer_ID]],customers__2[#All],4,0)</f>
        <v>Corporate</v>
      </c>
      <c r="K1619" t="str">
        <f>VLOOKUP(orders__17[[#This Row],[Product_ID]],products[#All],3,0)</f>
        <v>Furniture</v>
      </c>
      <c r="L1619" s="1" t="str">
        <f>VLOOKUP(orders__17[[#This Row],[Product_ID]],products[#All],4,0)</f>
        <v>Chair</v>
      </c>
      <c r="M1619" s="1" t="str">
        <f>VLOOKUP(orders__17[[#This Row],[Order_ID]],returns[#All],2,0)</f>
        <v>No</v>
      </c>
    </row>
    <row r="1620" spans="1:13" x14ac:dyDescent="0.3">
      <c r="A1620" s="1" t="s">
        <v>1926</v>
      </c>
      <c r="B1620" s="2">
        <v>44925</v>
      </c>
      <c r="C1620" s="1" t="s">
        <v>129</v>
      </c>
      <c r="D1620" s="1" t="s">
        <v>48</v>
      </c>
      <c r="E1620">
        <v>2</v>
      </c>
      <c r="F1620" s="4">
        <v>1888.13</v>
      </c>
      <c r="G1620" s="3">
        <v>0</v>
      </c>
      <c r="H1620" s="4">
        <v>209.32</v>
      </c>
      <c r="I1620" t="str">
        <f>VLOOKUP(orders__17[[#This Row],[Customer_ID]],customers__2[#All],3,0)</f>
        <v>South</v>
      </c>
      <c r="J1620" t="str">
        <f>VLOOKUP(orders__17[[#This Row],[Customer_ID]],customers__2[#All],4,0)</f>
        <v>Corporate</v>
      </c>
      <c r="K1620" t="str">
        <f>VLOOKUP(orders__17[[#This Row],[Product_ID]],products[#All],3,0)</f>
        <v>Office Supplies</v>
      </c>
      <c r="L1620" s="1" t="str">
        <f>VLOOKUP(orders__17[[#This Row],[Product_ID]],products[#All],4,0)</f>
        <v>Pen</v>
      </c>
      <c r="M1620" s="1" t="str">
        <f>VLOOKUP(orders__17[[#This Row],[Order_ID]],returns[#All],2,0)</f>
        <v>No</v>
      </c>
    </row>
    <row r="1621" spans="1:13" x14ac:dyDescent="0.3">
      <c r="A1621" s="1" t="s">
        <v>1927</v>
      </c>
      <c r="B1621" s="2">
        <v>44633</v>
      </c>
      <c r="C1621" s="1" t="s">
        <v>559</v>
      </c>
      <c r="D1621" s="1" t="s">
        <v>226</v>
      </c>
      <c r="E1621">
        <v>2</v>
      </c>
      <c r="F1621" s="4">
        <v>1765.01</v>
      </c>
      <c r="G1621" s="3">
        <v>0.2</v>
      </c>
      <c r="H1621" s="4">
        <v>459.87</v>
      </c>
      <c r="I1621" t="str">
        <f>VLOOKUP(orders__17[[#This Row],[Customer_ID]],customers__2[#All],3,0)</f>
        <v>South</v>
      </c>
      <c r="J1621" t="str">
        <f>VLOOKUP(orders__17[[#This Row],[Customer_ID]],customers__2[#All],4,0)</f>
        <v>Consumer</v>
      </c>
      <c r="K1621" t="str">
        <f>VLOOKUP(orders__17[[#This Row],[Product_ID]],products[#All],3,0)</f>
        <v>Technology</v>
      </c>
      <c r="L1621" s="1" t="str">
        <f>VLOOKUP(orders__17[[#This Row],[Product_ID]],products[#All],4,0)</f>
        <v>Laptop</v>
      </c>
      <c r="M1621" s="1" t="str">
        <f>VLOOKUP(orders__17[[#This Row],[Order_ID]],returns[#All],2,0)</f>
        <v>No</v>
      </c>
    </row>
    <row r="1622" spans="1:13" x14ac:dyDescent="0.3">
      <c r="A1622" s="1" t="s">
        <v>1928</v>
      </c>
      <c r="B1622" s="2">
        <v>45431</v>
      </c>
      <c r="C1622" s="1" t="s">
        <v>88</v>
      </c>
      <c r="D1622" s="1" t="s">
        <v>660</v>
      </c>
      <c r="E1622">
        <v>4</v>
      </c>
      <c r="F1622" s="4">
        <v>294.88</v>
      </c>
      <c r="G1622" s="3">
        <v>0.2</v>
      </c>
      <c r="H1622" s="4">
        <v>30.17</v>
      </c>
      <c r="I1622" t="str">
        <f>VLOOKUP(orders__17[[#This Row],[Customer_ID]],customers__2[#All],3,0)</f>
        <v>West</v>
      </c>
      <c r="J1622" t="str">
        <f>VLOOKUP(orders__17[[#This Row],[Customer_ID]],customers__2[#All],4,0)</f>
        <v>Corporate</v>
      </c>
      <c r="K1622" t="str">
        <f>VLOOKUP(orders__17[[#This Row],[Product_ID]],products[#All],3,0)</f>
        <v>Office Supplies</v>
      </c>
      <c r="L1622" s="1" t="str">
        <f>VLOOKUP(orders__17[[#This Row],[Product_ID]],products[#All],4,0)</f>
        <v>Storage</v>
      </c>
      <c r="M1622" s="1" t="str">
        <f>VLOOKUP(orders__17[[#This Row],[Order_ID]],returns[#All],2,0)</f>
        <v>No</v>
      </c>
    </row>
    <row r="1623" spans="1:13" x14ac:dyDescent="0.3">
      <c r="A1623" s="1" t="s">
        <v>1929</v>
      </c>
      <c r="B1623" s="2">
        <v>45432</v>
      </c>
      <c r="C1623" s="1" t="s">
        <v>138</v>
      </c>
      <c r="D1623" s="1" t="s">
        <v>186</v>
      </c>
      <c r="E1623">
        <v>1</v>
      </c>
      <c r="F1623" s="4">
        <v>846.19</v>
      </c>
      <c r="G1623" s="3">
        <v>0.2</v>
      </c>
      <c r="H1623" s="4">
        <v>57.65</v>
      </c>
      <c r="I1623" t="str">
        <f>VLOOKUP(orders__17[[#This Row],[Customer_ID]],customers__2[#All],3,0)</f>
        <v>West</v>
      </c>
      <c r="J1623" t="str">
        <f>VLOOKUP(orders__17[[#This Row],[Customer_ID]],customers__2[#All],4,0)</f>
        <v>Consumer</v>
      </c>
      <c r="K1623" t="str">
        <f>VLOOKUP(orders__17[[#This Row],[Product_ID]],products[#All],3,0)</f>
        <v>Technology</v>
      </c>
      <c r="L1623" s="1" t="str">
        <f>VLOOKUP(orders__17[[#This Row],[Product_ID]],products[#All],4,0)</f>
        <v>Laptop</v>
      </c>
      <c r="M1623" s="1" t="str">
        <f>VLOOKUP(orders__17[[#This Row],[Order_ID]],returns[#All],2,0)</f>
        <v>Yes</v>
      </c>
    </row>
    <row r="1624" spans="1:13" x14ac:dyDescent="0.3">
      <c r="A1624" s="1" t="s">
        <v>1930</v>
      </c>
      <c r="B1624" s="2">
        <v>45419</v>
      </c>
      <c r="C1624" s="1" t="s">
        <v>179</v>
      </c>
      <c r="D1624" s="1" t="s">
        <v>451</v>
      </c>
      <c r="E1624">
        <v>2</v>
      </c>
      <c r="F1624" s="4">
        <v>1151.4100000000001</v>
      </c>
      <c r="G1624" s="3">
        <v>0.1</v>
      </c>
      <c r="H1624" s="4">
        <v>260.01</v>
      </c>
      <c r="I1624" t="str">
        <f>VLOOKUP(orders__17[[#This Row],[Customer_ID]],customers__2[#All],3,0)</f>
        <v>North</v>
      </c>
      <c r="J1624" t="str">
        <f>VLOOKUP(orders__17[[#This Row],[Customer_ID]],customers__2[#All],4,0)</f>
        <v>Consumer</v>
      </c>
      <c r="K1624" t="str">
        <f>VLOOKUP(orders__17[[#This Row],[Product_ID]],products[#All],3,0)</f>
        <v>Technology</v>
      </c>
      <c r="L1624" s="1" t="str">
        <f>VLOOKUP(orders__17[[#This Row],[Product_ID]],products[#All],4,0)</f>
        <v>Laptop</v>
      </c>
      <c r="M1624" s="1" t="str">
        <f>VLOOKUP(orders__17[[#This Row],[Order_ID]],returns[#All],2,0)</f>
        <v>Yes</v>
      </c>
    </row>
    <row r="1625" spans="1:13" x14ac:dyDescent="0.3">
      <c r="A1625" s="1" t="s">
        <v>1931</v>
      </c>
      <c r="B1625" s="2">
        <v>45223</v>
      </c>
      <c r="C1625" s="1" t="s">
        <v>176</v>
      </c>
      <c r="D1625" s="1" t="s">
        <v>75</v>
      </c>
      <c r="E1625">
        <v>1</v>
      </c>
      <c r="F1625" s="4">
        <v>1055.95</v>
      </c>
      <c r="G1625" s="3">
        <v>0.1</v>
      </c>
      <c r="H1625" s="4">
        <v>159.06</v>
      </c>
      <c r="I1625" t="str">
        <f>VLOOKUP(orders__17[[#This Row],[Customer_ID]],customers__2[#All],3,0)</f>
        <v>South</v>
      </c>
      <c r="J1625" t="str">
        <f>VLOOKUP(orders__17[[#This Row],[Customer_ID]],customers__2[#All],4,0)</f>
        <v>Home Office</v>
      </c>
      <c r="K1625" t="str">
        <f>VLOOKUP(orders__17[[#This Row],[Product_ID]],products[#All],3,0)</f>
        <v>Technology</v>
      </c>
      <c r="L1625" s="1" t="str">
        <f>VLOOKUP(orders__17[[#This Row],[Product_ID]],products[#All],4,0)</f>
        <v>Tablet</v>
      </c>
      <c r="M1625" s="1" t="str">
        <f>VLOOKUP(orders__17[[#This Row],[Order_ID]],returns[#All],2,0)</f>
        <v>No</v>
      </c>
    </row>
    <row r="1626" spans="1:13" x14ac:dyDescent="0.3">
      <c r="A1626" s="1" t="s">
        <v>1932</v>
      </c>
      <c r="B1626" s="2">
        <v>45281</v>
      </c>
      <c r="C1626" s="1" t="s">
        <v>946</v>
      </c>
      <c r="D1626" s="1" t="s">
        <v>111</v>
      </c>
      <c r="E1626">
        <v>1</v>
      </c>
      <c r="F1626" s="4">
        <v>468.34</v>
      </c>
      <c r="G1626" s="3">
        <v>0</v>
      </c>
      <c r="H1626" s="4">
        <v>131.13999999999999</v>
      </c>
      <c r="I1626" t="str">
        <f>VLOOKUP(orders__17[[#This Row],[Customer_ID]],customers__2[#All],3,0)</f>
        <v>South</v>
      </c>
      <c r="J1626" t="str">
        <f>VLOOKUP(orders__17[[#This Row],[Customer_ID]],customers__2[#All],4,0)</f>
        <v>Corporate</v>
      </c>
      <c r="K1626" t="str">
        <f>VLOOKUP(orders__17[[#This Row],[Product_ID]],products[#All],3,0)</f>
        <v>Technology</v>
      </c>
      <c r="L1626" s="1" t="str">
        <f>VLOOKUP(orders__17[[#This Row],[Product_ID]],products[#All],4,0)</f>
        <v>Accessories</v>
      </c>
      <c r="M1626" s="1" t="str">
        <f>VLOOKUP(orders__17[[#This Row],[Order_ID]],returns[#All],2,0)</f>
        <v>No</v>
      </c>
    </row>
    <row r="1627" spans="1:13" x14ac:dyDescent="0.3">
      <c r="A1627" s="1" t="s">
        <v>1933</v>
      </c>
      <c r="B1627" s="2">
        <v>45077</v>
      </c>
      <c r="C1627" s="1" t="s">
        <v>217</v>
      </c>
      <c r="D1627" s="1" t="s">
        <v>364</v>
      </c>
      <c r="E1627">
        <v>1</v>
      </c>
      <c r="F1627" s="4">
        <v>1731.75</v>
      </c>
      <c r="G1627" s="3">
        <v>0.1</v>
      </c>
      <c r="H1627" s="4">
        <v>368.11</v>
      </c>
      <c r="I1627" t="str">
        <f>VLOOKUP(orders__17[[#This Row],[Customer_ID]],customers__2[#All],3,0)</f>
        <v>East</v>
      </c>
      <c r="J1627" t="str">
        <f>VLOOKUP(orders__17[[#This Row],[Customer_ID]],customers__2[#All],4,0)</f>
        <v>Corporate</v>
      </c>
      <c r="K1627" t="str">
        <f>VLOOKUP(orders__17[[#This Row],[Product_ID]],products[#All],3,0)</f>
        <v>Technology</v>
      </c>
      <c r="L1627" s="1" t="str">
        <f>VLOOKUP(orders__17[[#This Row],[Product_ID]],products[#All],4,0)</f>
        <v>Accessories</v>
      </c>
      <c r="M1627" s="1" t="str">
        <f>VLOOKUP(orders__17[[#This Row],[Order_ID]],returns[#All],2,0)</f>
        <v>No</v>
      </c>
    </row>
    <row r="1628" spans="1:13" x14ac:dyDescent="0.3">
      <c r="A1628" s="1" t="s">
        <v>1934</v>
      </c>
      <c r="B1628" s="2">
        <v>45389</v>
      </c>
      <c r="C1628" s="1" t="s">
        <v>316</v>
      </c>
      <c r="D1628" s="1" t="s">
        <v>51</v>
      </c>
      <c r="E1628">
        <v>5</v>
      </c>
      <c r="F1628" s="4">
        <v>1386.19</v>
      </c>
      <c r="G1628" s="3">
        <v>0.3</v>
      </c>
      <c r="H1628" s="4">
        <v>100.64</v>
      </c>
      <c r="I1628" t="str">
        <f>VLOOKUP(orders__17[[#This Row],[Customer_ID]],customers__2[#All],3,0)</f>
        <v>South</v>
      </c>
      <c r="J1628" t="str">
        <f>VLOOKUP(orders__17[[#This Row],[Customer_ID]],customers__2[#All],4,0)</f>
        <v>Home Office</v>
      </c>
      <c r="K1628" t="str">
        <f>VLOOKUP(orders__17[[#This Row],[Product_ID]],products[#All],3,0)</f>
        <v>Office Supplies</v>
      </c>
      <c r="L1628" s="1" t="str">
        <f>VLOOKUP(orders__17[[#This Row],[Product_ID]],products[#All],4,0)</f>
        <v>Pen</v>
      </c>
      <c r="M1628" s="1" t="str">
        <f>VLOOKUP(orders__17[[#This Row],[Order_ID]],returns[#All],2,0)</f>
        <v>No</v>
      </c>
    </row>
    <row r="1629" spans="1:13" x14ac:dyDescent="0.3">
      <c r="A1629" s="1" t="s">
        <v>1935</v>
      </c>
      <c r="B1629" s="2">
        <v>44677</v>
      </c>
      <c r="C1629" s="1" t="s">
        <v>172</v>
      </c>
      <c r="D1629" s="1" t="s">
        <v>28</v>
      </c>
      <c r="E1629">
        <v>1</v>
      </c>
      <c r="F1629" s="4">
        <v>1692.03</v>
      </c>
      <c r="G1629" s="3">
        <v>0</v>
      </c>
      <c r="H1629" s="4">
        <v>485.55</v>
      </c>
      <c r="I1629" t="str">
        <f>VLOOKUP(orders__17[[#This Row],[Customer_ID]],customers__2[#All],3,0)</f>
        <v>East</v>
      </c>
      <c r="J1629" t="str">
        <f>VLOOKUP(orders__17[[#This Row],[Customer_ID]],customers__2[#All],4,0)</f>
        <v>Home Office</v>
      </c>
      <c r="K1629" t="str">
        <f>VLOOKUP(orders__17[[#This Row],[Product_ID]],products[#All],3,0)</f>
        <v>Office Supplies</v>
      </c>
      <c r="L1629" s="1" t="str">
        <f>VLOOKUP(orders__17[[#This Row],[Product_ID]],products[#All],4,0)</f>
        <v>Storage</v>
      </c>
      <c r="M1629" s="1" t="str">
        <f>VLOOKUP(orders__17[[#This Row],[Order_ID]],returns[#All],2,0)</f>
        <v>No</v>
      </c>
    </row>
    <row r="1630" spans="1:13" x14ac:dyDescent="0.3">
      <c r="A1630" s="1" t="s">
        <v>1936</v>
      </c>
      <c r="B1630" s="2">
        <v>45336</v>
      </c>
      <c r="C1630" s="1" t="s">
        <v>576</v>
      </c>
      <c r="D1630" s="1" t="s">
        <v>28</v>
      </c>
      <c r="E1630">
        <v>5</v>
      </c>
      <c r="F1630" s="4">
        <v>1731.65</v>
      </c>
      <c r="G1630" s="3">
        <v>0</v>
      </c>
      <c r="H1630" s="4">
        <v>198.52</v>
      </c>
      <c r="I1630" t="str">
        <f>VLOOKUP(orders__17[[#This Row],[Customer_ID]],customers__2[#All],3,0)</f>
        <v>West</v>
      </c>
      <c r="J1630" t="str">
        <f>VLOOKUP(orders__17[[#This Row],[Customer_ID]],customers__2[#All],4,0)</f>
        <v>Corporate</v>
      </c>
      <c r="K1630" t="str">
        <f>VLOOKUP(orders__17[[#This Row],[Product_ID]],products[#All],3,0)</f>
        <v>Office Supplies</v>
      </c>
      <c r="L1630" s="1" t="str">
        <f>VLOOKUP(orders__17[[#This Row],[Product_ID]],products[#All],4,0)</f>
        <v>Storage</v>
      </c>
      <c r="M1630" s="1" t="str">
        <f>VLOOKUP(orders__17[[#This Row],[Order_ID]],returns[#All],2,0)</f>
        <v>Yes</v>
      </c>
    </row>
    <row r="1631" spans="1:13" x14ac:dyDescent="0.3">
      <c r="A1631" s="1" t="s">
        <v>1937</v>
      </c>
      <c r="B1631" s="2">
        <v>45446</v>
      </c>
      <c r="C1631" s="1" t="s">
        <v>134</v>
      </c>
      <c r="D1631" s="1" t="s">
        <v>43</v>
      </c>
      <c r="E1631">
        <v>4</v>
      </c>
      <c r="F1631" s="4">
        <v>1521.88</v>
      </c>
      <c r="G1631" s="3">
        <v>0.3</v>
      </c>
      <c r="H1631" s="4">
        <v>204.39</v>
      </c>
      <c r="I1631" t="str">
        <f>VLOOKUP(orders__17[[#This Row],[Customer_ID]],customers__2[#All],3,0)</f>
        <v>West</v>
      </c>
      <c r="J1631" t="str">
        <f>VLOOKUP(orders__17[[#This Row],[Customer_ID]],customers__2[#All],4,0)</f>
        <v>Home Office</v>
      </c>
      <c r="K1631" t="str">
        <f>VLOOKUP(orders__17[[#This Row],[Product_ID]],products[#All],3,0)</f>
        <v>Technology</v>
      </c>
      <c r="L1631" s="1" t="str">
        <f>VLOOKUP(orders__17[[#This Row],[Product_ID]],products[#All],4,0)</f>
        <v>Tablet</v>
      </c>
      <c r="M1631" s="1" t="str">
        <f>VLOOKUP(orders__17[[#This Row],[Order_ID]],returns[#All],2,0)</f>
        <v>Yes</v>
      </c>
    </row>
    <row r="1632" spans="1:13" x14ac:dyDescent="0.3">
      <c r="A1632" s="1" t="s">
        <v>1938</v>
      </c>
      <c r="B1632" s="2">
        <v>44821</v>
      </c>
      <c r="C1632" s="1" t="s">
        <v>1081</v>
      </c>
      <c r="D1632" s="1" t="s">
        <v>116</v>
      </c>
      <c r="E1632">
        <v>2</v>
      </c>
      <c r="F1632" s="4">
        <v>934.5</v>
      </c>
      <c r="G1632" s="3">
        <v>0</v>
      </c>
      <c r="H1632" s="4">
        <v>140.69999999999999</v>
      </c>
      <c r="I1632" t="str">
        <f>VLOOKUP(orders__17[[#This Row],[Customer_ID]],customers__2[#All],3,0)</f>
        <v>North</v>
      </c>
      <c r="J1632" t="str">
        <f>VLOOKUP(orders__17[[#This Row],[Customer_ID]],customers__2[#All],4,0)</f>
        <v>Home Office</v>
      </c>
      <c r="K1632" t="str">
        <f>VLOOKUP(orders__17[[#This Row],[Product_ID]],products[#All],3,0)</f>
        <v>Furniture</v>
      </c>
      <c r="L1632" s="1" t="str">
        <f>VLOOKUP(orders__17[[#This Row],[Product_ID]],products[#All],4,0)</f>
        <v>Shelf</v>
      </c>
      <c r="M1632" s="1" t="str">
        <f>VLOOKUP(orders__17[[#This Row],[Order_ID]],returns[#All],2,0)</f>
        <v>No</v>
      </c>
    </row>
    <row r="1633" spans="1:13" x14ac:dyDescent="0.3">
      <c r="A1633" s="1" t="s">
        <v>1939</v>
      </c>
      <c r="B1633" s="2">
        <v>44644</v>
      </c>
      <c r="C1633" s="1" t="s">
        <v>15</v>
      </c>
      <c r="D1633" s="1" t="s">
        <v>660</v>
      </c>
      <c r="E1633">
        <v>2</v>
      </c>
      <c r="F1633" s="4">
        <v>1260.04</v>
      </c>
      <c r="G1633" s="3">
        <v>0.1</v>
      </c>
      <c r="H1633" s="4">
        <v>79.14</v>
      </c>
      <c r="I1633" t="str">
        <f>VLOOKUP(orders__17[[#This Row],[Customer_ID]],customers__2[#All],3,0)</f>
        <v>West</v>
      </c>
      <c r="J1633" t="str">
        <f>VLOOKUP(orders__17[[#This Row],[Customer_ID]],customers__2[#All],4,0)</f>
        <v>Corporate</v>
      </c>
      <c r="K1633" t="str">
        <f>VLOOKUP(orders__17[[#This Row],[Product_ID]],products[#All],3,0)</f>
        <v>Office Supplies</v>
      </c>
      <c r="L1633" s="1" t="str">
        <f>VLOOKUP(orders__17[[#This Row],[Product_ID]],products[#All],4,0)</f>
        <v>Storage</v>
      </c>
      <c r="M1633" s="1" t="str">
        <f>VLOOKUP(orders__17[[#This Row],[Order_ID]],returns[#All],2,0)</f>
        <v>Yes</v>
      </c>
    </row>
    <row r="1634" spans="1:13" x14ac:dyDescent="0.3">
      <c r="A1634" s="1" t="s">
        <v>1940</v>
      </c>
      <c r="B1634" s="2">
        <v>45311</v>
      </c>
      <c r="C1634" s="1" t="s">
        <v>138</v>
      </c>
      <c r="D1634" s="1" t="s">
        <v>83</v>
      </c>
      <c r="E1634">
        <v>2</v>
      </c>
      <c r="F1634" s="4">
        <v>404.69</v>
      </c>
      <c r="G1634" s="3">
        <v>0.2</v>
      </c>
      <c r="H1634" s="4">
        <v>70.47</v>
      </c>
      <c r="I1634" t="str">
        <f>VLOOKUP(orders__17[[#This Row],[Customer_ID]],customers__2[#All],3,0)</f>
        <v>West</v>
      </c>
      <c r="J1634" t="str">
        <f>VLOOKUP(orders__17[[#This Row],[Customer_ID]],customers__2[#All],4,0)</f>
        <v>Consumer</v>
      </c>
      <c r="K1634" t="str">
        <f>VLOOKUP(orders__17[[#This Row],[Product_ID]],products[#All],3,0)</f>
        <v>Furniture</v>
      </c>
      <c r="L1634" s="1" t="str">
        <f>VLOOKUP(orders__17[[#This Row],[Product_ID]],products[#All],4,0)</f>
        <v>Table</v>
      </c>
      <c r="M1634" s="1" t="str">
        <f>VLOOKUP(orders__17[[#This Row],[Order_ID]],returns[#All],2,0)</f>
        <v>Yes</v>
      </c>
    </row>
    <row r="1635" spans="1:13" x14ac:dyDescent="0.3">
      <c r="A1635" s="1" t="s">
        <v>1941</v>
      </c>
      <c r="B1635" s="2">
        <v>45355</v>
      </c>
      <c r="C1635" s="1" t="s">
        <v>355</v>
      </c>
      <c r="D1635" s="1" t="s">
        <v>28</v>
      </c>
      <c r="E1635">
        <v>2</v>
      </c>
      <c r="F1635" s="4">
        <v>1379.93</v>
      </c>
      <c r="G1635" s="3">
        <v>0.3</v>
      </c>
      <c r="H1635" s="4">
        <v>111.54</v>
      </c>
      <c r="I1635" t="str">
        <f>VLOOKUP(orders__17[[#This Row],[Customer_ID]],customers__2[#All],3,0)</f>
        <v>South</v>
      </c>
      <c r="J1635" t="str">
        <f>VLOOKUP(orders__17[[#This Row],[Customer_ID]],customers__2[#All],4,0)</f>
        <v>Home Office</v>
      </c>
      <c r="K1635" t="str">
        <f>VLOOKUP(orders__17[[#This Row],[Product_ID]],products[#All],3,0)</f>
        <v>Office Supplies</v>
      </c>
      <c r="L1635" s="1" t="str">
        <f>VLOOKUP(orders__17[[#This Row],[Product_ID]],products[#All],4,0)</f>
        <v>Storage</v>
      </c>
      <c r="M1635" s="1" t="str">
        <f>VLOOKUP(orders__17[[#This Row],[Order_ID]],returns[#All],2,0)</f>
        <v>No</v>
      </c>
    </row>
    <row r="1636" spans="1:13" x14ac:dyDescent="0.3">
      <c r="A1636" s="1" t="s">
        <v>1942</v>
      </c>
      <c r="B1636" s="2">
        <v>45390</v>
      </c>
      <c r="C1636" s="1" t="s">
        <v>406</v>
      </c>
      <c r="D1636" s="1" t="s">
        <v>100</v>
      </c>
      <c r="E1636">
        <v>2</v>
      </c>
      <c r="F1636" s="4">
        <v>440.58</v>
      </c>
      <c r="G1636" s="3">
        <v>0.1</v>
      </c>
      <c r="H1636" s="4">
        <v>66.19</v>
      </c>
      <c r="I1636" t="str">
        <f>VLOOKUP(orders__17[[#This Row],[Customer_ID]],customers__2[#All],3,0)</f>
        <v>East</v>
      </c>
      <c r="J1636" t="str">
        <f>VLOOKUP(orders__17[[#This Row],[Customer_ID]],customers__2[#All],4,0)</f>
        <v>Home Office</v>
      </c>
      <c r="K1636" t="str">
        <f>VLOOKUP(orders__17[[#This Row],[Product_ID]],products[#All],3,0)</f>
        <v>Technology</v>
      </c>
      <c r="L1636" s="1" t="str">
        <f>VLOOKUP(orders__17[[#This Row],[Product_ID]],products[#All],4,0)</f>
        <v>Laptop</v>
      </c>
      <c r="M1636" s="1" t="str">
        <f>VLOOKUP(orders__17[[#This Row],[Order_ID]],returns[#All],2,0)</f>
        <v>Yes</v>
      </c>
    </row>
    <row r="1637" spans="1:13" x14ac:dyDescent="0.3">
      <c r="A1637" s="1" t="s">
        <v>1943</v>
      </c>
      <c r="B1637" s="2">
        <v>45195</v>
      </c>
      <c r="C1637" s="1" t="s">
        <v>260</v>
      </c>
      <c r="D1637" s="1" t="s">
        <v>269</v>
      </c>
      <c r="E1637">
        <v>2</v>
      </c>
      <c r="F1637" s="4">
        <v>1418.5</v>
      </c>
      <c r="G1637" s="3">
        <v>0.3</v>
      </c>
      <c r="H1637" s="4">
        <v>195.3</v>
      </c>
      <c r="I1637" t="str">
        <f>VLOOKUP(orders__17[[#This Row],[Customer_ID]],customers__2[#All],3,0)</f>
        <v>East</v>
      </c>
      <c r="J1637" t="str">
        <f>VLOOKUP(orders__17[[#This Row],[Customer_ID]],customers__2[#All],4,0)</f>
        <v>Consumer</v>
      </c>
      <c r="K1637" t="str">
        <f>VLOOKUP(orders__17[[#This Row],[Product_ID]],products[#All],3,0)</f>
        <v>Office Supplies</v>
      </c>
      <c r="L1637" s="1" t="str">
        <f>VLOOKUP(orders__17[[#This Row],[Product_ID]],products[#All],4,0)</f>
        <v>Pen</v>
      </c>
      <c r="M1637" s="1" t="str">
        <f>VLOOKUP(orders__17[[#This Row],[Order_ID]],returns[#All],2,0)</f>
        <v>No</v>
      </c>
    </row>
    <row r="1638" spans="1:13" x14ac:dyDescent="0.3">
      <c r="A1638" s="1" t="s">
        <v>1944</v>
      </c>
      <c r="B1638" s="2">
        <v>44716</v>
      </c>
      <c r="C1638" s="1" t="s">
        <v>217</v>
      </c>
      <c r="D1638" s="1" t="s">
        <v>283</v>
      </c>
      <c r="E1638">
        <v>2</v>
      </c>
      <c r="F1638" s="4">
        <v>536.24</v>
      </c>
      <c r="G1638" s="3">
        <v>0.3</v>
      </c>
      <c r="H1638" s="4">
        <v>130.41999999999999</v>
      </c>
      <c r="I1638" t="str">
        <f>VLOOKUP(orders__17[[#This Row],[Customer_ID]],customers__2[#All],3,0)</f>
        <v>East</v>
      </c>
      <c r="J1638" t="str">
        <f>VLOOKUP(orders__17[[#This Row],[Customer_ID]],customers__2[#All],4,0)</f>
        <v>Corporate</v>
      </c>
      <c r="K1638" t="str">
        <f>VLOOKUP(orders__17[[#This Row],[Product_ID]],products[#All],3,0)</f>
        <v>Furniture</v>
      </c>
      <c r="L1638" s="1" t="str">
        <f>VLOOKUP(orders__17[[#This Row],[Product_ID]],products[#All],4,0)</f>
        <v>Chair</v>
      </c>
      <c r="M1638" s="1" t="str">
        <f>VLOOKUP(orders__17[[#This Row],[Order_ID]],returns[#All],2,0)</f>
        <v>No</v>
      </c>
    </row>
    <row r="1639" spans="1:13" x14ac:dyDescent="0.3">
      <c r="A1639" s="1" t="s">
        <v>1945</v>
      </c>
      <c r="B1639" s="2">
        <v>45222</v>
      </c>
      <c r="C1639" s="1" t="s">
        <v>444</v>
      </c>
      <c r="D1639" s="1" t="s">
        <v>669</v>
      </c>
      <c r="E1639">
        <v>4</v>
      </c>
      <c r="F1639" s="4">
        <v>323.35000000000002</v>
      </c>
      <c r="G1639" s="3">
        <v>0</v>
      </c>
      <c r="H1639" s="4">
        <v>81.09</v>
      </c>
      <c r="I1639" t="str">
        <f>VLOOKUP(orders__17[[#This Row],[Customer_ID]],customers__2[#All],3,0)</f>
        <v>North</v>
      </c>
      <c r="J1639" t="str">
        <f>VLOOKUP(orders__17[[#This Row],[Customer_ID]],customers__2[#All],4,0)</f>
        <v>Corporate</v>
      </c>
      <c r="K1639" t="str">
        <f>VLOOKUP(orders__17[[#This Row],[Product_ID]],products[#All],3,0)</f>
        <v>Office Supplies</v>
      </c>
      <c r="L1639" s="1" t="str">
        <f>VLOOKUP(orders__17[[#This Row],[Product_ID]],products[#All],4,0)</f>
        <v>Pen</v>
      </c>
      <c r="M1639" s="1" t="str">
        <f>VLOOKUP(orders__17[[#This Row],[Order_ID]],returns[#All],2,0)</f>
        <v>No</v>
      </c>
    </row>
    <row r="1640" spans="1:13" x14ac:dyDescent="0.3">
      <c r="A1640" s="1" t="s">
        <v>1946</v>
      </c>
      <c r="B1640" s="2">
        <v>45074</v>
      </c>
      <c r="C1640" s="1" t="s">
        <v>1093</v>
      </c>
      <c r="D1640" s="1" t="s">
        <v>660</v>
      </c>
      <c r="E1640">
        <v>1</v>
      </c>
      <c r="F1640" s="4">
        <v>414.04</v>
      </c>
      <c r="G1640" s="3">
        <v>0</v>
      </c>
      <c r="H1640" s="4">
        <v>36.58</v>
      </c>
      <c r="I1640" t="str">
        <f>VLOOKUP(orders__17[[#This Row],[Customer_ID]],customers__2[#All],3,0)</f>
        <v>West</v>
      </c>
      <c r="J1640" t="str">
        <f>VLOOKUP(orders__17[[#This Row],[Customer_ID]],customers__2[#All],4,0)</f>
        <v>Home Office</v>
      </c>
      <c r="K1640" t="str">
        <f>VLOOKUP(orders__17[[#This Row],[Product_ID]],products[#All],3,0)</f>
        <v>Office Supplies</v>
      </c>
      <c r="L1640" s="1" t="str">
        <f>VLOOKUP(orders__17[[#This Row],[Product_ID]],products[#All],4,0)</f>
        <v>Storage</v>
      </c>
      <c r="M1640" s="1" t="str">
        <f>VLOOKUP(orders__17[[#This Row],[Order_ID]],returns[#All],2,0)</f>
        <v>No</v>
      </c>
    </row>
    <row r="1641" spans="1:13" x14ac:dyDescent="0.3">
      <c r="A1641" s="1" t="s">
        <v>1947</v>
      </c>
      <c r="B1641" s="2">
        <v>45226</v>
      </c>
      <c r="C1641" s="1" t="s">
        <v>220</v>
      </c>
      <c r="D1641" s="1" t="s">
        <v>372</v>
      </c>
      <c r="E1641">
        <v>3</v>
      </c>
      <c r="F1641" s="4">
        <v>103.79</v>
      </c>
      <c r="G1641" s="3">
        <v>0.1</v>
      </c>
      <c r="H1641" s="4">
        <v>14.7</v>
      </c>
      <c r="I1641" t="str">
        <f>VLOOKUP(orders__17[[#This Row],[Customer_ID]],customers__2[#All],3,0)</f>
        <v>West</v>
      </c>
      <c r="J1641" t="str">
        <f>VLOOKUP(orders__17[[#This Row],[Customer_ID]],customers__2[#All],4,0)</f>
        <v>Corporate</v>
      </c>
      <c r="K1641" t="str">
        <f>VLOOKUP(orders__17[[#This Row],[Product_ID]],products[#All],3,0)</f>
        <v>Furniture</v>
      </c>
      <c r="L1641" s="1" t="str">
        <f>VLOOKUP(orders__17[[#This Row],[Product_ID]],products[#All],4,0)</f>
        <v>Shelf</v>
      </c>
      <c r="M1641" s="1" t="str">
        <f>VLOOKUP(orders__17[[#This Row],[Order_ID]],returns[#All],2,0)</f>
        <v>No</v>
      </c>
    </row>
    <row r="1642" spans="1:13" x14ac:dyDescent="0.3">
      <c r="A1642" s="1" t="s">
        <v>1948</v>
      </c>
      <c r="B1642" s="2">
        <v>44833</v>
      </c>
      <c r="C1642" s="1" t="s">
        <v>422</v>
      </c>
      <c r="D1642" s="1" t="s">
        <v>451</v>
      </c>
      <c r="E1642">
        <v>5</v>
      </c>
      <c r="F1642" s="4">
        <v>1465.61</v>
      </c>
      <c r="G1642" s="3">
        <v>0.3</v>
      </c>
      <c r="H1642" s="4">
        <v>210.08</v>
      </c>
      <c r="I1642" t="str">
        <f>VLOOKUP(orders__17[[#This Row],[Customer_ID]],customers__2[#All],3,0)</f>
        <v>East</v>
      </c>
      <c r="J1642" t="str">
        <f>VLOOKUP(orders__17[[#This Row],[Customer_ID]],customers__2[#All],4,0)</f>
        <v>Home Office</v>
      </c>
      <c r="K1642" t="str">
        <f>VLOOKUP(orders__17[[#This Row],[Product_ID]],products[#All],3,0)</f>
        <v>Technology</v>
      </c>
      <c r="L1642" s="1" t="str">
        <f>VLOOKUP(orders__17[[#This Row],[Product_ID]],products[#All],4,0)</f>
        <v>Laptop</v>
      </c>
      <c r="M1642" s="1" t="str">
        <f>VLOOKUP(orders__17[[#This Row],[Order_ID]],returns[#All],2,0)</f>
        <v>No</v>
      </c>
    </row>
    <row r="1643" spans="1:13" x14ac:dyDescent="0.3">
      <c r="A1643" s="1" t="s">
        <v>1949</v>
      </c>
      <c r="B1643" s="2">
        <v>45387</v>
      </c>
      <c r="C1643" s="1" t="s">
        <v>99</v>
      </c>
      <c r="D1643" s="1" t="s">
        <v>97</v>
      </c>
      <c r="E1643">
        <v>3</v>
      </c>
      <c r="F1643" s="4">
        <v>1491.56</v>
      </c>
      <c r="G1643" s="3">
        <v>0</v>
      </c>
      <c r="H1643" s="4">
        <v>131.04</v>
      </c>
      <c r="I1643" t="str">
        <f>VLOOKUP(orders__17[[#This Row],[Customer_ID]],customers__2[#All],3,0)</f>
        <v>East</v>
      </c>
      <c r="J1643" t="str">
        <f>VLOOKUP(orders__17[[#This Row],[Customer_ID]],customers__2[#All],4,0)</f>
        <v>Corporate</v>
      </c>
      <c r="K1643" t="str">
        <f>VLOOKUP(orders__17[[#This Row],[Product_ID]],products[#All],3,0)</f>
        <v>Technology</v>
      </c>
      <c r="L1643" s="1" t="str">
        <f>VLOOKUP(orders__17[[#This Row],[Product_ID]],products[#All],4,0)</f>
        <v>Tablet</v>
      </c>
      <c r="M1643" s="1" t="str">
        <f>VLOOKUP(orders__17[[#This Row],[Order_ID]],returns[#All],2,0)</f>
        <v>No</v>
      </c>
    </row>
    <row r="1644" spans="1:13" x14ac:dyDescent="0.3">
      <c r="A1644" s="1" t="s">
        <v>1950</v>
      </c>
      <c r="B1644" s="2">
        <v>45349</v>
      </c>
      <c r="C1644" s="1" t="s">
        <v>182</v>
      </c>
      <c r="D1644" s="1" t="s">
        <v>170</v>
      </c>
      <c r="E1644">
        <v>3</v>
      </c>
      <c r="F1644" s="4">
        <v>1078.3699999999999</v>
      </c>
      <c r="G1644" s="3">
        <v>0</v>
      </c>
      <c r="H1644" s="4">
        <v>269.18</v>
      </c>
      <c r="I1644" t="str">
        <f>VLOOKUP(orders__17[[#This Row],[Customer_ID]],customers__2[#All],3,0)</f>
        <v>South</v>
      </c>
      <c r="J1644" t="str">
        <f>VLOOKUP(orders__17[[#This Row],[Customer_ID]],customers__2[#All],4,0)</f>
        <v>Consumer</v>
      </c>
      <c r="K1644" t="str">
        <f>VLOOKUP(orders__17[[#This Row],[Product_ID]],products[#All],3,0)</f>
        <v>Furniture</v>
      </c>
      <c r="L1644" s="1" t="str">
        <f>VLOOKUP(orders__17[[#This Row],[Product_ID]],products[#All],4,0)</f>
        <v>Shelf</v>
      </c>
      <c r="M1644" s="1" t="str">
        <f>VLOOKUP(orders__17[[#This Row],[Order_ID]],returns[#All],2,0)</f>
        <v>No</v>
      </c>
    </row>
    <row r="1645" spans="1:13" x14ac:dyDescent="0.3">
      <c r="A1645" s="1" t="s">
        <v>1951</v>
      </c>
      <c r="B1645" s="2">
        <v>45381</v>
      </c>
      <c r="C1645" s="1" t="s">
        <v>260</v>
      </c>
      <c r="D1645" s="1" t="s">
        <v>314</v>
      </c>
      <c r="E1645">
        <v>1</v>
      </c>
      <c r="F1645" s="4">
        <v>406.59</v>
      </c>
      <c r="G1645" s="3">
        <v>0.3</v>
      </c>
      <c r="H1645" s="4">
        <v>92.22</v>
      </c>
      <c r="I1645" t="str">
        <f>VLOOKUP(orders__17[[#This Row],[Customer_ID]],customers__2[#All],3,0)</f>
        <v>East</v>
      </c>
      <c r="J1645" t="str">
        <f>VLOOKUP(orders__17[[#This Row],[Customer_ID]],customers__2[#All],4,0)</f>
        <v>Consumer</v>
      </c>
      <c r="K1645" t="str">
        <f>VLOOKUP(orders__17[[#This Row],[Product_ID]],products[#All],3,0)</f>
        <v>Office Supplies</v>
      </c>
      <c r="L1645" s="1" t="str">
        <f>VLOOKUP(orders__17[[#This Row],[Product_ID]],products[#All],4,0)</f>
        <v>Paper</v>
      </c>
      <c r="M1645" s="1" t="str">
        <f>VLOOKUP(orders__17[[#This Row],[Order_ID]],returns[#All],2,0)</f>
        <v>Yes</v>
      </c>
    </row>
    <row r="1646" spans="1:13" x14ac:dyDescent="0.3">
      <c r="A1646" s="1" t="s">
        <v>1952</v>
      </c>
      <c r="B1646" s="2">
        <v>45085</v>
      </c>
      <c r="C1646" s="1" t="s">
        <v>723</v>
      </c>
      <c r="D1646" s="1" t="s">
        <v>19</v>
      </c>
      <c r="E1646">
        <v>1</v>
      </c>
      <c r="F1646" s="4">
        <v>258.75</v>
      </c>
      <c r="G1646" s="3">
        <v>0.1</v>
      </c>
      <c r="H1646" s="4">
        <v>25.25</v>
      </c>
      <c r="I1646" t="str">
        <f>VLOOKUP(orders__17[[#This Row],[Customer_ID]],customers__2[#All],3,0)</f>
        <v>North</v>
      </c>
      <c r="J1646" t="str">
        <f>VLOOKUP(orders__17[[#This Row],[Customer_ID]],customers__2[#All],4,0)</f>
        <v>Home Office</v>
      </c>
      <c r="K1646" t="str">
        <f>VLOOKUP(orders__17[[#This Row],[Product_ID]],products[#All],3,0)</f>
        <v>Office Supplies</v>
      </c>
      <c r="L1646" s="1" t="str">
        <f>VLOOKUP(orders__17[[#This Row],[Product_ID]],products[#All],4,0)</f>
        <v>Pen</v>
      </c>
      <c r="M1646" s="1" t="str">
        <f>VLOOKUP(orders__17[[#This Row],[Order_ID]],returns[#All],2,0)</f>
        <v>Yes</v>
      </c>
    </row>
    <row r="1647" spans="1:13" x14ac:dyDescent="0.3">
      <c r="A1647" s="1" t="s">
        <v>1953</v>
      </c>
      <c r="B1647" s="2">
        <v>44823</v>
      </c>
      <c r="C1647" s="1" t="s">
        <v>447</v>
      </c>
      <c r="D1647" s="1" t="s">
        <v>397</v>
      </c>
      <c r="E1647">
        <v>1</v>
      </c>
      <c r="F1647" s="4">
        <v>136.35</v>
      </c>
      <c r="G1647" s="3">
        <v>0.1</v>
      </c>
      <c r="H1647" s="4">
        <v>19.32</v>
      </c>
      <c r="I1647" t="str">
        <f>VLOOKUP(orders__17[[#This Row],[Customer_ID]],customers__2[#All],3,0)</f>
        <v>West</v>
      </c>
      <c r="J1647" t="str">
        <f>VLOOKUP(orders__17[[#This Row],[Customer_ID]],customers__2[#All],4,0)</f>
        <v>Corporate</v>
      </c>
      <c r="K1647" t="str">
        <f>VLOOKUP(orders__17[[#This Row],[Product_ID]],products[#All],3,0)</f>
        <v>Office Supplies</v>
      </c>
      <c r="L1647" s="1" t="str">
        <f>VLOOKUP(orders__17[[#This Row],[Product_ID]],products[#All],4,0)</f>
        <v>Pen</v>
      </c>
      <c r="M1647" s="1" t="str">
        <f>VLOOKUP(orders__17[[#This Row],[Order_ID]],returns[#All],2,0)</f>
        <v>No</v>
      </c>
    </row>
    <row r="1648" spans="1:13" x14ac:dyDescent="0.3">
      <c r="A1648" s="1" t="s">
        <v>1954</v>
      </c>
      <c r="B1648" s="2">
        <v>45084</v>
      </c>
      <c r="C1648" s="1" t="s">
        <v>520</v>
      </c>
      <c r="D1648" s="1" t="s">
        <v>455</v>
      </c>
      <c r="E1648">
        <v>2</v>
      </c>
      <c r="F1648" s="4">
        <v>414.92</v>
      </c>
      <c r="G1648" s="3">
        <v>0.3</v>
      </c>
      <c r="H1648" s="4">
        <v>31.72</v>
      </c>
      <c r="I1648" t="str">
        <f>VLOOKUP(orders__17[[#This Row],[Customer_ID]],customers__2[#All],3,0)</f>
        <v>West</v>
      </c>
      <c r="J1648" t="str">
        <f>VLOOKUP(orders__17[[#This Row],[Customer_ID]],customers__2[#All],4,0)</f>
        <v>Consumer</v>
      </c>
      <c r="K1648" t="str">
        <f>VLOOKUP(orders__17[[#This Row],[Product_ID]],products[#All],3,0)</f>
        <v>Furniture</v>
      </c>
      <c r="L1648" s="1" t="str">
        <f>VLOOKUP(orders__17[[#This Row],[Product_ID]],products[#All],4,0)</f>
        <v>Shelf</v>
      </c>
      <c r="M1648" s="1" t="str">
        <f>VLOOKUP(orders__17[[#This Row],[Order_ID]],returns[#All],2,0)</f>
        <v>No</v>
      </c>
    </row>
    <row r="1649" spans="1:13" x14ac:dyDescent="0.3">
      <c r="A1649" s="1" t="s">
        <v>1955</v>
      </c>
      <c r="B1649" s="2">
        <v>45412</v>
      </c>
      <c r="C1649" s="1" t="s">
        <v>42</v>
      </c>
      <c r="D1649" s="1" t="s">
        <v>258</v>
      </c>
      <c r="E1649">
        <v>4</v>
      </c>
      <c r="F1649" s="4">
        <v>1792.63</v>
      </c>
      <c r="G1649" s="3">
        <v>0.1</v>
      </c>
      <c r="H1649" s="4">
        <v>371.17</v>
      </c>
      <c r="I1649" t="str">
        <f>VLOOKUP(orders__17[[#This Row],[Customer_ID]],customers__2[#All],3,0)</f>
        <v>North</v>
      </c>
      <c r="J1649" t="str">
        <f>VLOOKUP(orders__17[[#This Row],[Customer_ID]],customers__2[#All],4,0)</f>
        <v>Corporate</v>
      </c>
      <c r="K1649" t="str">
        <f>VLOOKUP(orders__17[[#This Row],[Product_ID]],products[#All],3,0)</f>
        <v>Technology</v>
      </c>
      <c r="L1649" s="1" t="str">
        <f>VLOOKUP(orders__17[[#This Row],[Product_ID]],products[#All],4,0)</f>
        <v>Phone</v>
      </c>
      <c r="M1649" s="1" t="str">
        <f>VLOOKUP(orders__17[[#This Row],[Order_ID]],returns[#All],2,0)</f>
        <v>No</v>
      </c>
    </row>
    <row r="1650" spans="1:13" x14ac:dyDescent="0.3">
      <c r="A1650" s="1" t="s">
        <v>1956</v>
      </c>
      <c r="B1650" s="2">
        <v>45260</v>
      </c>
      <c r="C1650" s="1" t="s">
        <v>473</v>
      </c>
      <c r="D1650" s="1" t="s">
        <v>369</v>
      </c>
      <c r="E1650">
        <v>2</v>
      </c>
      <c r="F1650" s="4">
        <v>558.91999999999996</v>
      </c>
      <c r="G1650" s="3">
        <v>0</v>
      </c>
      <c r="H1650" s="4">
        <v>44.91</v>
      </c>
      <c r="I1650" t="str">
        <f>VLOOKUP(orders__17[[#This Row],[Customer_ID]],customers__2[#All],3,0)</f>
        <v>North</v>
      </c>
      <c r="J1650" t="str">
        <f>VLOOKUP(orders__17[[#This Row],[Customer_ID]],customers__2[#All],4,0)</f>
        <v>Corporate</v>
      </c>
      <c r="K1650" t="str">
        <f>VLOOKUP(orders__17[[#This Row],[Product_ID]],products[#All],3,0)</f>
        <v>Technology</v>
      </c>
      <c r="L1650" s="1" t="str">
        <f>VLOOKUP(orders__17[[#This Row],[Product_ID]],products[#All],4,0)</f>
        <v>Phone</v>
      </c>
      <c r="M1650" s="1" t="str">
        <f>VLOOKUP(orders__17[[#This Row],[Order_ID]],returns[#All],2,0)</f>
        <v>No</v>
      </c>
    </row>
    <row r="1651" spans="1:13" x14ac:dyDescent="0.3">
      <c r="A1651" s="1" t="s">
        <v>1957</v>
      </c>
      <c r="B1651" s="2">
        <v>44945</v>
      </c>
      <c r="C1651" s="1" t="s">
        <v>36</v>
      </c>
      <c r="D1651" s="1" t="s">
        <v>314</v>
      </c>
      <c r="E1651">
        <v>4</v>
      </c>
      <c r="F1651" s="4">
        <v>773.12</v>
      </c>
      <c r="G1651" s="3">
        <v>0.3</v>
      </c>
      <c r="H1651" s="4">
        <v>229.22</v>
      </c>
      <c r="I1651" t="str">
        <f>VLOOKUP(orders__17[[#This Row],[Customer_ID]],customers__2[#All],3,0)</f>
        <v>North</v>
      </c>
      <c r="J1651" t="str">
        <f>VLOOKUP(orders__17[[#This Row],[Customer_ID]],customers__2[#All],4,0)</f>
        <v>Consumer</v>
      </c>
      <c r="K1651" t="str">
        <f>VLOOKUP(orders__17[[#This Row],[Product_ID]],products[#All],3,0)</f>
        <v>Office Supplies</v>
      </c>
      <c r="L1651" s="1" t="str">
        <f>VLOOKUP(orders__17[[#This Row],[Product_ID]],products[#All],4,0)</f>
        <v>Paper</v>
      </c>
      <c r="M1651" s="1" t="str">
        <f>VLOOKUP(orders__17[[#This Row],[Order_ID]],returns[#All],2,0)</f>
        <v>Yes</v>
      </c>
    </row>
    <row r="1652" spans="1:13" x14ac:dyDescent="0.3">
      <c r="A1652" s="1" t="s">
        <v>1958</v>
      </c>
      <c r="B1652" s="2">
        <v>44758</v>
      </c>
      <c r="C1652" s="1" t="s">
        <v>533</v>
      </c>
      <c r="D1652" s="1" t="s">
        <v>603</v>
      </c>
      <c r="E1652">
        <v>4</v>
      </c>
      <c r="F1652" s="4">
        <v>300.16000000000003</v>
      </c>
      <c r="G1652" s="3">
        <v>0</v>
      </c>
      <c r="H1652" s="4">
        <v>73.59</v>
      </c>
      <c r="I1652" t="str">
        <f>VLOOKUP(orders__17[[#This Row],[Customer_ID]],customers__2[#All],3,0)</f>
        <v>West</v>
      </c>
      <c r="J1652" t="str">
        <f>VLOOKUP(orders__17[[#This Row],[Customer_ID]],customers__2[#All],4,0)</f>
        <v>Consumer</v>
      </c>
      <c r="K1652" t="str">
        <f>VLOOKUP(orders__17[[#This Row],[Product_ID]],products[#All],3,0)</f>
        <v>Technology</v>
      </c>
      <c r="L1652" s="1" t="str">
        <f>VLOOKUP(orders__17[[#This Row],[Product_ID]],products[#All],4,0)</f>
        <v>Accessories</v>
      </c>
      <c r="M1652" s="1" t="str">
        <f>VLOOKUP(orders__17[[#This Row],[Order_ID]],returns[#All],2,0)</f>
        <v>No</v>
      </c>
    </row>
    <row r="1653" spans="1:13" x14ac:dyDescent="0.3">
      <c r="A1653" s="1" t="s">
        <v>1959</v>
      </c>
      <c r="B1653" s="2">
        <v>45298</v>
      </c>
      <c r="C1653" s="1" t="s">
        <v>391</v>
      </c>
      <c r="D1653" s="1" t="s">
        <v>139</v>
      </c>
      <c r="E1653">
        <v>3</v>
      </c>
      <c r="F1653" s="4">
        <v>522.49</v>
      </c>
      <c r="G1653" s="3">
        <v>0.2</v>
      </c>
      <c r="H1653" s="4">
        <v>77.099999999999994</v>
      </c>
      <c r="I1653" t="str">
        <f>VLOOKUP(orders__17[[#This Row],[Customer_ID]],customers__2[#All],3,0)</f>
        <v>West</v>
      </c>
      <c r="J1653" t="str">
        <f>VLOOKUP(orders__17[[#This Row],[Customer_ID]],customers__2[#All],4,0)</f>
        <v>Corporate</v>
      </c>
      <c r="K1653" t="str">
        <f>VLOOKUP(orders__17[[#This Row],[Product_ID]],products[#All],3,0)</f>
        <v>Furniture</v>
      </c>
      <c r="L1653" s="1" t="str">
        <f>VLOOKUP(orders__17[[#This Row],[Product_ID]],products[#All],4,0)</f>
        <v>Table</v>
      </c>
      <c r="M1653" s="1" t="str">
        <f>VLOOKUP(orders__17[[#This Row],[Order_ID]],returns[#All],2,0)</f>
        <v>No</v>
      </c>
    </row>
    <row r="1654" spans="1:13" x14ac:dyDescent="0.3">
      <c r="A1654" s="1" t="s">
        <v>1960</v>
      </c>
      <c r="B1654" s="2">
        <v>44751</v>
      </c>
      <c r="C1654" s="1" t="s">
        <v>371</v>
      </c>
      <c r="D1654" s="1" t="s">
        <v>86</v>
      </c>
      <c r="E1654">
        <v>3</v>
      </c>
      <c r="F1654" s="4">
        <v>1086.53</v>
      </c>
      <c r="G1654" s="3">
        <v>0.2</v>
      </c>
      <c r="H1654" s="4">
        <v>211.48</v>
      </c>
      <c r="I1654" t="str">
        <f>VLOOKUP(orders__17[[#This Row],[Customer_ID]],customers__2[#All],3,0)</f>
        <v>East</v>
      </c>
      <c r="J1654" t="str">
        <f>VLOOKUP(orders__17[[#This Row],[Customer_ID]],customers__2[#All],4,0)</f>
        <v>Corporate</v>
      </c>
      <c r="K1654" t="str">
        <f>VLOOKUP(orders__17[[#This Row],[Product_ID]],products[#All],3,0)</f>
        <v>Furniture</v>
      </c>
      <c r="L1654" s="1" t="str">
        <f>VLOOKUP(orders__17[[#This Row],[Product_ID]],products[#All],4,0)</f>
        <v>Table</v>
      </c>
      <c r="M1654" s="1" t="str">
        <f>VLOOKUP(orders__17[[#This Row],[Order_ID]],returns[#All],2,0)</f>
        <v>No</v>
      </c>
    </row>
    <row r="1655" spans="1:13" x14ac:dyDescent="0.3">
      <c r="A1655" s="1" t="s">
        <v>1961</v>
      </c>
      <c r="B1655" s="2">
        <v>45197</v>
      </c>
      <c r="C1655" s="1" t="s">
        <v>475</v>
      </c>
      <c r="D1655" s="1" t="s">
        <v>218</v>
      </c>
      <c r="E1655">
        <v>4</v>
      </c>
      <c r="F1655" s="4">
        <v>1254.73</v>
      </c>
      <c r="G1655" s="3">
        <v>0.1</v>
      </c>
      <c r="H1655" s="4">
        <v>348.61</v>
      </c>
      <c r="I1655" t="str">
        <f>VLOOKUP(orders__17[[#This Row],[Customer_ID]],customers__2[#All],3,0)</f>
        <v>South</v>
      </c>
      <c r="J1655" t="str">
        <f>VLOOKUP(orders__17[[#This Row],[Customer_ID]],customers__2[#All],4,0)</f>
        <v>Corporate</v>
      </c>
      <c r="K1655" t="str">
        <f>VLOOKUP(orders__17[[#This Row],[Product_ID]],products[#All],3,0)</f>
        <v>Office Supplies</v>
      </c>
      <c r="L1655" s="1" t="str">
        <f>VLOOKUP(orders__17[[#This Row],[Product_ID]],products[#All],4,0)</f>
        <v>Storage</v>
      </c>
      <c r="M1655" s="1" t="str">
        <f>VLOOKUP(orders__17[[#This Row],[Order_ID]],returns[#All],2,0)</f>
        <v>No</v>
      </c>
    </row>
    <row r="1656" spans="1:13" x14ac:dyDescent="0.3">
      <c r="A1656" s="1" t="s">
        <v>1962</v>
      </c>
      <c r="B1656" s="2">
        <v>45008</v>
      </c>
      <c r="C1656" s="1" t="s">
        <v>637</v>
      </c>
      <c r="D1656" s="1" t="s">
        <v>757</v>
      </c>
      <c r="E1656">
        <v>4</v>
      </c>
      <c r="F1656" s="4">
        <v>566.16999999999996</v>
      </c>
      <c r="G1656" s="3">
        <v>0.2</v>
      </c>
      <c r="H1656" s="4">
        <v>106.74</v>
      </c>
      <c r="I1656" t="str">
        <f>VLOOKUP(orders__17[[#This Row],[Customer_ID]],customers__2[#All],3,0)</f>
        <v>North</v>
      </c>
      <c r="J1656" t="str">
        <f>VLOOKUP(orders__17[[#This Row],[Customer_ID]],customers__2[#All],4,0)</f>
        <v>Corporate</v>
      </c>
      <c r="K1656" t="str">
        <f>VLOOKUP(orders__17[[#This Row],[Product_ID]],products[#All],3,0)</f>
        <v>Office Supplies</v>
      </c>
      <c r="L1656" s="1" t="str">
        <f>VLOOKUP(orders__17[[#This Row],[Product_ID]],products[#All],4,0)</f>
        <v>Pen</v>
      </c>
      <c r="M1656" s="1" t="str">
        <f>VLOOKUP(orders__17[[#This Row],[Order_ID]],returns[#All],2,0)</f>
        <v>No</v>
      </c>
    </row>
    <row r="1657" spans="1:13" x14ac:dyDescent="0.3">
      <c r="A1657" s="1" t="s">
        <v>1963</v>
      </c>
      <c r="B1657" s="2">
        <v>45373</v>
      </c>
      <c r="C1657" s="1" t="s">
        <v>396</v>
      </c>
      <c r="D1657" s="1" t="s">
        <v>188</v>
      </c>
      <c r="E1657">
        <v>2</v>
      </c>
      <c r="F1657" s="4">
        <v>209.69</v>
      </c>
      <c r="G1657" s="3">
        <v>0</v>
      </c>
      <c r="H1657" s="4">
        <v>19.63</v>
      </c>
      <c r="I1657" t="str">
        <f>VLOOKUP(orders__17[[#This Row],[Customer_ID]],customers__2[#All],3,0)</f>
        <v>West</v>
      </c>
      <c r="J1657" t="str">
        <f>VLOOKUP(orders__17[[#This Row],[Customer_ID]],customers__2[#All],4,0)</f>
        <v>Home Office</v>
      </c>
      <c r="K1657" t="str">
        <f>VLOOKUP(orders__17[[#This Row],[Product_ID]],products[#All],3,0)</f>
        <v>Technology</v>
      </c>
      <c r="L1657" s="1" t="str">
        <f>VLOOKUP(orders__17[[#This Row],[Product_ID]],products[#All],4,0)</f>
        <v>Laptop</v>
      </c>
      <c r="M1657" s="1" t="str">
        <f>VLOOKUP(orders__17[[#This Row],[Order_ID]],returns[#All],2,0)</f>
        <v>No</v>
      </c>
    </row>
    <row r="1658" spans="1:13" x14ac:dyDescent="0.3">
      <c r="A1658" s="1" t="s">
        <v>1964</v>
      </c>
      <c r="B1658" s="2">
        <v>44586</v>
      </c>
      <c r="C1658" s="1" t="s">
        <v>18</v>
      </c>
      <c r="D1658" s="1" t="s">
        <v>296</v>
      </c>
      <c r="E1658">
        <v>2</v>
      </c>
      <c r="F1658" s="4">
        <v>842.96</v>
      </c>
      <c r="G1658" s="3">
        <v>0.2</v>
      </c>
      <c r="H1658" s="4">
        <v>121.96</v>
      </c>
      <c r="I1658" t="str">
        <f>VLOOKUP(orders__17[[#This Row],[Customer_ID]],customers__2[#All],3,0)</f>
        <v>North</v>
      </c>
      <c r="J1658" t="str">
        <f>VLOOKUP(orders__17[[#This Row],[Customer_ID]],customers__2[#All],4,0)</f>
        <v>Home Office</v>
      </c>
      <c r="K1658" t="str">
        <f>VLOOKUP(orders__17[[#This Row],[Product_ID]],products[#All],3,0)</f>
        <v>Technology</v>
      </c>
      <c r="L1658" s="1" t="str">
        <f>VLOOKUP(orders__17[[#This Row],[Product_ID]],products[#All],4,0)</f>
        <v>Accessories</v>
      </c>
      <c r="M1658" s="1" t="str">
        <f>VLOOKUP(orders__17[[#This Row],[Order_ID]],returns[#All],2,0)</f>
        <v>Yes</v>
      </c>
    </row>
    <row r="1659" spans="1:13" x14ac:dyDescent="0.3">
      <c r="A1659" s="1" t="s">
        <v>1965</v>
      </c>
      <c r="B1659" s="2">
        <v>44662</v>
      </c>
      <c r="C1659" s="1" t="s">
        <v>287</v>
      </c>
      <c r="D1659" s="1" t="s">
        <v>669</v>
      </c>
      <c r="E1659">
        <v>3</v>
      </c>
      <c r="F1659" s="4">
        <v>544.99</v>
      </c>
      <c r="G1659" s="3">
        <v>0</v>
      </c>
      <c r="H1659" s="4">
        <v>142.13</v>
      </c>
      <c r="I1659" t="str">
        <f>VLOOKUP(orders__17[[#This Row],[Customer_ID]],customers__2[#All],3,0)</f>
        <v>South</v>
      </c>
      <c r="J1659" t="str">
        <f>VLOOKUP(orders__17[[#This Row],[Customer_ID]],customers__2[#All],4,0)</f>
        <v>Consumer</v>
      </c>
      <c r="K1659" t="str">
        <f>VLOOKUP(orders__17[[#This Row],[Product_ID]],products[#All],3,0)</f>
        <v>Office Supplies</v>
      </c>
      <c r="L1659" s="1" t="str">
        <f>VLOOKUP(orders__17[[#This Row],[Product_ID]],products[#All],4,0)</f>
        <v>Pen</v>
      </c>
      <c r="M1659" s="1" t="str">
        <f>VLOOKUP(orders__17[[#This Row],[Order_ID]],returns[#All],2,0)</f>
        <v>No</v>
      </c>
    </row>
    <row r="1660" spans="1:13" x14ac:dyDescent="0.3">
      <c r="A1660" s="1" t="s">
        <v>1966</v>
      </c>
      <c r="B1660" s="2">
        <v>44885</v>
      </c>
      <c r="C1660" s="1" t="s">
        <v>685</v>
      </c>
      <c r="D1660" s="1" t="s">
        <v>397</v>
      </c>
      <c r="E1660">
        <v>1</v>
      </c>
      <c r="F1660" s="4">
        <v>517.15</v>
      </c>
      <c r="G1660" s="3">
        <v>0.1</v>
      </c>
      <c r="H1660" s="4">
        <v>109.15</v>
      </c>
      <c r="I1660" t="str">
        <f>VLOOKUP(orders__17[[#This Row],[Customer_ID]],customers__2[#All],3,0)</f>
        <v>East</v>
      </c>
      <c r="J1660" t="str">
        <f>VLOOKUP(orders__17[[#This Row],[Customer_ID]],customers__2[#All],4,0)</f>
        <v>Home Office</v>
      </c>
      <c r="K1660" t="str">
        <f>VLOOKUP(orders__17[[#This Row],[Product_ID]],products[#All],3,0)</f>
        <v>Office Supplies</v>
      </c>
      <c r="L1660" s="1" t="str">
        <f>VLOOKUP(orders__17[[#This Row],[Product_ID]],products[#All],4,0)</f>
        <v>Pen</v>
      </c>
      <c r="M1660" s="1" t="str">
        <f>VLOOKUP(orders__17[[#This Row],[Order_ID]],returns[#All],2,0)</f>
        <v>No</v>
      </c>
    </row>
    <row r="1661" spans="1:13" x14ac:dyDescent="0.3">
      <c r="A1661" s="1" t="s">
        <v>1967</v>
      </c>
      <c r="B1661" s="2">
        <v>45242</v>
      </c>
      <c r="C1661" s="1" t="s">
        <v>347</v>
      </c>
      <c r="D1661" s="1" t="s">
        <v>283</v>
      </c>
      <c r="E1661">
        <v>4</v>
      </c>
      <c r="F1661" s="4">
        <v>1923.74</v>
      </c>
      <c r="G1661" s="3">
        <v>0.1</v>
      </c>
      <c r="H1661" s="4">
        <v>409.14</v>
      </c>
      <c r="I1661" t="str">
        <f>VLOOKUP(orders__17[[#This Row],[Customer_ID]],customers__2[#All],3,0)</f>
        <v>South</v>
      </c>
      <c r="J1661" t="str">
        <f>VLOOKUP(orders__17[[#This Row],[Customer_ID]],customers__2[#All],4,0)</f>
        <v>Home Office</v>
      </c>
      <c r="K1661" t="str">
        <f>VLOOKUP(orders__17[[#This Row],[Product_ID]],products[#All],3,0)</f>
        <v>Furniture</v>
      </c>
      <c r="L1661" s="1" t="str">
        <f>VLOOKUP(orders__17[[#This Row],[Product_ID]],products[#All],4,0)</f>
        <v>Chair</v>
      </c>
      <c r="M1661" s="1" t="str">
        <f>VLOOKUP(orders__17[[#This Row],[Order_ID]],returns[#All],2,0)</f>
        <v>No</v>
      </c>
    </row>
    <row r="1662" spans="1:13" x14ac:dyDescent="0.3">
      <c r="A1662" s="1" t="s">
        <v>1968</v>
      </c>
      <c r="B1662" s="2">
        <v>44963</v>
      </c>
      <c r="C1662" s="1" t="s">
        <v>505</v>
      </c>
      <c r="D1662" s="1" t="s">
        <v>188</v>
      </c>
      <c r="E1662">
        <v>2</v>
      </c>
      <c r="F1662" s="4">
        <v>1270.97</v>
      </c>
      <c r="G1662" s="3">
        <v>0</v>
      </c>
      <c r="H1662" s="4">
        <v>338.97</v>
      </c>
      <c r="I1662" t="str">
        <f>VLOOKUP(orders__17[[#This Row],[Customer_ID]],customers__2[#All],3,0)</f>
        <v>North</v>
      </c>
      <c r="J1662" t="str">
        <f>VLOOKUP(orders__17[[#This Row],[Customer_ID]],customers__2[#All],4,0)</f>
        <v>Consumer</v>
      </c>
      <c r="K1662" t="str">
        <f>VLOOKUP(orders__17[[#This Row],[Product_ID]],products[#All],3,0)</f>
        <v>Technology</v>
      </c>
      <c r="L1662" s="1" t="str">
        <f>VLOOKUP(orders__17[[#This Row],[Product_ID]],products[#All],4,0)</f>
        <v>Laptop</v>
      </c>
      <c r="M1662" s="1" t="str">
        <f>VLOOKUP(orders__17[[#This Row],[Order_ID]],returns[#All],2,0)</f>
        <v>No</v>
      </c>
    </row>
    <row r="1663" spans="1:13" x14ac:dyDescent="0.3">
      <c r="A1663" s="1" t="s">
        <v>1969</v>
      </c>
      <c r="B1663" s="2">
        <v>44780</v>
      </c>
      <c r="C1663" s="1" t="s">
        <v>300</v>
      </c>
      <c r="D1663" s="1" t="s">
        <v>727</v>
      </c>
      <c r="E1663">
        <v>3</v>
      </c>
      <c r="F1663" s="4">
        <v>1158.07</v>
      </c>
      <c r="G1663" s="3">
        <v>0.2</v>
      </c>
      <c r="H1663" s="4">
        <v>316.72000000000003</v>
      </c>
      <c r="I1663" t="str">
        <f>VLOOKUP(orders__17[[#This Row],[Customer_ID]],customers__2[#All],3,0)</f>
        <v>East</v>
      </c>
      <c r="J1663" t="str">
        <f>VLOOKUP(orders__17[[#This Row],[Customer_ID]],customers__2[#All],4,0)</f>
        <v>Home Office</v>
      </c>
      <c r="K1663" t="str">
        <f>VLOOKUP(orders__17[[#This Row],[Product_ID]],products[#All],3,0)</f>
        <v>Furniture</v>
      </c>
      <c r="L1663" s="1" t="str">
        <f>VLOOKUP(orders__17[[#This Row],[Product_ID]],products[#All],4,0)</f>
        <v>Chair</v>
      </c>
      <c r="M1663" s="1" t="str">
        <f>VLOOKUP(orders__17[[#This Row],[Order_ID]],returns[#All],2,0)</f>
        <v>Yes</v>
      </c>
    </row>
    <row r="1664" spans="1:13" x14ac:dyDescent="0.3">
      <c r="A1664" s="1" t="s">
        <v>1970</v>
      </c>
      <c r="B1664" s="2">
        <v>45407</v>
      </c>
      <c r="C1664" s="1" t="s">
        <v>30</v>
      </c>
      <c r="D1664" s="1" t="s">
        <v>89</v>
      </c>
      <c r="E1664">
        <v>2</v>
      </c>
      <c r="F1664" s="4">
        <v>889.97</v>
      </c>
      <c r="G1664" s="3">
        <v>0.1</v>
      </c>
      <c r="H1664" s="4">
        <v>249.15</v>
      </c>
      <c r="I1664" t="str">
        <f>VLOOKUP(orders__17[[#This Row],[Customer_ID]],customers__2[#All],3,0)</f>
        <v>South</v>
      </c>
      <c r="J1664" t="str">
        <f>VLOOKUP(orders__17[[#This Row],[Customer_ID]],customers__2[#All],4,0)</f>
        <v>Home Office</v>
      </c>
      <c r="K1664" t="str">
        <f>VLOOKUP(orders__17[[#This Row],[Product_ID]],products[#All],3,0)</f>
        <v>Technology</v>
      </c>
      <c r="L1664" s="1" t="str">
        <f>VLOOKUP(orders__17[[#This Row],[Product_ID]],products[#All],4,0)</f>
        <v>Phone</v>
      </c>
      <c r="M1664" s="1" t="str">
        <f>VLOOKUP(orders__17[[#This Row],[Order_ID]],returns[#All],2,0)</f>
        <v>No</v>
      </c>
    </row>
    <row r="1665" spans="1:13" x14ac:dyDescent="0.3">
      <c r="A1665" s="1" t="s">
        <v>1971</v>
      </c>
      <c r="B1665" s="2">
        <v>45302</v>
      </c>
      <c r="C1665" s="1" t="s">
        <v>82</v>
      </c>
      <c r="D1665" s="1" t="s">
        <v>64</v>
      </c>
      <c r="E1665">
        <v>4</v>
      </c>
      <c r="F1665" s="4">
        <v>914.99</v>
      </c>
      <c r="G1665" s="3">
        <v>0.3</v>
      </c>
      <c r="H1665" s="4">
        <v>67.45</v>
      </c>
      <c r="I1665" t="str">
        <f>VLOOKUP(orders__17[[#This Row],[Customer_ID]],customers__2[#All],3,0)</f>
        <v>East</v>
      </c>
      <c r="J1665" t="str">
        <f>VLOOKUP(orders__17[[#This Row],[Customer_ID]],customers__2[#All],4,0)</f>
        <v>Corporate</v>
      </c>
      <c r="K1665" t="str">
        <f>VLOOKUP(orders__17[[#This Row],[Product_ID]],products[#All],3,0)</f>
        <v>Office Supplies</v>
      </c>
      <c r="L1665" s="1" t="str">
        <f>VLOOKUP(orders__17[[#This Row],[Product_ID]],products[#All],4,0)</f>
        <v>Storage</v>
      </c>
      <c r="M1665" s="1" t="str">
        <f>VLOOKUP(orders__17[[#This Row],[Order_ID]],returns[#All],2,0)</f>
        <v>No</v>
      </c>
    </row>
    <row r="1666" spans="1:13" x14ac:dyDescent="0.3">
      <c r="A1666" s="1" t="s">
        <v>1972</v>
      </c>
      <c r="B1666" s="2">
        <v>45239</v>
      </c>
      <c r="C1666" s="1" t="s">
        <v>980</v>
      </c>
      <c r="D1666" s="1" t="s">
        <v>54</v>
      </c>
      <c r="E1666">
        <v>4</v>
      </c>
      <c r="F1666" s="4">
        <v>1127.72</v>
      </c>
      <c r="G1666" s="3">
        <v>0.1</v>
      </c>
      <c r="H1666" s="4">
        <v>209.79</v>
      </c>
      <c r="I1666" t="str">
        <f>VLOOKUP(orders__17[[#This Row],[Customer_ID]],customers__2[#All],3,0)</f>
        <v>South</v>
      </c>
      <c r="J1666" t="str">
        <f>VLOOKUP(orders__17[[#This Row],[Customer_ID]],customers__2[#All],4,0)</f>
        <v>Home Office</v>
      </c>
      <c r="K1666" t="str">
        <f>VLOOKUP(orders__17[[#This Row],[Product_ID]],products[#All],3,0)</f>
        <v>Office Supplies</v>
      </c>
      <c r="L1666" s="1" t="str">
        <f>VLOOKUP(orders__17[[#This Row],[Product_ID]],products[#All],4,0)</f>
        <v>Binder</v>
      </c>
      <c r="M1666" s="1" t="str">
        <f>VLOOKUP(orders__17[[#This Row],[Order_ID]],returns[#All],2,0)</f>
        <v>Yes</v>
      </c>
    </row>
    <row r="1667" spans="1:13" x14ac:dyDescent="0.3">
      <c r="A1667" s="1" t="s">
        <v>1973</v>
      </c>
      <c r="B1667" s="2">
        <v>45346</v>
      </c>
      <c r="C1667" s="1" t="s">
        <v>50</v>
      </c>
      <c r="D1667" s="1" t="s">
        <v>28</v>
      </c>
      <c r="E1667">
        <v>5</v>
      </c>
      <c r="F1667" s="4">
        <v>1423.22</v>
      </c>
      <c r="G1667" s="3">
        <v>0.2</v>
      </c>
      <c r="H1667" s="4">
        <v>334.64</v>
      </c>
      <c r="I1667" t="str">
        <f>VLOOKUP(orders__17[[#This Row],[Customer_ID]],customers__2[#All],3,0)</f>
        <v>East</v>
      </c>
      <c r="J1667" t="str">
        <f>VLOOKUP(orders__17[[#This Row],[Customer_ID]],customers__2[#All],4,0)</f>
        <v>Corporate</v>
      </c>
      <c r="K1667" t="str">
        <f>VLOOKUP(orders__17[[#This Row],[Product_ID]],products[#All],3,0)</f>
        <v>Office Supplies</v>
      </c>
      <c r="L1667" s="1" t="str">
        <f>VLOOKUP(orders__17[[#This Row],[Product_ID]],products[#All],4,0)</f>
        <v>Storage</v>
      </c>
      <c r="M1667" s="1" t="str">
        <f>VLOOKUP(orders__17[[#This Row],[Order_ID]],returns[#All],2,0)</f>
        <v>No</v>
      </c>
    </row>
    <row r="1668" spans="1:13" x14ac:dyDescent="0.3">
      <c r="A1668" s="1" t="s">
        <v>1974</v>
      </c>
      <c r="B1668" s="2">
        <v>45089</v>
      </c>
      <c r="C1668" s="1" t="s">
        <v>167</v>
      </c>
      <c r="D1668" s="1" t="s">
        <v>400</v>
      </c>
      <c r="E1668">
        <v>1</v>
      </c>
      <c r="F1668" s="4">
        <v>1434.08</v>
      </c>
      <c r="G1668" s="3">
        <v>0.3</v>
      </c>
      <c r="H1668" s="4">
        <v>343.08</v>
      </c>
      <c r="I1668" t="str">
        <f>VLOOKUP(orders__17[[#This Row],[Customer_ID]],customers__2[#All],3,0)</f>
        <v>East</v>
      </c>
      <c r="J1668" t="str">
        <f>VLOOKUP(orders__17[[#This Row],[Customer_ID]],customers__2[#All],4,0)</f>
        <v>Corporate</v>
      </c>
      <c r="K1668" t="str">
        <f>VLOOKUP(orders__17[[#This Row],[Product_ID]],products[#All],3,0)</f>
        <v>Office Supplies</v>
      </c>
      <c r="L1668" s="1" t="str">
        <f>VLOOKUP(orders__17[[#This Row],[Product_ID]],products[#All],4,0)</f>
        <v>Paper</v>
      </c>
      <c r="M1668" s="1" t="str">
        <f>VLOOKUP(orders__17[[#This Row],[Order_ID]],returns[#All],2,0)</f>
        <v>No</v>
      </c>
    </row>
    <row r="1669" spans="1:13" x14ac:dyDescent="0.3">
      <c r="A1669" s="1" t="s">
        <v>1975</v>
      </c>
      <c r="B1669" s="2">
        <v>44938</v>
      </c>
      <c r="C1669" s="1" t="s">
        <v>927</v>
      </c>
      <c r="D1669" s="1" t="s">
        <v>70</v>
      </c>
      <c r="E1669">
        <v>5</v>
      </c>
      <c r="F1669" s="4">
        <v>426.22</v>
      </c>
      <c r="G1669" s="3">
        <v>0.2</v>
      </c>
      <c r="H1669" s="4">
        <v>85.96</v>
      </c>
      <c r="I1669" t="str">
        <f>VLOOKUP(orders__17[[#This Row],[Customer_ID]],customers__2[#All],3,0)</f>
        <v>South</v>
      </c>
      <c r="J1669" t="str">
        <f>VLOOKUP(orders__17[[#This Row],[Customer_ID]],customers__2[#All],4,0)</f>
        <v>Corporate</v>
      </c>
      <c r="K1669" t="str">
        <f>VLOOKUP(orders__17[[#This Row],[Product_ID]],products[#All],3,0)</f>
        <v>Office Supplies</v>
      </c>
      <c r="L1669" s="1" t="str">
        <f>VLOOKUP(orders__17[[#This Row],[Product_ID]],products[#All],4,0)</f>
        <v>Paper</v>
      </c>
      <c r="M1669" s="1" t="str">
        <f>VLOOKUP(orders__17[[#This Row],[Order_ID]],returns[#All],2,0)</f>
        <v>No</v>
      </c>
    </row>
    <row r="1670" spans="1:13" x14ac:dyDescent="0.3">
      <c r="A1670" s="1" t="s">
        <v>1976</v>
      </c>
      <c r="B1670" s="2">
        <v>45226</v>
      </c>
      <c r="C1670" s="1" t="s">
        <v>524</v>
      </c>
      <c r="D1670" s="1" t="s">
        <v>34</v>
      </c>
      <c r="E1670">
        <v>3</v>
      </c>
      <c r="F1670" s="4">
        <v>1050.21</v>
      </c>
      <c r="G1670" s="3">
        <v>0</v>
      </c>
      <c r="H1670" s="4">
        <v>96.3</v>
      </c>
      <c r="I1670" t="str">
        <f>VLOOKUP(orders__17[[#This Row],[Customer_ID]],customers__2[#All],3,0)</f>
        <v>East</v>
      </c>
      <c r="J1670" t="str">
        <f>VLOOKUP(orders__17[[#This Row],[Customer_ID]],customers__2[#All],4,0)</f>
        <v>Corporate</v>
      </c>
      <c r="K1670" t="str">
        <f>VLOOKUP(orders__17[[#This Row],[Product_ID]],products[#All],3,0)</f>
        <v>Furniture</v>
      </c>
      <c r="L1670" s="1" t="str">
        <f>VLOOKUP(orders__17[[#This Row],[Product_ID]],products[#All],4,0)</f>
        <v>Table</v>
      </c>
      <c r="M1670" s="1" t="str">
        <f>VLOOKUP(orders__17[[#This Row],[Order_ID]],returns[#All],2,0)</f>
        <v>No</v>
      </c>
    </row>
    <row r="1671" spans="1:13" x14ac:dyDescent="0.3">
      <c r="A1671" s="1" t="s">
        <v>1977</v>
      </c>
      <c r="B1671" s="2">
        <v>44729</v>
      </c>
      <c r="C1671" s="1" t="s">
        <v>282</v>
      </c>
      <c r="D1671" s="1" t="s">
        <v>211</v>
      </c>
      <c r="E1671">
        <v>2</v>
      </c>
      <c r="F1671" s="4">
        <v>882.72</v>
      </c>
      <c r="G1671" s="3">
        <v>0.3</v>
      </c>
      <c r="H1671" s="4">
        <v>220.11</v>
      </c>
      <c r="I1671" t="str">
        <f>VLOOKUP(orders__17[[#This Row],[Customer_ID]],customers__2[#All],3,0)</f>
        <v>South</v>
      </c>
      <c r="J1671" t="str">
        <f>VLOOKUP(orders__17[[#This Row],[Customer_ID]],customers__2[#All],4,0)</f>
        <v>Home Office</v>
      </c>
      <c r="K1671" t="str">
        <f>VLOOKUP(orders__17[[#This Row],[Product_ID]],products[#All],3,0)</f>
        <v>Office Supplies</v>
      </c>
      <c r="L1671" s="1" t="str">
        <f>VLOOKUP(orders__17[[#This Row],[Product_ID]],products[#All],4,0)</f>
        <v>Binder</v>
      </c>
      <c r="M1671" s="1" t="str">
        <f>VLOOKUP(orders__17[[#This Row],[Order_ID]],returns[#All],2,0)</f>
        <v>No</v>
      </c>
    </row>
    <row r="1672" spans="1:13" x14ac:dyDescent="0.3">
      <c r="A1672" s="1" t="s">
        <v>1978</v>
      </c>
      <c r="B1672" s="2">
        <v>45325</v>
      </c>
      <c r="C1672" s="1" t="s">
        <v>82</v>
      </c>
      <c r="D1672" s="1" t="s">
        <v>253</v>
      </c>
      <c r="E1672">
        <v>3</v>
      </c>
      <c r="F1672" s="4">
        <v>1754</v>
      </c>
      <c r="G1672" s="3">
        <v>0.2</v>
      </c>
      <c r="H1672" s="4">
        <v>403.47</v>
      </c>
      <c r="I1672" t="str">
        <f>VLOOKUP(orders__17[[#This Row],[Customer_ID]],customers__2[#All],3,0)</f>
        <v>East</v>
      </c>
      <c r="J1672" t="str">
        <f>VLOOKUP(orders__17[[#This Row],[Customer_ID]],customers__2[#All],4,0)</f>
        <v>Corporate</v>
      </c>
      <c r="K1672" t="str">
        <f>VLOOKUP(orders__17[[#This Row],[Product_ID]],products[#All],3,0)</f>
        <v>Technology</v>
      </c>
      <c r="L1672" s="1" t="str">
        <f>VLOOKUP(orders__17[[#This Row],[Product_ID]],products[#All],4,0)</f>
        <v>Accessories</v>
      </c>
      <c r="M1672" s="1" t="str">
        <f>VLOOKUP(orders__17[[#This Row],[Order_ID]],returns[#All],2,0)</f>
        <v>No</v>
      </c>
    </row>
    <row r="1673" spans="1:13" x14ac:dyDescent="0.3">
      <c r="A1673" s="1" t="s">
        <v>1979</v>
      </c>
      <c r="B1673" s="2">
        <v>45415</v>
      </c>
      <c r="C1673" s="1" t="s">
        <v>422</v>
      </c>
      <c r="D1673" s="1" t="s">
        <v>392</v>
      </c>
      <c r="E1673">
        <v>4</v>
      </c>
      <c r="F1673" s="4">
        <v>1299.7</v>
      </c>
      <c r="G1673" s="3">
        <v>0.3</v>
      </c>
      <c r="H1673" s="4">
        <v>92.97</v>
      </c>
      <c r="I1673" t="str">
        <f>VLOOKUP(orders__17[[#This Row],[Customer_ID]],customers__2[#All],3,0)</f>
        <v>East</v>
      </c>
      <c r="J1673" t="str">
        <f>VLOOKUP(orders__17[[#This Row],[Customer_ID]],customers__2[#All],4,0)</f>
        <v>Home Office</v>
      </c>
      <c r="K1673" t="str">
        <f>VLOOKUP(orders__17[[#This Row],[Product_ID]],products[#All],3,0)</f>
        <v>Furniture</v>
      </c>
      <c r="L1673" s="1" t="str">
        <f>VLOOKUP(orders__17[[#This Row],[Product_ID]],products[#All],4,0)</f>
        <v>Desk</v>
      </c>
      <c r="M1673" s="1" t="str">
        <f>VLOOKUP(orders__17[[#This Row],[Order_ID]],returns[#All],2,0)</f>
        <v>No</v>
      </c>
    </row>
    <row r="1674" spans="1:13" x14ac:dyDescent="0.3">
      <c r="A1674" s="1" t="s">
        <v>1980</v>
      </c>
      <c r="B1674" s="2">
        <v>45165</v>
      </c>
      <c r="C1674" s="1" t="s">
        <v>321</v>
      </c>
      <c r="D1674" s="1" t="s">
        <v>188</v>
      </c>
      <c r="E1674">
        <v>5</v>
      </c>
      <c r="F1674" s="4">
        <v>1111.76</v>
      </c>
      <c r="G1674" s="3">
        <v>0.2</v>
      </c>
      <c r="H1674" s="4">
        <v>184.5</v>
      </c>
      <c r="I1674" t="str">
        <f>VLOOKUP(orders__17[[#This Row],[Customer_ID]],customers__2[#All],3,0)</f>
        <v>South</v>
      </c>
      <c r="J1674" t="str">
        <f>VLOOKUP(orders__17[[#This Row],[Customer_ID]],customers__2[#All],4,0)</f>
        <v>Corporate</v>
      </c>
      <c r="K1674" t="str">
        <f>VLOOKUP(orders__17[[#This Row],[Product_ID]],products[#All],3,0)</f>
        <v>Technology</v>
      </c>
      <c r="L1674" s="1" t="str">
        <f>VLOOKUP(orders__17[[#This Row],[Product_ID]],products[#All],4,0)</f>
        <v>Laptop</v>
      </c>
      <c r="M1674" s="1" t="str">
        <f>VLOOKUP(orders__17[[#This Row],[Order_ID]],returns[#All],2,0)</f>
        <v>No</v>
      </c>
    </row>
    <row r="1675" spans="1:13" x14ac:dyDescent="0.3">
      <c r="A1675" s="1" t="s">
        <v>1981</v>
      </c>
      <c r="B1675" s="2">
        <v>44586</v>
      </c>
      <c r="C1675" s="1" t="s">
        <v>292</v>
      </c>
      <c r="D1675" s="1" t="s">
        <v>25</v>
      </c>
      <c r="E1675">
        <v>5</v>
      </c>
      <c r="F1675" s="4">
        <v>319.25</v>
      </c>
      <c r="G1675" s="3">
        <v>0.3</v>
      </c>
      <c r="H1675" s="4">
        <v>29.85</v>
      </c>
      <c r="I1675" t="str">
        <f>VLOOKUP(orders__17[[#This Row],[Customer_ID]],customers__2[#All],3,0)</f>
        <v>North</v>
      </c>
      <c r="J1675" t="str">
        <f>VLOOKUP(orders__17[[#This Row],[Customer_ID]],customers__2[#All],4,0)</f>
        <v>Consumer</v>
      </c>
      <c r="K1675" t="str">
        <f>VLOOKUP(orders__17[[#This Row],[Product_ID]],products[#All],3,0)</f>
        <v>Office Supplies</v>
      </c>
      <c r="L1675" s="1" t="str">
        <f>VLOOKUP(orders__17[[#This Row],[Product_ID]],products[#All],4,0)</f>
        <v>Paper</v>
      </c>
      <c r="M1675" s="1" t="str">
        <f>VLOOKUP(orders__17[[#This Row],[Order_ID]],returns[#All],2,0)</f>
        <v>No</v>
      </c>
    </row>
    <row r="1676" spans="1:13" x14ac:dyDescent="0.3">
      <c r="A1676" s="1" t="s">
        <v>1982</v>
      </c>
      <c r="B1676" s="2">
        <v>45052</v>
      </c>
      <c r="C1676" s="1" t="s">
        <v>697</v>
      </c>
      <c r="D1676" s="1" t="s">
        <v>226</v>
      </c>
      <c r="E1676">
        <v>5</v>
      </c>
      <c r="F1676" s="4">
        <v>1250.71</v>
      </c>
      <c r="G1676" s="3">
        <v>0.2</v>
      </c>
      <c r="H1676" s="4">
        <v>168.06</v>
      </c>
      <c r="I1676" t="str">
        <f>VLOOKUP(orders__17[[#This Row],[Customer_ID]],customers__2[#All],3,0)</f>
        <v>South</v>
      </c>
      <c r="J1676" t="str">
        <f>VLOOKUP(orders__17[[#This Row],[Customer_ID]],customers__2[#All],4,0)</f>
        <v>Corporate</v>
      </c>
      <c r="K1676" t="str">
        <f>VLOOKUP(orders__17[[#This Row],[Product_ID]],products[#All],3,0)</f>
        <v>Technology</v>
      </c>
      <c r="L1676" s="1" t="str">
        <f>VLOOKUP(orders__17[[#This Row],[Product_ID]],products[#All],4,0)</f>
        <v>Laptop</v>
      </c>
      <c r="M1676" s="1" t="str">
        <f>VLOOKUP(orders__17[[#This Row],[Order_ID]],returns[#All],2,0)</f>
        <v>Yes</v>
      </c>
    </row>
    <row r="1677" spans="1:13" x14ac:dyDescent="0.3">
      <c r="A1677" s="1" t="s">
        <v>1983</v>
      </c>
      <c r="B1677" s="2">
        <v>45100</v>
      </c>
      <c r="C1677" s="1" t="s">
        <v>94</v>
      </c>
      <c r="D1677" s="1" t="s">
        <v>13</v>
      </c>
      <c r="E1677">
        <v>3</v>
      </c>
      <c r="F1677" s="4">
        <v>322.69</v>
      </c>
      <c r="G1677" s="3">
        <v>0</v>
      </c>
      <c r="H1677" s="4">
        <v>17.59</v>
      </c>
      <c r="I1677" t="str">
        <f>VLOOKUP(orders__17[[#This Row],[Customer_ID]],customers__2[#All],3,0)</f>
        <v>North</v>
      </c>
      <c r="J1677" t="str">
        <f>VLOOKUP(orders__17[[#This Row],[Customer_ID]],customers__2[#All],4,0)</f>
        <v>Home Office</v>
      </c>
      <c r="K1677" t="str">
        <f>VLOOKUP(orders__17[[#This Row],[Product_ID]],products[#All],3,0)</f>
        <v>Furniture</v>
      </c>
      <c r="L1677" s="1" t="str">
        <f>VLOOKUP(orders__17[[#This Row],[Product_ID]],products[#All],4,0)</f>
        <v>Desk</v>
      </c>
      <c r="M1677" s="1" t="str">
        <f>VLOOKUP(orders__17[[#This Row],[Order_ID]],returns[#All],2,0)</f>
        <v>No</v>
      </c>
    </row>
    <row r="1678" spans="1:13" x14ac:dyDescent="0.3">
      <c r="A1678" s="1" t="s">
        <v>1984</v>
      </c>
      <c r="B1678" s="2">
        <v>45455</v>
      </c>
      <c r="C1678" s="1" t="s">
        <v>316</v>
      </c>
      <c r="D1678" s="1" t="s">
        <v>67</v>
      </c>
      <c r="E1678">
        <v>4</v>
      </c>
      <c r="F1678" s="4">
        <v>740.69</v>
      </c>
      <c r="G1678" s="3">
        <v>0.3</v>
      </c>
      <c r="H1678" s="4">
        <v>111.16</v>
      </c>
      <c r="I1678" t="str">
        <f>VLOOKUP(orders__17[[#This Row],[Customer_ID]],customers__2[#All],3,0)</f>
        <v>South</v>
      </c>
      <c r="J1678" t="str">
        <f>VLOOKUP(orders__17[[#This Row],[Customer_ID]],customers__2[#All],4,0)</f>
        <v>Home Office</v>
      </c>
      <c r="K1678" t="str">
        <f>VLOOKUP(orders__17[[#This Row],[Product_ID]],products[#All],3,0)</f>
        <v>Furniture</v>
      </c>
      <c r="L1678" s="1" t="str">
        <f>VLOOKUP(orders__17[[#This Row],[Product_ID]],products[#All],4,0)</f>
        <v>Chair</v>
      </c>
      <c r="M1678" s="1" t="str">
        <f>VLOOKUP(orders__17[[#This Row],[Order_ID]],returns[#All],2,0)</f>
        <v>No</v>
      </c>
    </row>
    <row r="1679" spans="1:13" x14ac:dyDescent="0.3">
      <c r="A1679" s="1" t="s">
        <v>1985</v>
      </c>
      <c r="B1679" s="2">
        <v>45128</v>
      </c>
      <c r="C1679" s="1" t="s">
        <v>213</v>
      </c>
      <c r="D1679" s="1" t="s">
        <v>48</v>
      </c>
      <c r="E1679">
        <v>2</v>
      </c>
      <c r="F1679" s="4">
        <v>371.4</v>
      </c>
      <c r="G1679" s="3">
        <v>0.3</v>
      </c>
      <c r="H1679" s="4">
        <v>69.63</v>
      </c>
      <c r="I1679" t="str">
        <f>VLOOKUP(orders__17[[#This Row],[Customer_ID]],customers__2[#All],3,0)</f>
        <v>East</v>
      </c>
      <c r="J1679" t="str">
        <f>VLOOKUP(orders__17[[#This Row],[Customer_ID]],customers__2[#All],4,0)</f>
        <v>Corporate</v>
      </c>
      <c r="K1679" t="str">
        <f>VLOOKUP(orders__17[[#This Row],[Product_ID]],products[#All],3,0)</f>
        <v>Office Supplies</v>
      </c>
      <c r="L1679" s="1" t="str">
        <f>VLOOKUP(orders__17[[#This Row],[Product_ID]],products[#All],4,0)</f>
        <v>Pen</v>
      </c>
      <c r="M1679" s="1" t="str">
        <f>VLOOKUP(orders__17[[#This Row],[Order_ID]],returns[#All],2,0)</f>
        <v>No</v>
      </c>
    </row>
    <row r="1680" spans="1:13" x14ac:dyDescent="0.3">
      <c r="A1680" s="1" t="s">
        <v>1986</v>
      </c>
      <c r="B1680" s="2">
        <v>45203</v>
      </c>
      <c r="C1680" s="1" t="s">
        <v>179</v>
      </c>
      <c r="D1680" s="1" t="s">
        <v>177</v>
      </c>
      <c r="E1680">
        <v>2</v>
      </c>
      <c r="F1680" s="4">
        <v>1414.94</v>
      </c>
      <c r="G1680" s="3">
        <v>0.3</v>
      </c>
      <c r="H1680" s="4">
        <v>289.92</v>
      </c>
      <c r="I1680" t="str">
        <f>VLOOKUP(orders__17[[#This Row],[Customer_ID]],customers__2[#All],3,0)</f>
        <v>North</v>
      </c>
      <c r="J1680" t="str">
        <f>VLOOKUP(orders__17[[#This Row],[Customer_ID]],customers__2[#All],4,0)</f>
        <v>Consumer</v>
      </c>
      <c r="K1680" t="str">
        <f>VLOOKUP(orders__17[[#This Row],[Product_ID]],products[#All],3,0)</f>
        <v>Furniture</v>
      </c>
      <c r="L1680" s="1" t="str">
        <f>VLOOKUP(orders__17[[#This Row],[Product_ID]],products[#All],4,0)</f>
        <v>Table</v>
      </c>
      <c r="M1680" s="1" t="str">
        <f>VLOOKUP(orders__17[[#This Row],[Order_ID]],returns[#All],2,0)</f>
        <v>No</v>
      </c>
    </row>
    <row r="1681" spans="1:13" x14ac:dyDescent="0.3">
      <c r="A1681" s="1" t="s">
        <v>1987</v>
      </c>
      <c r="B1681" s="2">
        <v>44625</v>
      </c>
      <c r="C1681" s="1" t="s">
        <v>786</v>
      </c>
      <c r="D1681" s="1" t="s">
        <v>89</v>
      </c>
      <c r="E1681">
        <v>3</v>
      </c>
      <c r="F1681" s="4">
        <v>491.88</v>
      </c>
      <c r="G1681" s="3">
        <v>0.3</v>
      </c>
      <c r="H1681" s="4">
        <v>106.18</v>
      </c>
      <c r="I1681" t="str">
        <f>VLOOKUP(orders__17[[#This Row],[Customer_ID]],customers__2[#All],3,0)</f>
        <v>East</v>
      </c>
      <c r="J1681" t="str">
        <f>VLOOKUP(orders__17[[#This Row],[Customer_ID]],customers__2[#All],4,0)</f>
        <v>Corporate</v>
      </c>
      <c r="K1681" t="str">
        <f>VLOOKUP(orders__17[[#This Row],[Product_ID]],products[#All],3,0)</f>
        <v>Technology</v>
      </c>
      <c r="L1681" s="1" t="str">
        <f>VLOOKUP(orders__17[[#This Row],[Product_ID]],products[#All],4,0)</f>
        <v>Phone</v>
      </c>
      <c r="M1681" s="1" t="str">
        <f>VLOOKUP(orders__17[[#This Row],[Order_ID]],returns[#All],2,0)</f>
        <v>No</v>
      </c>
    </row>
    <row r="1682" spans="1:13" x14ac:dyDescent="0.3">
      <c r="A1682" s="1" t="s">
        <v>1988</v>
      </c>
      <c r="B1682" s="2">
        <v>44782</v>
      </c>
      <c r="C1682" s="1" t="s">
        <v>88</v>
      </c>
      <c r="D1682" s="1" t="s">
        <v>585</v>
      </c>
      <c r="E1682">
        <v>5</v>
      </c>
      <c r="F1682" s="4">
        <v>844.53</v>
      </c>
      <c r="G1682" s="3">
        <v>0</v>
      </c>
      <c r="H1682" s="4">
        <v>218.79</v>
      </c>
      <c r="I1682" t="str">
        <f>VLOOKUP(orders__17[[#This Row],[Customer_ID]],customers__2[#All],3,0)</f>
        <v>West</v>
      </c>
      <c r="J1682" t="str">
        <f>VLOOKUP(orders__17[[#This Row],[Customer_ID]],customers__2[#All],4,0)</f>
        <v>Corporate</v>
      </c>
      <c r="K1682" t="str">
        <f>VLOOKUP(orders__17[[#This Row],[Product_ID]],products[#All],3,0)</f>
        <v>Office Supplies</v>
      </c>
      <c r="L1682" s="1" t="str">
        <f>VLOOKUP(orders__17[[#This Row],[Product_ID]],products[#All],4,0)</f>
        <v>Storage</v>
      </c>
      <c r="M1682" s="1" t="str">
        <f>VLOOKUP(orders__17[[#This Row],[Order_ID]],returns[#All],2,0)</f>
        <v>No</v>
      </c>
    </row>
    <row r="1683" spans="1:13" x14ac:dyDescent="0.3">
      <c r="A1683" s="1" t="s">
        <v>1989</v>
      </c>
      <c r="B1683" s="2">
        <v>44685</v>
      </c>
      <c r="C1683" s="1" t="s">
        <v>350</v>
      </c>
      <c r="D1683" s="1" t="s">
        <v>288</v>
      </c>
      <c r="E1683">
        <v>1</v>
      </c>
      <c r="F1683" s="4">
        <v>1801.78</v>
      </c>
      <c r="G1683" s="3">
        <v>0.3</v>
      </c>
      <c r="H1683" s="4">
        <v>187.14</v>
      </c>
      <c r="I1683" t="str">
        <f>VLOOKUP(orders__17[[#This Row],[Customer_ID]],customers__2[#All],3,0)</f>
        <v>West</v>
      </c>
      <c r="J1683" t="str">
        <f>VLOOKUP(orders__17[[#This Row],[Customer_ID]],customers__2[#All],4,0)</f>
        <v>Corporate</v>
      </c>
      <c r="K1683" t="str">
        <f>VLOOKUP(orders__17[[#This Row],[Product_ID]],products[#All],3,0)</f>
        <v>Furniture</v>
      </c>
      <c r="L1683" s="1" t="str">
        <f>VLOOKUP(orders__17[[#This Row],[Product_ID]],products[#All],4,0)</f>
        <v>Chair</v>
      </c>
      <c r="M1683" s="1" t="str">
        <f>VLOOKUP(orders__17[[#This Row],[Order_ID]],returns[#All],2,0)</f>
        <v>No</v>
      </c>
    </row>
    <row r="1684" spans="1:13" x14ac:dyDescent="0.3">
      <c r="A1684" s="1" t="s">
        <v>1990</v>
      </c>
      <c r="B1684" s="2">
        <v>44808</v>
      </c>
      <c r="C1684" s="1" t="s">
        <v>271</v>
      </c>
      <c r="D1684" s="1" t="s">
        <v>51</v>
      </c>
      <c r="E1684">
        <v>3</v>
      </c>
      <c r="F1684" s="4">
        <v>488.2</v>
      </c>
      <c r="G1684" s="3">
        <v>0.1</v>
      </c>
      <c r="H1684" s="4">
        <v>39.11</v>
      </c>
      <c r="I1684" t="str">
        <f>VLOOKUP(orders__17[[#This Row],[Customer_ID]],customers__2[#All],3,0)</f>
        <v>East</v>
      </c>
      <c r="J1684" t="str">
        <f>VLOOKUP(orders__17[[#This Row],[Customer_ID]],customers__2[#All],4,0)</f>
        <v>Corporate</v>
      </c>
      <c r="K1684" t="str">
        <f>VLOOKUP(orders__17[[#This Row],[Product_ID]],products[#All],3,0)</f>
        <v>Office Supplies</v>
      </c>
      <c r="L1684" s="1" t="str">
        <f>VLOOKUP(orders__17[[#This Row],[Product_ID]],products[#All],4,0)</f>
        <v>Pen</v>
      </c>
      <c r="M1684" s="1" t="str">
        <f>VLOOKUP(orders__17[[#This Row],[Order_ID]],returns[#All],2,0)</f>
        <v>Yes</v>
      </c>
    </row>
    <row r="1685" spans="1:13" x14ac:dyDescent="0.3">
      <c r="A1685" s="1" t="s">
        <v>1991</v>
      </c>
      <c r="B1685" s="2">
        <v>44596</v>
      </c>
      <c r="C1685" s="1" t="s">
        <v>388</v>
      </c>
      <c r="D1685" s="1" t="s">
        <v>263</v>
      </c>
      <c r="E1685">
        <v>3</v>
      </c>
      <c r="F1685" s="4">
        <v>1064.83</v>
      </c>
      <c r="G1685" s="3">
        <v>0</v>
      </c>
      <c r="H1685" s="4">
        <v>279.93</v>
      </c>
      <c r="I1685" t="str">
        <f>VLOOKUP(orders__17[[#This Row],[Customer_ID]],customers__2[#All],3,0)</f>
        <v>East</v>
      </c>
      <c r="J1685" t="str">
        <f>VLOOKUP(orders__17[[#This Row],[Customer_ID]],customers__2[#All],4,0)</f>
        <v>Home Office</v>
      </c>
      <c r="K1685" t="str">
        <f>VLOOKUP(orders__17[[#This Row],[Product_ID]],products[#All],3,0)</f>
        <v>Office Supplies</v>
      </c>
      <c r="L1685" s="1" t="str">
        <f>VLOOKUP(orders__17[[#This Row],[Product_ID]],products[#All],4,0)</f>
        <v>Storage</v>
      </c>
      <c r="M1685" s="1" t="str">
        <f>VLOOKUP(orders__17[[#This Row],[Order_ID]],returns[#All],2,0)</f>
        <v>Yes</v>
      </c>
    </row>
    <row r="1686" spans="1:13" x14ac:dyDescent="0.3">
      <c r="A1686" s="1" t="s">
        <v>1992</v>
      </c>
      <c r="B1686" s="2">
        <v>45350</v>
      </c>
      <c r="C1686" s="1" t="s">
        <v>442</v>
      </c>
      <c r="D1686" s="1" t="s">
        <v>211</v>
      </c>
      <c r="E1686">
        <v>4</v>
      </c>
      <c r="F1686" s="4">
        <v>896.62</v>
      </c>
      <c r="G1686" s="3">
        <v>0.1</v>
      </c>
      <c r="H1686" s="4">
        <v>79.94</v>
      </c>
      <c r="I1686" t="str">
        <f>VLOOKUP(orders__17[[#This Row],[Customer_ID]],customers__2[#All],3,0)</f>
        <v>North</v>
      </c>
      <c r="J1686" t="str">
        <f>VLOOKUP(orders__17[[#This Row],[Customer_ID]],customers__2[#All],4,0)</f>
        <v>Consumer</v>
      </c>
      <c r="K1686" t="str">
        <f>VLOOKUP(orders__17[[#This Row],[Product_ID]],products[#All],3,0)</f>
        <v>Office Supplies</v>
      </c>
      <c r="L1686" s="1" t="str">
        <f>VLOOKUP(orders__17[[#This Row],[Product_ID]],products[#All],4,0)</f>
        <v>Binder</v>
      </c>
      <c r="M1686" s="1" t="str">
        <f>VLOOKUP(orders__17[[#This Row],[Order_ID]],returns[#All],2,0)</f>
        <v>No</v>
      </c>
    </row>
    <row r="1687" spans="1:13" x14ac:dyDescent="0.3">
      <c r="A1687" s="1" t="s">
        <v>1993</v>
      </c>
      <c r="B1687" s="2">
        <v>44811</v>
      </c>
      <c r="C1687" s="1" t="s">
        <v>350</v>
      </c>
      <c r="D1687" s="1" t="s">
        <v>13</v>
      </c>
      <c r="E1687">
        <v>2</v>
      </c>
      <c r="F1687" s="4">
        <v>134.44</v>
      </c>
      <c r="G1687" s="3">
        <v>0.3</v>
      </c>
      <c r="H1687" s="4">
        <v>39.479999999999997</v>
      </c>
      <c r="I1687" t="str">
        <f>VLOOKUP(orders__17[[#This Row],[Customer_ID]],customers__2[#All],3,0)</f>
        <v>West</v>
      </c>
      <c r="J1687" t="str">
        <f>VLOOKUP(orders__17[[#This Row],[Customer_ID]],customers__2[#All],4,0)</f>
        <v>Corporate</v>
      </c>
      <c r="K1687" t="str">
        <f>VLOOKUP(orders__17[[#This Row],[Product_ID]],products[#All],3,0)</f>
        <v>Furniture</v>
      </c>
      <c r="L1687" s="1" t="str">
        <f>VLOOKUP(orders__17[[#This Row],[Product_ID]],products[#All],4,0)</f>
        <v>Desk</v>
      </c>
      <c r="M1687" s="1" t="str">
        <f>VLOOKUP(orders__17[[#This Row],[Order_ID]],returns[#All],2,0)</f>
        <v>Yes</v>
      </c>
    </row>
    <row r="1688" spans="1:13" x14ac:dyDescent="0.3">
      <c r="A1688" s="1" t="s">
        <v>1994</v>
      </c>
      <c r="B1688" s="2">
        <v>45422</v>
      </c>
      <c r="C1688" s="1" t="s">
        <v>190</v>
      </c>
      <c r="D1688" s="1" t="s">
        <v>757</v>
      </c>
      <c r="E1688">
        <v>3</v>
      </c>
      <c r="F1688" s="4">
        <v>1606.24</v>
      </c>
      <c r="G1688" s="3">
        <v>0.2</v>
      </c>
      <c r="H1688" s="4">
        <v>418.64</v>
      </c>
      <c r="I1688" t="str">
        <f>VLOOKUP(orders__17[[#This Row],[Customer_ID]],customers__2[#All],3,0)</f>
        <v>East</v>
      </c>
      <c r="J1688" t="str">
        <f>VLOOKUP(orders__17[[#This Row],[Customer_ID]],customers__2[#All],4,0)</f>
        <v>Home Office</v>
      </c>
      <c r="K1688" t="str">
        <f>VLOOKUP(orders__17[[#This Row],[Product_ID]],products[#All],3,0)</f>
        <v>Office Supplies</v>
      </c>
      <c r="L1688" s="1" t="str">
        <f>VLOOKUP(orders__17[[#This Row],[Product_ID]],products[#All],4,0)</f>
        <v>Pen</v>
      </c>
      <c r="M1688" s="1" t="str">
        <f>VLOOKUP(orders__17[[#This Row],[Order_ID]],returns[#All],2,0)</f>
        <v>No</v>
      </c>
    </row>
    <row r="1689" spans="1:13" x14ac:dyDescent="0.3">
      <c r="A1689" s="1" t="s">
        <v>1995</v>
      </c>
      <c r="B1689" s="2">
        <v>44934</v>
      </c>
      <c r="C1689" s="1" t="s">
        <v>228</v>
      </c>
      <c r="D1689" s="1" t="s">
        <v>78</v>
      </c>
      <c r="E1689">
        <v>3</v>
      </c>
      <c r="F1689" s="4">
        <v>231.19</v>
      </c>
      <c r="G1689" s="3">
        <v>0.1</v>
      </c>
      <c r="H1689" s="4">
        <v>40.51</v>
      </c>
      <c r="I1689" t="str">
        <f>VLOOKUP(orders__17[[#This Row],[Customer_ID]],customers__2[#All],3,0)</f>
        <v>North</v>
      </c>
      <c r="J1689" t="str">
        <f>VLOOKUP(orders__17[[#This Row],[Customer_ID]],customers__2[#All],4,0)</f>
        <v>Consumer</v>
      </c>
      <c r="K1689" t="str">
        <f>VLOOKUP(orders__17[[#This Row],[Product_ID]],products[#All],3,0)</f>
        <v>Technology</v>
      </c>
      <c r="L1689" s="1" t="str">
        <f>VLOOKUP(orders__17[[#This Row],[Product_ID]],products[#All],4,0)</f>
        <v>Accessories</v>
      </c>
      <c r="M1689" s="1" t="str">
        <f>VLOOKUP(orders__17[[#This Row],[Order_ID]],returns[#All],2,0)</f>
        <v>Yes</v>
      </c>
    </row>
    <row r="1690" spans="1:13" x14ac:dyDescent="0.3">
      <c r="A1690" s="1" t="s">
        <v>1996</v>
      </c>
      <c r="B1690" s="2">
        <v>44838</v>
      </c>
      <c r="C1690" s="1" t="s">
        <v>115</v>
      </c>
      <c r="D1690" s="1" t="s">
        <v>92</v>
      </c>
      <c r="E1690">
        <v>5</v>
      </c>
      <c r="F1690" s="4">
        <v>1001.08</v>
      </c>
      <c r="G1690" s="3">
        <v>0.3</v>
      </c>
      <c r="H1690" s="4">
        <v>295.67</v>
      </c>
      <c r="I1690" t="str">
        <f>VLOOKUP(orders__17[[#This Row],[Customer_ID]],customers__2[#All],3,0)</f>
        <v>South</v>
      </c>
      <c r="J1690" t="str">
        <f>VLOOKUP(orders__17[[#This Row],[Customer_ID]],customers__2[#All],4,0)</f>
        <v>Consumer</v>
      </c>
      <c r="K1690" t="str">
        <f>VLOOKUP(orders__17[[#This Row],[Product_ID]],products[#All],3,0)</f>
        <v>Furniture</v>
      </c>
      <c r="L1690" s="1" t="str">
        <f>VLOOKUP(orders__17[[#This Row],[Product_ID]],products[#All],4,0)</f>
        <v>Shelf</v>
      </c>
      <c r="M1690" s="1" t="str">
        <f>VLOOKUP(orders__17[[#This Row],[Order_ID]],returns[#All],2,0)</f>
        <v>No</v>
      </c>
    </row>
    <row r="1691" spans="1:13" x14ac:dyDescent="0.3">
      <c r="A1691" s="1" t="s">
        <v>1997</v>
      </c>
      <c r="B1691" s="2">
        <v>44834</v>
      </c>
      <c r="C1691" s="1" t="s">
        <v>325</v>
      </c>
      <c r="D1691" s="1" t="s">
        <v>757</v>
      </c>
      <c r="E1691">
        <v>5</v>
      </c>
      <c r="F1691" s="4">
        <v>1165.29</v>
      </c>
      <c r="G1691" s="3">
        <v>0.1</v>
      </c>
      <c r="H1691" s="4">
        <v>86.63</v>
      </c>
      <c r="I1691" t="str">
        <f>VLOOKUP(orders__17[[#This Row],[Customer_ID]],customers__2[#All],3,0)</f>
        <v>North</v>
      </c>
      <c r="J1691" t="str">
        <f>VLOOKUP(orders__17[[#This Row],[Customer_ID]],customers__2[#All],4,0)</f>
        <v>Corporate</v>
      </c>
      <c r="K1691" t="str">
        <f>VLOOKUP(orders__17[[#This Row],[Product_ID]],products[#All],3,0)</f>
        <v>Office Supplies</v>
      </c>
      <c r="L1691" s="1" t="str">
        <f>VLOOKUP(orders__17[[#This Row],[Product_ID]],products[#All],4,0)</f>
        <v>Pen</v>
      </c>
      <c r="M1691" s="1" t="str">
        <f>VLOOKUP(orders__17[[#This Row],[Order_ID]],returns[#All],2,0)</f>
        <v>No</v>
      </c>
    </row>
    <row r="1692" spans="1:13" x14ac:dyDescent="0.3">
      <c r="A1692" s="1" t="s">
        <v>1998</v>
      </c>
      <c r="B1692" s="2">
        <v>45148</v>
      </c>
      <c r="C1692" s="1" t="s">
        <v>102</v>
      </c>
      <c r="D1692" s="1" t="s">
        <v>10</v>
      </c>
      <c r="E1692">
        <v>1</v>
      </c>
      <c r="F1692" s="4">
        <v>1294.01</v>
      </c>
      <c r="G1692" s="3">
        <v>0.3</v>
      </c>
      <c r="H1692" s="4">
        <v>162.74</v>
      </c>
      <c r="I1692" t="str">
        <f>VLOOKUP(orders__17[[#This Row],[Customer_ID]],customers__2[#All],3,0)</f>
        <v>West</v>
      </c>
      <c r="J1692" t="str">
        <f>VLOOKUP(orders__17[[#This Row],[Customer_ID]],customers__2[#All],4,0)</f>
        <v>Corporate</v>
      </c>
      <c r="K1692" t="str">
        <f>VLOOKUP(orders__17[[#This Row],[Product_ID]],products[#All],3,0)</f>
        <v>Technology</v>
      </c>
      <c r="L1692" s="1" t="str">
        <f>VLOOKUP(orders__17[[#This Row],[Product_ID]],products[#All],4,0)</f>
        <v>Tablet</v>
      </c>
      <c r="M1692" s="1" t="str">
        <f>VLOOKUP(orders__17[[#This Row],[Order_ID]],returns[#All],2,0)</f>
        <v>No</v>
      </c>
    </row>
    <row r="1693" spans="1:13" x14ac:dyDescent="0.3">
      <c r="A1693" s="1" t="s">
        <v>1999</v>
      </c>
      <c r="B1693" s="2">
        <v>45097</v>
      </c>
      <c r="C1693" s="1" t="s">
        <v>927</v>
      </c>
      <c r="D1693" s="1" t="s">
        <v>109</v>
      </c>
      <c r="E1693">
        <v>4</v>
      </c>
      <c r="F1693" s="4">
        <v>1408.4</v>
      </c>
      <c r="G1693" s="3">
        <v>0.3</v>
      </c>
      <c r="H1693" s="4">
        <v>295.14</v>
      </c>
      <c r="I1693" t="str">
        <f>VLOOKUP(orders__17[[#This Row],[Customer_ID]],customers__2[#All],3,0)</f>
        <v>South</v>
      </c>
      <c r="J1693" t="str">
        <f>VLOOKUP(orders__17[[#This Row],[Customer_ID]],customers__2[#All],4,0)</f>
        <v>Corporate</v>
      </c>
      <c r="K1693" t="str">
        <f>VLOOKUP(orders__17[[#This Row],[Product_ID]],products[#All],3,0)</f>
        <v>Furniture</v>
      </c>
      <c r="L1693" s="1" t="str">
        <f>VLOOKUP(orders__17[[#This Row],[Product_ID]],products[#All],4,0)</f>
        <v>Chair</v>
      </c>
      <c r="M1693" s="1" t="str">
        <f>VLOOKUP(orders__17[[#This Row],[Order_ID]],returns[#All],2,0)</f>
        <v>No</v>
      </c>
    </row>
    <row r="1694" spans="1:13" x14ac:dyDescent="0.3">
      <c r="A1694" s="1" t="s">
        <v>2000</v>
      </c>
      <c r="B1694" s="2">
        <v>45227</v>
      </c>
      <c r="C1694" s="1" t="s">
        <v>124</v>
      </c>
      <c r="D1694" s="1" t="s">
        <v>278</v>
      </c>
      <c r="E1694">
        <v>1</v>
      </c>
      <c r="F1694" s="4">
        <v>581.22</v>
      </c>
      <c r="G1694" s="3">
        <v>0.3</v>
      </c>
      <c r="H1694" s="4">
        <v>79.92</v>
      </c>
      <c r="I1694" t="str">
        <f>VLOOKUP(orders__17[[#This Row],[Customer_ID]],customers__2[#All],3,0)</f>
        <v>North</v>
      </c>
      <c r="J1694" t="str">
        <f>VLOOKUP(orders__17[[#This Row],[Customer_ID]],customers__2[#All],4,0)</f>
        <v>Consumer</v>
      </c>
      <c r="K1694" t="str">
        <f>VLOOKUP(orders__17[[#This Row],[Product_ID]],products[#All],3,0)</f>
        <v>Office Supplies</v>
      </c>
      <c r="L1694" s="1" t="str">
        <f>VLOOKUP(orders__17[[#This Row],[Product_ID]],products[#All],4,0)</f>
        <v>Pen</v>
      </c>
      <c r="M1694" s="1" t="str">
        <f>VLOOKUP(orders__17[[#This Row],[Order_ID]],returns[#All],2,0)</f>
        <v>No</v>
      </c>
    </row>
    <row r="1695" spans="1:13" x14ac:dyDescent="0.3">
      <c r="A1695" s="1" t="s">
        <v>2001</v>
      </c>
      <c r="B1695" s="2">
        <v>44932</v>
      </c>
      <c r="C1695" s="1" t="s">
        <v>176</v>
      </c>
      <c r="D1695" s="1" t="s">
        <v>275</v>
      </c>
      <c r="E1695">
        <v>5</v>
      </c>
      <c r="F1695" s="4">
        <v>118.96</v>
      </c>
      <c r="G1695" s="3">
        <v>0.2</v>
      </c>
      <c r="H1695" s="4">
        <v>33.56</v>
      </c>
      <c r="I1695" t="str">
        <f>VLOOKUP(orders__17[[#This Row],[Customer_ID]],customers__2[#All],3,0)</f>
        <v>South</v>
      </c>
      <c r="J1695" t="str">
        <f>VLOOKUP(orders__17[[#This Row],[Customer_ID]],customers__2[#All],4,0)</f>
        <v>Home Office</v>
      </c>
      <c r="K1695" t="str">
        <f>VLOOKUP(orders__17[[#This Row],[Product_ID]],products[#All],3,0)</f>
        <v>Furniture</v>
      </c>
      <c r="L1695" s="1" t="str">
        <f>VLOOKUP(orders__17[[#This Row],[Product_ID]],products[#All],4,0)</f>
        <v>Table</v>
      </c>
      <c r="M1695" s="1" t="str">
        <f>VLOOKUP(orders__17[[#This Row],[Order_ID]],returns[#All],2,0)</f>
        <v>Yes</v>
      </c>
    </row>
    <row r="1696" spans="1:13" x14ac:dyDescent="0.3">
      <c r="A1696" s="1" t="s">
        <v>2002</v>
      </c>
      <c r="B1696" s="2">
        <v>44637</v>
      </c>
      <c r="C1696" s="1" t="s">
        <v>334</v>
      </c>
      <c r="D1696" s="1" t="s">
        <v>294</v>
      </c>
      <c r="E1696">
        <v>2</v>
      </c>
      <c r="F1696" s="4">
        <v>1474.54</v>
      </c>
      <c r="G1696" s="3">
        <v>0.1</v>
      </c>
      <c r="H1696" s="4">
        <v>97.92</v>
      </c>
      <c r="I1696" t="str">
        <f>VLOOKUP(orders__17[[#This Row],[Customer_ID]],customers__2[#All],3,0)</f>
        <v>East</v>
      </c>
      <c r="J1696" t="str">
        <f>VLOOKUP(orders__17[[#This Row],[Customer_ID]],customers__2[#All],4,0)</f>
        <v>Consumer</v>
      </c>
      <c r="K1696" t="str">
        <f>VLOOKUP(orders__17[[#This Row],[Product_ID]],products[#All],3,0)</f>
        <v>Technology</v>
      </c>
      <c r="L1696" s="1" t="str">
        <f>VLOOKUP(orders__17[[#This Row],[Product_ID]],products[#All],4,0)</f>
        <v>Tablet</v>
      </c>
      <c r="M1696" s="1" t="str">
        <f>VLOOKUP(orders__17[[#This Row],[Order_ID]],returns[#All],2,0)</f>
        <v>Yes</v>
      </c>
    </row>
    <row r="1697" spans="1:13" x14ac:dyDescent="0.3">
      <c r="A1697" s="1" t="s">
        <v>2003</v>
      </c>
      <c r="B1697" s="2">
        <v>45145</v>
      </c>
      <c r="C1697" s="1" t="s">
        <v>228</v>
      </c>
      <c r="D1697" s="1" t="s">
        <v>86</v>
      </c>
      <c r="E1697">
        <v>5</v>
      </c>
      <c r="F1697" s="4">
        <v>1117.75</v>
      </c>
      <c r="G1697" s="3">
        <v>0</v>
      </c>
      <c r="H1697" s="4">
        <v>209.41</v>
      </c>
      <c r="I1697" t="str">
        <f>VLOOKUP(orders__17[[#This Row],[Customer_ID]],customers__2[#All],3,0)</f>
        <v>North</v>
      </c>
      <c r="J1697" t="str">
        <f>VLOOKUP(orders__17[[#This Row],[Customer_ID]],customers__2[#All],4,0)</f>
        <v>Consumer</v>
      </c>
      <c r="K1697" t="str">
        <f>VLOOKUP(orders__17[[#This Row],[Product_ID]],products[#All],3,0)</f>
        <v>Furniture</v>
      </c>
      <c r="L1697" s="1" t="str">
        <f>VLOOKUP(orders__17[[#This Row],[Product_ID]],products[#All],4,0)</f>
        <v>Table</v>
      </c>
      <c r="M1697" s="1" t="str">
        <f>VLOOKUP(orders__17[[#This Row],[Order_ID]],returns[#All],2,0)</f>
        <v>No</v>
      </c>
    </row>
    <row r="1698" spans="1:13" x14ac:dyDescent="0.3">
      <c r="A1698" s="1" t="s">
        <v>2004</v>
      </c>
      <c r="B1698" s="2">
        <v>45124</v>
      </c>
      <c r="C1698" s="1" t="s">
        <v>213</v>
      </c>
      <c r="D1698" s="1" t="s">
        <v>278</v>
      </c>
      <c r="E1698">
        <v>4</v>
      </c>
      <c r="F1698" s="4">
        <v>1688.62</v>
      </c>
      <c r="G1698" s="3">
        <v>0</v>
      </c>
      <c r="H1698" s="4">
        <v>333.87</v>
      </c>
      <c r="I1698" t="str">
        <f>VLOOKUP(orders__17[[#This Row],[Customer_ID]],customers__2[#All],3,0)</f>
        <v>East</v>
      </c>
      <c r="J1698" t="str">
        <f>VLOOKUP(orders__17[[#This Row],[Customer_ID]],customers__2[#All],4,0)</f>
        <v>Corporate</v>
      </c>
      <c r="K1698" t="str">
        <f>VLOOKUP(orders__17[[#This Row],[Product_ID]],products[#All],3,0)</f>
        <v>Office Supplies</v>
      </c>
      <c r="L1698" s="1" t="str">
        <f>VLOOKUP(orders__17[[#This Row],[Product_ID]],products[#All],4,0)</f>
        <v>Pen</v>
      </c>
      <c r="M1698" s="1" t="str">
        <f>VLOOKUP(orders__17[[#This Row],[Order_ID]],returns[#All],2,0)</f>
        <v>No</v>
      </c>
    </row>
    <row r="1699" spans="1:13" x14ac:dyDescent="0.3">
      <c r="A1699" s="1" t="s">
        <v>2005</v>
      </c>
      <c r="B1699" s="2">
        <v>44810</v>
      </c>
      <c r="C1699" s="1" t="s">
        <v>777</v>
      </c>
      <c r="D1699" s="1" t="s">
        <v>195</v>
      </c>
      <c r="E1699">
        <v>5</v>
      </c>
      <c r="F1699" s="4">
        <v>1660.64</v>
      </c>
      <c r="G1699" s="3">
        <v>0</v>
      </c>
      <c r="H1699" s="4">
        <v>354.02</v>
      </c>
      <c r="I1699" t="str">
        <f>VLOOKUP(orders__17[[#This Row],[Customer_ID]],customers__2[#All],3,0)</f>
        <v>South</v>
      </c>
      <c r="J1699" t="str">
        <f>VLOOKUP(orders__17[[#This Row],[Customer_ID]],customers__2[#All],4,0)</f>
        <v>Home Office</v>
      </c>
      <c r="K1699" t="str">
        <f>VLOOKUP(orders__17[[#This Row],[Product_ID]],products[#All],3,0)</f>
        <v>Furniture</v>
      </c>
      <c r="L1699" s="1" t="str">
        <f>VLOOKUP(orders__17[[#This Row],[Product_ID]],products[#All],4,0)</f>
        <v>Chair</v>
      </c>
      <c r="M1699" s="1" t="str">
        <f>VLOOKUP(orders__17[[#This Row],[Order_ID]],returns[#All],2,0)</f>
        <v>No</v>
      </c>
    </row>
    <row r="1700" spans="1:13" x14ac:dyDescent="0.3">
      <c r="A1700" s="1" t="s">
        <v>2006</v>
      </c>
      <c r="B1700" s="2">
        <v>44959</v>
      </c>
      <c r="C1700" s="1" t="s">
        <v>402</v>
      </c>
      <c r="D1700" s="1" t="s">
        <v>61</v>
      </c>
      <c r="E1700">
        <v>4</v>
      </c>
      <c r="F1700" s="4">
        <v>1702.32</v>
      </c>
      <c r="G1700" s="3">
        <v>0</v>
      </c>
      <c r="H1700" s="4">
        <v>193.92</v>
      </c>
      <c r="I1700" t="str">
        <f>VLOOKUP(orders__17[[#This Row],[Customer_ID]],customers__2[#All],3,0)</f>
        <v>West</v>
      </c>
      <c r="J1700" t="str">
        <f>VLOOKUP(orders__17[[#This Row],[Customer_ID]],customers__2[#All],4,0)</f>
        <v>Consumer</v>
      </c>
      <c r="K1700" t="str">
        <f>VLOOKUP(orders__17[[#This Row],[Product_ID]],products[#All],3,0)</f>
        <v>Office Supplies</v>
      </c>
      <c r="L1700" s="1" t="str">
        <f>VLOOKUP(orders__17[[#This Row],[Product_ID]],products[#All],4,0)</f>
        <v>Binder</v>
      </c>
      <c r="M1700" s="1" t="str">
        <f>VLOOKUP(orders__17[[#This Row],[Order_ID]],returns[#All],2,0)</f>
        <v>No</v>
      </c>
    </row>
    <row r="1701" spans="1:13" x14ac:dyDescent="0.3">
      <c r="A1701" s="1" t="s">
        <v>2007</v>
      </c>
      <c r="B1701" s="2">
        <v>44666</v>
      </c>
      <c r="C1701" s="1" t="s">
        <v>336</v>
      </c>
      <c r="D1701" s="1" t="s">
        <v>141</v>
      </c>
      <c r="E1701">
        <v>4</v>
      </c>
      <c r="F1701" s="4">
        <v>1021.68</v>
      </c>
      <c r="G1701" s="3">
        <v>0.3</v>
      </c>
      <c r="H1701" s="4">
        <v>144.19999999999999</v>
      </c>
      <c r="I1701" t="str">
        <f>VLOOKUP(orders__17[[#This Row],[Customer_ID]],customers__2[#All],3,0)</f>
        <v>South</v>
      </c>
      <c r="J1701" t="str">
        <f>VLOOKUP(orders__17[[#This Row],[Customer_ID]],customers__2[#All],4,0)</f>
        <v>Consumer</v>
      </c>
      <c r="K1701" t="str">
        <f>VLOOKUP(orders__17[[#This Row],[Product_ID]],products[#All],3,0)</f>
        <v>Technology</v>
      </c>
      <c r="L1701" s="1" t="str">
        <f>VLOOKUP(orders__17[[#This Row],[Product_ID]],products[#All],4,0)</f>
        <v>Phone</v>
      </c>
      <c r="M1701" s="1" t="str">
        <f>VLOOKUP(orders__17[[#This Row],[Order_ID]],returns[#All],2,0)</f>
        <v>No</v>
      </c>
    </row>
    <row r="1702" spans="1:13" x14ac:dyDescent="0.3">
      <c r="A1702" s="1" t="s">
        <v>2008</v>
      </c>
      <c r="B1702" s="2">
        <v>44775</v>
      </c>
      <c r="C1702" s="1" t="s">
        <v>200</v>
      </c>
      <c r="D1702" s="1" t="s">
        <v>54</v>
      </c>
      <c r="E1702">
        <v>4</v>
      </c>
      <c r="F1702" s="4">
        <v>733.89</v>
      </c>
      <c r="G1702" s="3">
        <v>0.1</v>
      </c>
      <c r="H1702" s="4">
        <v>191.49</v>
      </c>
      <c r="I1702" t="str">
        <f>VLOOKUP(orders__17[[#This Row],[Customer_ID]],customers__2[#All],3,0)</f>
        <v>East</v>
      </c>
      <c r="J1702" t="str">
        <f>VLOOKUP(orders__17[[#This Row],[Customer_ID]],customers__2[#All],4,0)</f>
        <v>Consumer</v>
      </c>
      <c r="K1702" t="str">
        <f>VLOOKUP(orders__17[[#This Row],[Product_ID]],products[#All],3,0)</f>
        <v>Office Supplies</v>
      </c>
      <c r="L1702" s="1" t="str">
        <f>VLOOKUP(orders__17[[#This Row],[Product_ID]],products[#All],4,0)</f>
        <v>Binder</v>
      </c>
      <c r="M1702" s="1" t="str">
        <f>VLOOKUP(orders__17[[#This Row],[Order_ID]],returns[#All],2,0)</f>
        <v>No</v>
      </c>
    </row>
    <row r="1703" spans="1:13" x14ac:dyDescent="0.3">
      <c r="A1703" s="1" t="s">
        <v>2009</v>
      </c>
      <c r="B1703" s="2">
        <v>44914</v>
      </c>
      <c r="C1703" s="1" t="s">
        <v>192</v>
      </c>
      <c r="D1703" s="1" t="s">
        <v>43</v>
      </c>
      <c r="E1703">
        <v>4</v>
      </c>
      <c r="F1703" s="4">
        <v>1603.96</v>
      </c>
      <c r="G1703" s="3">
        <v>0.1</v>
      </c>
      <c r="H1703" s="4">
        <v>158.37</v>
      </c>
      <c r="I1703" t="str">
        <f>VLOOKUP(orders__17[[#This Row],[Customer_ID]],customers__2[#All],3,0)</f>
        <v>South</v>
      </c>
      <c r="J1703" t="str">
        <f>VLOOKUP(orders__17[[#This Row],[Customer_ID]],customers__2[#All],4,0)</f>
        <v>Corporate</v>
      </c>
      <c r="K1703" t="str">
        <f>VLOOKUP(orders__17[[#This Row],[Product_ID]],products[#All],3,0)</f>
        <v>Technology</v>
      </c>
      <c r="L1703" s="1" t="str">
        <f>VLOOKUP(orders__17[[#This Row],[Product_ID]],products[#All],4,0)</f>
        <v>Tablet</v>
      </c>
      <c r="M1703" s="1" t="str">
        <f>VLOOKUP(orders__17[[#This Row],[Order_ID]],returns[#All],2,0)</f>
        <v>Yes</v>
      </c>
    </row>
    <row r="1704" spans="1:13" x14ac:dyDescent="0.3">
      <c r="A1704" s="1" t="s">
        <v>2010</v>
      </c>
      <c r="B1704" s="2">
        <v>45158</v>
      </c>
      <c r="C1704" s="1" t="s">
        <v>1081</v>
      </c>
      <c r="D1704" s="1" t="s">
        <v>170</v>
      </c>
      <c r="E1704">
        <v>4</v>
      </c>
      <c r="F1704" s="4">
        <v>957.46</v>
      </c>
      <c r="G1704" s="3">
        <v>0.2</v>
      </c>
      <c r="H1704" s="4">
        <v>245.8</v>
      </c>
      <c r="I1704" t="str">
        <f>VLOOKUP(orders__17[[#This Row],[Customer_ID]],customers__2[#All],3,0)</f>
        <v>North</v>
      </c>
      <c r="J1704" t="str">
        <f>VLOOKUP(orders__17[[#This Row],[Customer_ID]],customers__2[#All],4,0)</f>
        <v>Home Office</v>
      </c>
      <c r="K1704" t="str">
        <f>VLOOKUP(orders__17[[#This Row],[Product_ID]],products[#All],3,0)</f>
        <v>Furniture</v>
      </c>
      <c r="L1704" s="1" t="str">
        <f>VLOOKUP(orders__17[[#This Row],[Product_ID]],products[#All],4,0)</f>
        <v>Shelf</v>
      </c>
      <c r="M1704" s="1" t="str">
        <f>VLOOKUP(orders__17[[#This Row],[Order_ID]],returns[#All],2,0)</f>
        <v>No</v>
      </c>
    </row>
    <row r="1705" spans="1:13" x14ac:dyDescent="0.3">
      <c r="A1705" s="1" t="s">
        <v>2011</v>
      </c>
      <c r="B1705" s="2">
        <v>44689</v>
      </c>
      <c r="C1705" s="1" t="s">
        <v>325</v>
      </c>
      <c r="D1705" s="1" t="s">
        <v>502</v>
      </c>
      <c r="E1705">
        <v>2</v>
      </c>
      <c r="F1705" s="4">
        <v>448.54</v>
      </c>
      <c r="G1705" s="3">
        <v>0.1</v>
      </c>
      <c r="H1705" s="4">
        <v>85.52</v>
      </c>
      <c r="I1705" t="str">
        <f>VLOOKUP(orders__17[[#This Row],[Customer_ID]],customers__2[#All],3,0)</f>
        <v>North</v>
      </c>
      <c r="J1705" t="str">
        <f>VLOOKUP(orders__17[[#This Row],[Customer_ID]],customers__2[#All],4,0)</f>
        <v>Corporate</v>
      </c>
      <c r="K1705" t="str">
        <f>VLOOKUP(orders__17[[#This Row],[Product_ID]],products[#All],3,0)</f>
        <v>Furniture</v>
      </c>
      <c r="L1705" s="1" t="str">
        <f>VLOOKUP(orders__17[[#This Row],[Product_ID]],products[#All],4,0)</f>
        <v>Shelf</v>
      </c>
      <c r="M1705" s="1" t="str">
        <f>VLOOKUP(orders__17[[#This Row],[Order_ID]],returns[#All],2,0)</f>
        <v>No</v>
      </c>
    </row>
    <row r="1706" spans="1:13" x14ac:dyDescent="0.3">
      <c r="A1706" s="1" t="s">
        <v>2012</v>
      </c>
      <c r="B1706" s="2">
        <v>45040</v>
      </c>
      <c r="C1706" s="1" t="s">
        <v>729</v>
      </c>
      <c r="D1706" s="1" t="s">
        <v>392</v>
      </c>
      <c r="E1706">
        <v>1</v>
      </c>
      <c r="F1706" s="4">
        <v>1724.45</v>
      </c>
      <c r="G1706" s="3">
        <v>0.1</v>
      </c>
      <c r="H1706" s="4">
        <v>414.81</v>
      </c>
      <c r="I1706" t="str">
        <f>VLOOKUP(orders__17[[#This Row],[Customer_ID]],customers__2[#All],3,0)</f>
        <v>North</v>
      </c>
      <c r="J1706" t="str">
        <f>VLOOKUP(orders__17[[#This Row],[Customer_ID]],customers__2[#All],4,0)</f>
        <v>Home Office</v>
      </c>
      <c r="K1706" t="str">
        <f>VLOOKUP(orders__17[[#This Row],[Product_ID]],products[#All],3,0)</f>
        <v>Furniture</v>
      </c>
      <c r="L1706" s="1" t="str">
        <f>VLOOKUP(orders__17[[#This Row],[Product_ID]],products[#All],4,0)</f>
        <v>Desk</v>
      </c>
      <c r="M1706" s="1" t="str">
        <f>VLOOKUP(orders__17[[#This Row],[Order_ID]],returns[#All],2,0)</f>
        <v>No</v>
      </c>
    </row>
    <row r="1707" spans="1:13" x14ac:dyDescent="0.3">
      <c r="A1707" s="1" t="s">
        <v>2013</v>
      </c>
      <c r="B1707" s="2">
        <v>45028</v>
      </c>
      <c r="C1707" s="1" t="s">
        <v>198</v>
      </c>
      <c r="D1707" s="1" t="s">
        <v>100</v>
      </c>
      <c r="E1707">
        <v>3</v>
      </c>
      <c r="F1707" s="4">
        <v>1776.86</v>
      </c>
      <c r="G1707" s="3">
        <v>0.1</v>
      </c>
      <c r="H1707" s="4">
        <v>405.84</v>
      </c>
      <c r="I1707" t="str">
        <f>VLOOKUP(orders__17[[#This Row],[Customer_ID]],customers__2[#All],3,0)</f>
        <v>North</v>
      </c>
      <c r="J1707" t="str">
        <f>VLOOKUP(orders__17[[#This Row],[Customer_ID]],customers__2[#All],4,0)</f>
        <v>Consumer</v>
      </c>
      <c r="K1707" t="str">
        <f>VLOOKUP(orders__17[[#This Row],[Product_ID]],products[#All],3,0)</f>
        <v>Technology</v>
      </c>
      <c r="L1707" s="1" t="str">
        <f>VLOOKUP(orders__17[[#This Row],[Product_ID]],products[#All],4,0)</f>
        <v>Laptop</v>
      </c>
      <c r="M1707" s="1" t="str">
        <f>VLOOKUP(orders__17[[#This Row],[Order_ID]],returns[#All],2,0)</f>
        <v>No</v>
      </c>
    </row>
    <row r="1708" spans="1:13" x14ac:dyDescent="0.3">
      <c r="A1708" s="1" t="s">
        <v>2014</v>
      </c>
      <c r="B1708" s="2">
        <v>45247</v>
      </c>
      <c r="C1708" s="1" t="s">
        <v>487</v>
      </c>
      <c r="D1708" s="1" t="s">
        <v>269</v>
      </c>
      <c r="E1708">
        <v>1</v>
      </c>
      <c r="F1708" s="4">
        <v>985.99</v>
      </c>
      <c r="G1708" s="3">
        <v>0.2</v>
      </c>
      <c r="H1708" s="4">
        <v>100.45</v>
      </c>
      <c r="I1708" t="str">
        <f>VLOOKUP(orders__17[[#This Row],[Customer_ID]],customers__2[#All],3,0)</f>
        <v>North</v>
      </c>
      <c r="J1708" t="str">
        <f>VLOOKUP(orders__17[[#This Row],[Customer_ID]],customers__2[#All],4,0)</f>
        <v>Home Office</v>
      </c>
      <c r="K1708" t="str">
        <f>VLOOKUP(orders__17[[#This Row],[Product_ID]],products[#All],3,0)</f>
        <v>Office Supplies</v>
      </c>
      <c r="L1708" s="1" t="str">
        <f>VLOOKUP(orders__17[[#This Row],[Product_ID]],products[#All],4,0)</f>
        <v>Pen</v>
      </c>
      <c r="M1708" s="1" t="str">
        <f>VLOOKUP(orders__17[[#This Row],[Order_ID]],returns[#All],2,0)</f>
        <v>No</v>
      </c>
    </row>
    <row r="1709" spans="1:13" x14ac:dyDescent="0.3">
      <c r="A1709" s="1" t="s">
        <v>2015</v>
      </c>
      <c r="B1709" s="2">
        <v>45363</v>
      </c>
      <c r="C1709" s="1" t="s">
        <v>510</v>
      </c>
      <c r="D1709" s="1" t="s">
        <v>249</v>
      </c>
      <c r="E1709">
        <v>4</v>
      </c>
      <c r="F1709" s="4">
        <v>243.83</v>
      </c>
      <c r="G1709" s="3">
        <v>0</v>
      </c>
      <c r="H1709" s="4">
        <v>46.86</v>
      </c>
      <c r="I1709" t="str">
        <f>VLOOKUP(orders__17[[#This Row],[Customer_ID]],customers__2[#All],3,0)</f>
        <v>South</v>
      </c>
      <c r="J1709" t="str">
        <f>VLOOKUP(orders__17[[#This Row],[Customer_ID]],customers__2[#All],4,0)</f>
        <v>Consumer</v>
      </c>
      <c r="K1709" t="str">
        <f>VLOOKUP(orders__17[[#This Row],[Product_ID]],products[#All],3,0)</f>
        <v>Office Supplies</v>
      </c>
      <c r="L1709" s="1" t="str">
        <f>VLOOKUP(orders__17[[#This Row],[Product_ID]],products[#All],4,0)</f>
        <v>Paper</v>
      </c>
      <c r="M1709" s="1" t="str">
        <f>VLOOKUP(orders__17[[#This Row],[Order_ID]],returns[#All],2,0)</f>
        <v>No</v>
      </c>
    </row>
    <row r="1710" spans="1:13" x14ac:dyDescent="0.3">
      <c r="A1710" s="1" t="s">
        <v>2016</v>
      </c>
      <c r="B1710" s="2">
        <v>44937</v>
      </c>
      <c r="C1710" s="1" t="s">
        <v>42</v>
      </c>
      <c r="D1710" s="1" t="s">
        <v>59</v>
      </c>
      <c r="E1710">
        <v>2</v>
      </c>
      <c r="F1710" s="4">
        <v>836.87</v>
      </c>
      <c r="G1710" s="3">
        <v>0.1</v>
      </c>
      <c r="H1710" s="4">
        <v>223.39</v>
      </c>
      <c r="I1710" t="str">
        <f>VLOOKUP(orders__17[[#This Row],[Customer_ID]],customers__2[#All],3,0)</f>
        <v>North</v>
      </c>
      <c r="J1710" t="str">
        <f>VLOOKUP(orders__17[[#This Row],[Customer_ID]],customers__2[#All],4,0)</f>
        <v>Corporate</v>
      </c>
      <c r="K1710" t="str">
        <f>VLOOKUP(orders__17[[#This Row],[Product_ID]],products[#All],3,0)</f>
        <v>Office Supplies</v>
      </c>
      <c r="L1710" s="1" t="str">
        <f>VLOOKUP(orders__17[[#This Row],[Product_ID]],products[#All],4,0)</f>
        <v>Paper</v>
      </c>
      <c r="M1710" s="1" t="str">
        <f>VLOOKUP(orders__17[[#This Row],[Order_ID]],returns[#All],2,0)</f>
        <v>No</v>
      </c>
    </row>
    <row r="1711" spans="1:13" x14ac:dyDescent="0.3">
      <c r="A1711" s="1" t="s">
        <v>2017</v>
      </c>
      <c r="B1711" s="2">
        <v>45027</v>
      </c>
      <c r="C1711" s="1" t="s">
        <v>106</v>
      </c>
      <c r="D1711" s="1" t="s">
        <v>78</v>
      </c>
      <c r="E1711">
        <v>5</v>
      </c>
      <c r="F1711" s="4">
        <v>1626.72</v>
      </c>
      <c r="G1711" s="3">
        <v>0.2</v>
      </c>
      <c r="H1711" s="4">
        <v>257.07</v>
      </c>
      <c r="I1711" t="str">
        <f>VLOOKUP(orders__17[[#This Row],[Customer_ID]],customers__2[#All],3,0)</f>
        <v>South</v>
      </c>
      <c r="J1711" t="str">
        <f>VLOOKUP(orders__17[[#This Row],[Customer_ID]],customers__2[#All],4,0)</f>
        <v>Consumer</v>
      </c>
      <c r="K1711" t="str">
        <f>VLOOKUP(orders__17[[#This Row],[Product_ID]],products[#All],3,0)</f>
        <v>Technology</v>
      </c>
      <c r="L1711" s="1" t="str">
        <f>VLOOKUP(orders__17[[#This Row],[Product_ID]],products[#All],4,0)</f>
        <v>Accessories</v>
      </c>
      <c r="M1711" s="1" t="str">
        <f>VLOOKUP(orders__17[[#This Row],[Order_ID]],returns[#All],2,0)</f>
        <v>Yes</v>
      </c>
    </row>
    <row r="1712" spans="1:13" x14ac:dyDescent="0.3">
      <c r="A1712" s="1" t="s">
        <v>2018</v>
      </c>
      <c r="B1712" s="2">
        <v>45068</v>
      </c>
      <c r="C1712" s="1" t="s">
        <v>559</v>
      </c>
      <c r="D1712" s="1" t="s">
        <v>19</v>
      </c>
      <c r="E1712">
        <v>2</v>
      </c>
      <c r="F1712" s="4">
        <v>1813.37</v>
      </c>
      <c r="G1712" s="3">
        <v>0.2</v>
      </c>
      <c r="H1712" s="4">
        <v>528.87</v>
      </c>
      <c r="I1712" t="str">
        <f>VLOOKUP(orders__17[[#This Row],[Customer_ID]],customers__2[#All],3,0)</f>
        <v>South</v>
      </c>
      <c r="J1712" t="str">
        <f>VLOOKUP(orders__17[[#This Row],[Customer_ID]],customers__2[#All],4,0)</f>
        <v>Consumer</v>
      </c>
      <c r="K1712" t="str">
        <f>VLOOKUP(orders__17[[#This Row],[Product_ID]],products[#All],3,0)</f>
        <v>Office Supplies</v>
      </c>
      <c r="L1712" s="1" t="str">
        <f>VLOOKUP(orders__17[[#This Row],[Product_ID]],products[#All],4,0)</f>
        <v>Pen</v>
      </c>
      <c r="M1712" s="1" t="str">
        <f>VLOOKUP(orders__17[[#This Row],[Order_ID]],returns[#All],2,0)</f>
        <v>Yes</v>
      </c>
    </row>
    <row r="1713" spans="1:13" x14ac:dyDescent="0.3">
      <c r="A1713" s="1" t="s">
        <v>2019</v>
      </c>
      <c r="B1713" s="2">
        <v>44714</v>
      </c>
      <c r="C1713" s="1" t="s">
        <v>158</v>
      </c>
      <c r="D1713" s="1" t="s">
        <v>679</v>
      </c>
      <c r="E1713">
        <v>4</v>
      </c>
      <c r="F1713" s="4">
        <v>486.6</v>
      </c>
      <c r="G1713" s="3">
        <v>0.3</v>
      </c>
      <c r="H1713" s="4">
        <v>79.34</v>
      </c>
      <c r="I1713" t="str">
        <f>VLOOKUP(orders__17[[#This Row],[Customer_ID]],customers__2[#All],3,0)</f>
        <v>West</v>
      </c>
      <c r="J1713" t="str">
        <f>VLOOKUP(orders__17[[#This Row],[Customer_ID]],customers__2[#All],4,0)</f>
        <v>Corporate</v>
      </c>
      <c r="K1713" t="str">
        <f>VLOOKUP(orders__17[[#This Row],[Product_ID]],products[#All],3,0)</f>
        <v>Office Supplies</v>
      </c>
      <c r="L1713" s="1" t="str">
        <f>VLOOKUP(orders__17[[#This Row],[Product_ID]],products[#All],4,0)</f>
        <v>Paper</v>
      </c>
      <c r="M1713" s="1" t="str">
        <f>VLOOKUP(orders__17[[#This Row],[Order_ID]],returns[#All],2,0)</f>
        <v>No</v>
      </c>
    </row>
    <row r="1714" spans="1:13" x14ac:dyDescent="0.3">
      <c r="A1714" s="1" t="s">
        <v>2020</v>
      </c>
      <c r="B1714" s="2">
        <v>44815</v>
      </c>
      <c r="C1714" s="1" t="s">
        <v>927</v>
      </c>
      <c r="D1714" s="1" t="s">
        <v>770</v>
      </c>
      <c r="E1714">
        <v>2</v>
      </c>
      <c r="F1714" s="4">
        <v>227.25</v>
      </c>
      <c r="G1714" s="3">
        <v>0.2</v>
      </c>
      <c r="H1714" s="4">
        <v>19.47</v>
      </c>
      <c r="I1714" t="str">
        <f>VLOOKUP(orders__17[[#This Row],[Customer_ID]],customers__2[#All],3,0)</f>
        <v>South</v>
      </c>
      <c r="J1714" t="str">
        <f>VLOOKUP(orders__17[[#This Row],[Customer_ID]],customers__2[#All],4,0)</f>
        <v>Corporate</v>
      </c>
      <c r="K1714" t="str">
        <f>VLOOKUP(orders__17[[#This Row],[Product_ID]],products[#All],3,0)</f>
        <v>Technology</v>
      </c>
      <c r="L1714" s="1" t="str">
        <f>VLOOKUP(orders__17[[#This Row],[Product_ID]],products[#All],4,0)</f>
        <v>Accessories</v>
      </c>
      <c r="M1714" s="1" t="str">
        <f>VLOOKUP(orders__17[[#This Row],[Order_ID]],returns[#All],2,0)</f>
        <v>No</v>
      </c>
    </row>
    <row r="1715" spans="1:13" x14ac:dyDescent="0.3">
      <c r="A1715" s="1" t="s">
        <v>2021</v>
      </c>
      <c r="B1715" s="2">
        <v>44791</v>
      </c>
      <c r="C1715" s="1" t="s">
        <v>217</v>
      </c>
      <c r="D1715" s="1" t="s">
        <v>211</v>
      </c>
      <c r="E1715">
        <v>2</v>
      </c>
      <c r="F1715" s="4">
        <v>1766.97</v>
      </c>
      <c r="G1715" s="3">
        <v>0</v>
      </c>
      <c r="H1715" s="4">
        <v>260.38</v>
      </c>
      <c r="I1715" t="str">
        <f>VLOOKUP(orders__17[[#This Row],[Customer_ID]],customers__2[#All],3,0)</f>
        <v>East</v>
      </c>
      <c r="J1715" t="str">
        <f>VLOOKUP(orders__17[[#This Row],[Customer_ID]],customers__2[#All],4,0)</f>
        <v>Corporate</v>
      </c>
      <c r="K1715" t="str">
        <f>VLOOKUP(orders__17[[#This Row],[Product_ID]],products[#All],3,0)</f>
        <v>Office Supplies</v>
      </c>
      <c r="L1715" s="1" t="str">
        <f>VLOOKUP(orders__17[[#This Row],[Product_ID]],products[#All],4,0)</f>
        <v>Binder</v>
      </c>
      <c r="M1715" s="1" t="str">
        <f>VLOOKUP(orders__17[[#This Row],[Order_ID]],returns[#All],2,0)</f>
        <v>No</v>
      </c>
    </row>
    <row r="1716" spans="1:13" x14ac:dyDescent="0.3">
      <c r="A1716" s="1" t="s">
        <v>2022</v>
      </c>
      <c r="B1716" s="2">
        <v>45143</v>
      </c>
      <c r="C1716" s="1" t="s">
        <v>491</v>
      </c>
      <c r="D1716" s="1" t="s">
        <v>234</v>
      </c>
      <c r="E1716">
        <v>4</v>
      </c>
      <c r="F1716" s="4">
        <v>839.87</v>
      </c>
      <c r="G1716" s="3">
        <v>0.1</v>
      </c>
      <c r="H1716" s="4">
        <v>241.82</v>
      </c>
      <c r="I1716" t="str">
        <f>VLOOKUP(orders__17[[#This Row],[Customer_ID]],customers__2[#All],3,0)</f>
        <v>West</v>
      </c>
      <c r="J1716" t="str">
        <f>VLOOKUP(orders__17[[#This Row],[Customer_ID]],customers__2[#All],4,0)</f>
        <v>Corporate</v>
      </c>
      <c r="K1716" t="str">
        <f>VLOOKUP(orders__17[[#This Row],[Product_ID]],products[#All],3,0)</f>
        <v>Furniture</v>
      </c>
      <c r="L1716" s="1" t="str">
        <f>VLOOKUP(orders__17[[#This Row],[Product_ID]],products[#All],4,0)</f>
        <v>Shelf</v>
      </c>
      <c r="M1716" s="1" t="str">
        <f>VLOOKUP(orders__17[[#This Row],[Order_ID]],returns[#All],2,0)</f>
        <v>Yes</v>
      </c>
    </row>
    <row r="1717" spans="1:13" x14ac:dyDescent="0.3">
      <c r="A1717" s="1" t="s">
        <v>2023</v>
      </c>
      <c r="B1717" s="2">
        <v>45376</v>
      </c>
      <c r="C1717" s="1" t="s">
        <v>66</v>
      </c>
      <c r="D1717" s="1" t="s">
        <v>660</v>
      </c>
      <c r="E1717">
        <v>2</v>
      </c>
      <c r="F1717" s="4">
        <v>1129.3499999999999</v>
      </c>
      <c r="G1717" s="3">
        <v>0.2</v>
      </c>
      <c r="H1717" s="4">
        <v>146.74</v>
      </c>
      <c r="I1717" t="str">
        <f>VLOOKUP(orders__17[[#This Row],[Customer_ID]],customers__2[#All],3,0)</f>
        <v>East</v>
      </c>
      <c r="J1717" t="str">
        <f>VLOOKUP(orders__17[[#This Row],[Customer_ID]],customers__2[#All],4,0)</f>
        <v>Corporate</v>
      </c>
      <c r="K1717" t="str">
        <f>VLOOKUP(orders__17[[#This Row],[Product_ID]],products[#All],3,0)</f>
        <v>Office Supplies</v>
      </c>
      <c r="L1717" s="1" t="str">
        <f>VLOOKUP(orders__17[[#This Row],[Product_ID]],products[#All],4,0)</f>
        <v>Storage</v>
      </c>
      <c r="M1717" s="1" t="str">
        <f>VLOOKUP(orders__17[[#This Row],[Order_ID]],returns[#All],2,0)</f>
        <v>Yes</v>
      </c>
    </row>
    <row r="1718" spans="1:13" x14ac:dyDescent="0.3">
      <c r="A1718" s="1" t="s">
        <v>2024</v>
      </c>
      <c r="B1718" s="2">
        <v>45258</v>
      </c>
      <c r="C1718" s="1" t="s">
        <v>347</v>
      </c>
      <c r="D1718" s="1" t="s">
        <v>397</v>
      </c>
      <c r="E1718">
        <v>3</v>
      </c>
      <c r="F1718" s="4">
        <v>1939.33</v>
      </c>
      <c r="G1718" s="3">
        <v>0</v>
      </c>
      <c r="H1718" s="4">
        <v>517.85</v>
      </c>
      <c r="I1718" t="str">
        <f>VLOOKUP(orders__17[[#This Row],[Customer_ID]],customers__2[#All],3,0)</f>
        <v>South</v>
      </c>
      <c r="J1718" t="str">
        <f>VLOOKUP(orders__17[[#This Row],[Customer_ID]],customers__2[#All],4,0)</f>
        <v>Home Office</v>
      </c>
      <c r="K1718" t="str">
        <f>VLOOKUP(orders__17[[#This Row],[Product_ID]],products[#All],3,0)</f>
        <v>Office Supplies</v>
      </c>
      <c r="L1718" s="1" t="str">
        <f>VLOOKUP(orders__17[[#This Row],[Product_ID]],products[#All],4,0)</f>
        <v>Pen</v>
      </c>
      <c r="M1718" s="1" t="str">
        <f>VLOOKUP(orders__17[[#This Row],[Order_ID]],returns[#All],2,0)</f>
        <v>No</v>
      </c>
    </row>
    <row r="1719" spans="1:13" x14ac:dyDescent="0.3">
      <c r="A1719" s="1" t="s">
        <v>2025</v>
      </c>
      <c r="B1719" s="2">
        <v>45342</v>
      </c>
      <c r="C1719" s="1" t="s">
        <v>547</v>
      </c>
      <c r="D1719" s="1" t="s">
        <v>132</v>
      </c>
      <c r="E1719">
        <v>3</v>
      </c>
      <c r="F1719" s="4">
        <v>226.47</v>
      </c>
      <c r="G1719" s="3">
        <v>0.2</v>
      </c>
      <c r="H1719" s="4">
        <v>61.22</v>
      </c>
      <c r="I1719" t="str">
        <f>VLOOKUP(orders__17[[#This Row],[Customer_ID]],customers__2[#All],3,0)</f>
        <v>West</v>
      </c>
      <c r="J1719" t="str">
        <f>VLOOKUP(orders__17[[#This Row],[Customer_ID]],customers__2[#All],4,0)</f>
        <v>Corporate</v>
      </c>
      <c r="K1719" t="str">
        <f>VLOOKUP(orders__17[[#This Row],[Product_ID]],products[#All],3,0)</f>
        <v>Furniture</v>
      </c>
      <c r="L1719" s="1" t="str">
        <f>VLOOKUP(orders__17[[#This Row],[Product_ID]],products[#All],4,0)</f>
        <v>Shelf</v>
      </c>
      <c r="M1719" s="1" t="str">
        <f>VLOOKUP(orders__17[[#This Row],[Order_ID]],returns[#All],2,0)</f>
        <v>No</v>
      </c>
    </row>
    <row r="1720" spans="1:13" x14ac:dyDescent="0.3">
      <c r="A1720" s="1" t="s">
        <v>2026</v>
      </c>
      <c r="B1720" s="2">
        <v>45324</v>
      </c>
      <c r="C1720" s="1" t="s">
        <v>662</v>
      </c>
      <c r="D1720" s="1" t="s">
        <v>180</v>
      </c>
      <c r="E1720">
        <v>2</v>
      </c>
      <c r="F1720" s="4">
        <v>1331.8</v>
      </c>
      <c r="G1720" s="3">
        <v>0.2</v>
      </c>
      <c r="H1720" s="4">
        <v>183.18</v>
      </c>
      <c r="I1720" t="str">
        <f>VLOOKUP(orders__17[[#This Row],[Customer_ID]],customers__2[#All],3,0)</f>
        <v>North</v>
      </c>
      <c r="J1720" t="str">
        <f>VLOOKUP(orders__17[[#This Row],[Customer_ID]],customers__2[#All],4,0)</f>
        <v>Corporate</v>
      </c>
      <c r="K1720" t="str">
        <f>VLOOKUP(orders__17[[#This Row],[Product_ID]],products[#All],3,0)</f>
        <v>Furniture</v>
      </c>
      <c r="L1720" s="1" t="str">
        <f>VLOOKUP(orders__17[[#This Row],[Product_ID]],products[#All],4,0)</f>
        <v>Chair</v>
      </c>
      <c r="M1720" s="1" t="str">
        <f>VLOOKUP(orders__17[[#This Row],[Order_ID]],returns[#All],2,0)</f>
        <v>No</v>
      </c>
    </row>
    <row r="1721" spans="1:13" x14ac:dyDescent="0.3">
      <c r="A1721" s="1" t="s">
        <v>2027</v>
      </c>
      <c r="B1721" s="2">
        <v>44598</v>
      </c>
      <c r="C1721" s="1" t="s">
        <v>203</v>
      </c>
      <c r="D1721" s="1" t="s">
        <v>258</v>
      </c>
      <c r="E1721">
        <v>5</v>
      </c>
      <c r="F1721" s="4">
        <v>240.8</v>
      </c>
      <c r="G1721" s="3">
        <v>0.2</v>
      </c>
      <c r="H1721" s="4">
        <v>17.05</v>
      </c>
      <c r="I1721" t="str">
        <f>VLOOKUP(orders__17[[#This Row],[Customer_ID]],customers__2[#All],3,0)</f>
        <v>West</v>
      </c>
      <c r="J1721" t="str">
        <f>VLOOKUP(orders__17[[#This Row],[Customer_ID]],customers__2[#All],4,0)</f>
        <v>Corporate</v>
      </c>
      <c r="K1721" t="str">
        <f>VLOOKUP(orders__17[[#This Row],[Product_ID]],products[#All],3,0)</f>
        <v>Technology</v>
      </c>
      <c r="L1721" s="1" t="str">
        <f>VLOOKUP(orders__17[[#This Row],[Product_ID]],products[#All],4,0)</f>
        <v>Phone</v>
      </c>
      <c r="M1721" s="1" t="str">
        <f>VLOOKUP(orders__17[[#This Row],[Order_ID]],returns[#All],2,0)</f>
        <v>No</v>
      </c>
    </row>
    <row r="1722" spans="1:13" x14ac:dyDescent="0.3">
      <c r="A1722" s="1" t="s">
        <v>2028</v>
      </c>
      <c r="B1722" s="2">
        <v>45283</v>
      </c>
      <c r="C1722" s="1" t="s">
        <v>657</v>
      </c>
      <c r="D1722" s="1" t="s">
        <v>188</v>
      </c>
      <c r="E1722">
        <v>4</v>
      </c>
      <c r="F1722" s="4">
        <v>813.39</v>
      </c>
      <c r="G1722" s="3">
        <v>0.2</v>
      </c>
      <c r="H1722" s="4">
        <v>188.01</v>
      </c>
      <c r="I1722" t="str">
        <f>VLOOKUP(orders__17[[#This Row],[Customer_ID]],customers__2[#All],3,0)</f>
        <v>East</v>
      </c>
      <c r="J1722" t="str">
        <f>VLOOKUP(orders__17[[#This Row],[Customer_ID]],customers__2[#All],4,0)</f>
        <v>Corporate</v>
      </c>
      <c r="K1722" t="str">
        <f>VLOOKUP(orders__17[[#This Row],[Product_ID]],products[#All],3,0)</f>
        <v>Technology</v>
      </c>
      <c r="L1722" s="1" t="str">
        <f>VLOOKUP(orders__17[[#This Row],[Product_ID]],products[#All],4,0)</f>
        <v>Laptop</v>
      </c>
      <c r="M1722" s="1" t="str">
        <f>VLOOKUP(orders__17[[#This Row],[Order_ID]],returns[#All],2,0)</f>
        <v>Yes</v>
      </c>
    </row>
    <row r="1723" spans="1:13" x14ac:dyDescent="0.3">
      <c r="A1723" s="1" t="s">
        <v>2029</v>
      </c>
      <c r="B1723" s="2">
        <v>45264</v>
      </c>
      <c r="C1723" s="1" t="s">
        <v>554</v>
      </c>
      <c r="D1723" s="1" t="s">
        <v>177</v>
      </c>
      <c r="E1723">
        <v>3</v>
      </c>
      <c r="F1723" s="4">
        <v>1627.25</v>
      </c>
      <c r="G1723" s="3">
        <v>0.2</v>
      </c>
      <c r="H1723" s="4">
        <v>208.09</v>
      </c>
      <c r="I1723" t="str">
        <f>VLOOKUP(orders__17[[#This Row],[Customer_ID]],customers__2[#All],3,0)</f>
        <v>East</v>
      </c>
      <c r="J1723" t="str">
        <f>VLOOKUP(orders__17[[#This Row],[Customer_ID]],customers__2[#All],4,0)</f>
        <v>Consumer</v>
      </c>
      <c r="K1723" t="str">
        <f>VLOOKUP(orders__17[[#This Row],[Product_ID]],products[#All],3,0)</f>
        <v>Furniture</v>
      </c>
      <c r="L1723" s="1" t="str">
        <f>VLOOKUP(orders__17[[#This Row],[Product_ID]],products[#All],4,0)</f>
        <v>Table</v>
      </c>
      <c r="M1723" s="1" t="str">
        <f>VLOOKUP(orders__17[[#This Row],[Order_ID]],returns[#All],2,0)</f>
        <v>No</v>
      </c>
    </row>
    <row r="1724" spans="1:13" x14ac:dyDescent="0.3">
      <c r="A1724" s="1" t="s">
        <v>2030</v>
      </c>
      <c r="B1724" s="2">
        <v>44711</v>
      </c>
      <c r="C1724" s="1" t="s">
        <v>709</v>
      </c>
      <c r="D1724" s="1" t="s">
        <v>218</v>
      </c>
      <c r="E1724">
        <v>5</v>
      </c>
      <c r="F1724" s="4">
        <v>923.6</v>
      </c>
      <c r="G1724" s="3">
        <v>0</v>
      </c>
      <c r="H1724" s="4">
        <v>226.96</v>
      </c>
      <c r="I1724" t="str">
        <f>VLOOKUP(orders__17[[#This Row],[Customer_ID]],customers__2[#All],3,0)</f>
        <v>East</v>
      </c>
      <c r="J1724" t="str">
        <f>VLOOKUP(orders__17[[#This Row],[Customer_ID]],customers__2[#All],4,0)</f>
        <v>Home Office</v>
      </c>
      <c r="K1724" t="str">
        <f>VLOOKUP(orders__17[[#This Row],[Product_ID]],products[#All],3,0)</f>
        <v>Office Supplies</v>
      </c>
      <c r="L1724" s="1" t="str">
        <f>VLOOKUP(orders__17[[#This Row],[Product_ID]],products[#All],4,0)</f>
        <v>Storage</v>
      </c>
      <c r="M1724" s="1" t="str">
        <f>VLOOKUP(orders__17[[#This Row],[Order_ID]],returns[#All],2,0)</f>
        <v>No</v>
      </c>
    </row>
    <row r="1725" spans="1:13" x14ac:dyDescent="0.3">
      <c r="A1725" s="1" t="s">
        <v>2031</v>
      </c>
      <c r="B1725" s="2">
        <v>44744</v>
      </c>
      <c r="C1725" s="1" t="s">
        <v>388</v>
      </c>
      <c r="D1725" s="1" t="s">
        <v>31</v>
      </c>
      <c r="E1725">
        <v>2</v>
      </c>
      <c r="F1725" s="4">
        <v>1994.65</v>
      </c>
      <c r="G1725" s="3">
        <v>0.1</v>
      </c>
      <c r="H1725" s="4">
        <v>320.47000000000003</v>
      </c>
      <c r="I1725" t="str">
        <f>VLOOKUP(orders__17[[#This Row],[Customer_ID]],customers__2[#All],3,0)</f>
        <v>East</v>
      </c>
      <c r="J1725" t="str">
        <f>VLOOKUP(orders__17[[#This Row],[Customer_ID]],customers__2[#All],4,0)</f>
        <v>Home Office</v>
      </c>
      <c r="K1725" t="str">
        <f>VLOOKUP(orders__17[[#This Row],[Product_ID]],products[#All],3,0)</f>
        <v>Furniture</v>
      </c>
      <c r="L1725" s="1" t="str">
        <f>VLOOKUP(orders__17[[#This Row],[Product_ID]],products[#All],4,0)</f>
        <v>Chair</v>
      </c>
      <c r="M1725" s="1" t="str">
        <f>VLOOKUP(orders__17[[#This Row],[Order_ID]],returns[#All],2,0)</f>
        <v>No</v>
      </c>
    </row>
    <row r="1726" spans="1:13" x14ac:dyDescent="0.3">
      <c r="A1726" s="1" t="s">
        <v>2032</v>
      </c>
      <c r="B1726" s="2">
        <v>44818</v>
      </c>
      <c r="C1726" s="1" t="s">
        <v>610</v>
      </c>
      <c r="D1726" s="1" t="s">
        <v>256</v>
      </c>
      <c r="E1726">
        <v>5</v>
      </c>
      <c r="F1726" s="4">
        <v>1162.21</v>
      </c>
      <c r="G1726" s="3">
        <v>0.1</v>
      </c>
      <c r="H1726" s="4">
        <v>199.11</v>
      </c>
      <c r="I1726" t="str">
        <f>VLOOKUP(orders__17[[#This Row],[Customer_ID]],customers__2[#All],3,0)</f>
        <v>West</v>
      </c>
      <c r="J1726" t="str">
        <f>VLOOKUP(orders__17[[#This Row],[Customer_ID]],customers__2[#All],4,0)</f>
        <v>Home Office</v>
      </c>
      <c r="K1726" t="str">
        <f>VLOOKUP(orders__17[[#This Row],[Product_ID]],products[#All],3,0)</f>
        <v>Office Supplies</v>
      </c>
      <c r="L1726" s="1" t="str">
        <f>VLOOKUP(orders__17[[#This Row],[Product_ID]],products[#All],4,0)</f>
        <v>Pen</v>
      </c>
      <c r="M1726" s="1" t="str">
        <f>VLOOKUP(orders__17[[#This Row],[Order_ID]],returns[#All],2,0)</f>
        <v>No</v>
      </c>
    </row>
    <row r="1727" spans="1:13" x14ac:dyDescent="0.3">
      <c r="A1727" s="1" t="s">
        <v>2033</v>
      </c>
      <c r="B1727" s="2">
        <v>45203</v>
      </c>
      <c r="C1727" s="1" t="s">
        <v>425</v>
      </c>
      <c r="D1727" s="1" t="s">
        <v>296</v>
      </c>
      <c r="E1727">
        <v>1</v>
      </c>
      <c r="F1727" s="4">
        <v>710.21</v>
      </c>
      <c r="G1727" s="3">
        <v>0.1</v>
      </c>
      <c r="H1727" s="4">
        <v>173.63</v>
      </c>
      <c r="I1727" t="str">
        <f>VLOOKUP(orders__17[[#This Row],[Customer_ID]],customers__2[#All],3,0)</f>
        <v>East</v>
      </c>
      <c r="J1727" t="str">
        <f>VLOOKUP(orders__17[[#This Row],[Customer_ID]],customers__2[#All],4,0)</f>
        <v>Home Office</v>
      </c>
      <c r="K1727" t="str">
        <f>VLOOKUP(orders__17[[#This Row],[Product_ID]],products[#All],3,0)</f>
        <v>Technology</v>
      </c>
      <c r="L1727" s="1" t="str">
        <f>VLOOKUP(orders__17[[#This Row],[Product_ID]],products[#All],4,0)</f>
        <v>Accessories</v>
      </c>
      <c r="M1727" s="1" t="str">
        <f>VLOOKUP(orders__17[[#This Row],[Order_ID]],returns[#All],2,0)</f>
        <v>No</v>
      </c>
    </row>
    <row r="1728" spans="1:13" x14ac:dyDescent="0.3">
      <c r="A1728" s="1" t="s">
        <v>2034</v>
      </c>
      <c r="B1728" s="2">
        <v>45194</v>
      </c>
      <c r="C1728" s="1" t="s">
        <v>402</v>
      </c>
      <c r="D1728" s="1" t="s">
        <v>59</v>
      </c>
      <c r="E1728">
        <v>3</v>
      </c>
      <c r="F1728" s="4">
        <v>518.21</v>
      </c>
      <c r="G1728" s="3">
        <v>0.1</v>
      </c>
      <c r="H1728" s="4">
        <v>75.45</v>
      </c>
      <c r="I1728" t="str">
        <f>VLOOKUP(orders__17[[#This Row],[Customer_ID]],customers__2[#All],3,0)</f>
        <v>West</v>
      </c>
      <c r="J1728" t="str">
        <f>VLOOKUP(orders__17[[#This Row],[Customer_ID]],customers__2[#All],4,0)</f>
        <v>Consumer</v>
      </c>
      <c r="K1728" t="str">
        <f>VLOOKUP(orders__17[[#This Row],[Product_ID]],products[#All],3,0)</f>
        <v>Office Supplies</v>
      </c>
      <c r="L1728" s="1" t="str">
        <f>VLOOKUP(orders__17[[#This Row],[Product_ID]],products[#All],4,0)</f>
        <v>Paper</v>
      </c>
      <c r="M1728" s="1" t="str">
        <f>VLOOKUP(orders__17[[#This Row],[Order_ID]],returns[#All],2,0)</f>
        <v>Yes</v>
      </c>
    </row>
    <row r="1729" spans="1:13" x14ac:dyDescent="0.3">
      <c r="A1729" s="1" t="s">
        <v>2035</v>
      </c>
      <c r="B1729" s="2">
        <v>45060</v>
      </c>
      <c r="C1729" s="1" t="s">
        <v>800</v>
      </c>
      <c r="D1729" s="1" t="s">
        <v>25</v>
      </c>
      <c r="E1729">
        <v>2</v>
      </c>
      <c r="F1729" s="4">
        <v>765.99</v>
      </c>
      <c r="G1729" s="3">
        <v>0</v>
      </c>
      <c r="H1729" s="4">
        <v>123.16</v>
      </c>
      <c r="I1729" t="str">
        <f>VLOOKUP(orders__17[[#This Row],[Customer_ID]],customers__2[#All],3,0)</f>
        <v>North</v>
      </c>
      <c r="J1729" t="str">
        <f>VLOOKUP(orders__17[[#This Row],[Customer_ID]],customers__2[#All],4,0)</f>
        <v>Corporate</v>
      </c>
      <c r="K1729" t="str">
        <f>VLOOKUP(orders__17[[#This Row],[Product_ID]],products[#All],3,0)</f>
        <v>Office Supplies</v>
      </c>
      <c r="L1729" s="1" t="str">
        <f>VLOOKUP(orders__17[[#This Row],[Product_ID]],products[#All],4,0)</f>
        <v>Paper</v>
      </c>
      <c r="M1729" s="1" t="str">
        <f>VLOOKUP(orders__17[[#This Row],[Order_ID]],returns[#All],2,0)</f>
        <v>No</v>
      </c>
    </row>
    <row r="1730" spans="1:13" x14ac:dyDescent="0.3">
      <c r="A1730" s="1" t="s">
        <v>2036</v>
      </c>
      <c r="B1730" s="2">
        <v>45082</v>
      </c>
      <c r="C1730" s="1" t="s">
        <v>167</v>
      </c>
      <c r="D1730" s="1" t="s">
        <v>156</v>
      </c>
      <c r="E1730">
        <v>4</v>
      </c>
      <c r="F1730" s="4">
        <v>807.81</v>
      </c>
      <c r="G1730" s="3">
        <v>0.3</v>
      </c>
      <c r="H1730" s="4">
        <v>116.36</v>
      </c>
      <c r="I1730" t="str">
        <f>VLOOKUP(orders__17[[#This Row],[Customer_ID]],customers__2[#All],3,0)</f>
        <v>East</v>
      </c>
      <c r="J1730" t="str">
        <f>VLOOKUP(orders__17[[#This Row],[Customer_ID]],customers__2[#All],4,0)</f>
        <v>Corporate</v>
      </c>
      <c r="K1730" t="str">
        <f>VLOOKUP(orders__17[[#This Row],[Product_ID]],products[#All],3,0)</f>
        <v>Furniture</v>
      </c>
      <c r="L1730" s="1" t="str">
        <f>VLOOKUP(orders__17[[#This Row],[Product_ID]],products[#All],4,0)</f>
        <v>Desk</v>
      </c>
      <c r="M1730" s="1" t="str">
        <f>VLOOKUP(orders__17[[#This Row],[Order_ID]],returns[#All],2,0)</f>
        <v>Yes</v>
      </c>
    </row>
    <row r="1731" spans="1:13" x14ac:dyDescent="0.3">
      <c r="A1731" s="1" t="s">
        <v>2037</v>
      </c>
      <c r="B1731" s="2">
        <v>44860</v>
      </c>
      <c r="C1731" s="1" t="s">
        <v>946</v>
      </c>
      <c r="D1731" s="1" t="s">
        <v>249</v>
      </c>
      <c r="E1731">
        <v>2</v>
      </c>
      <c r="F1731" s="4">
        <v>230.56</v>
      </c>
      <c r="G1731" s="3">
        <v>0.3</v>
      </c>
      <c r="H1731" s="4">
        <v>32.700000000000003</v>
      </c>
      <c r="I1731" t="str">
        <f>VLOOKUP(orders__17[[#This Row],[Customer_ID]],customers__2[#All],3,0)</f>
        <v>South</v>
      </c>
      <c r="J1731" t="str">
        <f>VLOOKUP(orders__17[[#This Row],[Customer_ID]],customers__2[#All],4,0)</f>
        <v>Corporate</v>
      </c>
      <c r="K1731" t="str">
        <f>VLOOKUP(orders__17[[#This Row],[Product_ID]],products[#All],3,0)</f>
        <v>Office Supplies</v>
      </c>
      <c r="L1731" s="1" t="str">
        <f>VLOOKUP(orders__17[[#This Row],[Product_ID]],products[#All],4,0)</f>
        <v>Paper</v>
      </c>
      <c r="M1731" s="1" t="str">
        <f>VLOOKUP(orders__17[[#This Row],[Order_ID]],returns[#All],2,0)</f>
        <v>No</v>
      </c>
    </row>
    <row r="1732" spans="1:13" x14ac:dyDescent="0.3">
      <c r="A1732" s="1" t="s">
        <v>2038</v>
      </c>
      <c r="B1732" s="2">
        <v>44874</v>
      </c>
      <c r="C1732" s="1" t="s">
        <v>447</v>
      </c>
      <c r="D1732" s="1" t="s">
        <v>304</v>
      </c>
      <c r="E1732">
        <v>4</v>
      </c>
      <c r="F1732" s="4">
        <v>802.19</v>
      </c>
      <c r="G1732" s="3">
        <v>0</v>
      </c>
      <c r="H1732" s="4">
        <v>145.59</v>
      </c>
      <c r="I1732" t="str">
        <f>VLOOKUP(orders__17[[#This Row],[Customer_ID]],customers__2[#All],3,0)</f>
        <v>West</v>
      </c>
      <c r="J1732" t="str">
        <f>VLOOKUP(orders__17[[#This Row],[Customer_ID]],customers__2[#All],4,0)</f>
        <v>Corporate</v>
      </c>
      <c r="K1732" t="str">
        <f>VLOOKUP(orders__17[[#This Row],[Product_ID]],products[#All],3,0)</f>
        <v>Technology</v>
      </c>
      <c r="L1732" s="1" t="str">
        <f>VLOOKUP(orders__17[[#This Row],[Product_ID]],products[#All],4,0)</f>
        <v>Accessories</v>
      </c>
      <c r="M1732" s="1" t="str">
        <f>VLOOKUP(orders__17[[#This Row],[Order_ID]],returns[#All],2,0)</f>
        <v>No</v>
      </c>
    </row>
    <row r="1733" spans="1:13" x14ac:dyDescent="0.3">
      <c r="A1733" s="1" t="s">
        <v>2039</v>
      </c>
      <c r="B1733" s="2">
        <v>44734</v>
      </c>
      <c r="C1733" s="1" t="s">
        <v>319</v>
      </c>
      <c r="D1733" s="1" t="s">
        <v>323</v>
      </c>
      <c r="E1733">
        <v>2</v>
      </c>
      <c r="F1733" s="4">
        <v>982.05</v>
      </c>
      <c r="G1733" s="3">
        <v>0</v>
      </c>
      <c r="H1733" s="4">
        <v>247.67</v>
      </c>
      <c r="I1733" t="str">
        <f>VLOOKUP(orders__17[[#This Row],[Customer_ID]],customers__2[#All],3,0)</f>
        <v>East</v>
      </c>
      <c r="J1733" t="str">
        <f>VLOOKUP(orders__17[[#This Row],[Customer_ID]],customers__2[#All],4,0)</f>
        <v>Consumer</v>
      </c>
      <c r="K1733" t="str">
        <f>VLOOKUP(orders__17[[#This Row],[Product_ID]],products[#All],3,0)</f>
        <v>Technology</v>
      </c>
      <c r="L1733" s="1" t="str">
        <f>VLOOKUP(orders__17[[#This Row],[Product_ID]],products[#All],4,0)</f>
        <v>Tablet</v>
      </c>
      <c r="M1733" s="1" t="str">
        <f>VLOOKUP(orders__17[[#This Row],[Order_ID]],returns[#All],2,0)</f>
        <v>No</v>
      </c>
    </row>
    <row r="1734" spans="1:13" x14ac:dyDescent="0.3">
      <c r="A1734" s="1" t="s">
        <v>2040</v>
      </c>
      <c r="B1734" s="2">
        <v>45019</v>
      </c>
      <c r="C1734" s="1" t="s">
        <v>834</v>
      </c>
      <c r="D1734" s="1" t="s">
        <v>660</v>
      </c>
      <c r="E1734">
        <v>5</v>
      </c>
      <c r="F1734" s="4">
        <v>1473.2</v>
      </c>
      <c r="G1734" s="3">
        <v>0.2</v>
      </c>
      <c r="H1734" s="4">
        <v>206.9</v>
      </c>
      <c r="I1734" t="str">
        <f>VLOOKUP(orders__17[[#This Row],[Customer_ID]],customers__2[#All],3,0)</f>
        <v>South</v>
      </c>
      <c r="J1734" t="str">
        <f>VLOOKUP(orders__17[[#This Row],[Customer_ID]],customers__2[#All],4,0)</f>
        <v>Consumer</v>
      </c>
      <c r="K1734" t="str">
        <f>VLOOKUP(orders__17[[#This Row],[Product_ID]],products[#All],3,0)</f>
        <v>Office Supplies</v>
      </c>
      <c r="L1734" s="1" t="str">
        <f>VLOOKUP(orders__17[[#This Row],[Product_ID]],products[#All],4,0)</f>
        <v>Storage</v>
      </c>
      <c r="M1734" s="1" t="str">
        <f>VLOOKUP(orders__17[[#This Row],[Order_ID]],returns[#All],2,0)</f>
        <v>No</v>
      </c>
    </row>
    <row r="1735" spans="1:13" x14ac:dyDescent="0.3">
      <c r="A1735" s="1" t="s">
        <v>2041</v>
      </c>
      <c r="B1735" s="2">
        <v>44696</v>
      </c>
      <c r="C1735" s="1" t="s">
        <v>350</v>
      </c>
      <c r="D1735" s="1" t="s">
        <v>170</v>
      </c>
      <c r="E1735">
        <v>5</v>
      </c>
      <c r="F1735" s="4">
        <v>1347.79</v>
      </c>
      <c r="G1735" s="3">
        <v>0.2</v>
      </c>
      <c r="H1735" s="4">
        <v>244.04</v>
      </c>
      <c r="I1735" t="str">
        <f>VLOOKUP(orders__17[[#This Row],[Customer_ID]],customers__2[#All],3,0)</f>
        <v>West</v>
      </c>
      <c r="J1735" t="str">
        <f>VLOOKUP(orders__17[[#This Row],[Customer_ID]],customers__2[#All],4,0)</f>
        <v>Corporate</v>
      </c>
      <c r="K1735" t="str">
        <f>VLOOKUP(orders__17[[#This Row],[Product_ID]],products[#All],3,0)</f>
        <v>Furniture</v>
      </c>
      <c r="L1735" s="1" t="str">
        <f>VLOOKUP(orders__17[[#This Row],[Product_ID]],products[#All],4,0)</f>
        <v>Shelf</v>
      </c>
      <c r="M1735" s="1" t="str">
        <f>VLOOKUP(orders__17[[#This Row],[Order_ID]],returns[#All],2,0)</f>
        <v>No</v>
      </c>
    </row>
    <row r="1736" spans="1:13" x14ac:dyDescent="0.3">
      <c r="A1736" s="1" t="s">
        <v>2042</v>
      </c>
      <c r="B1736" s="2">
        <v>44933</v>
      </c>
      <c r="C1736" s="1" t="s">
        <v>145</v>
      </c>
      <c r="D1736" s="1" t="s">
        <v>43</v>
      </c>
      <c r="E1736">
        <v>5</v>
      </c>
      <c r="F1736" s="4">
        <v>1446.65</v>
      </c>
      <c r="G1736" s="3">
        <v>0.2</v>
      </c>
      <c r="H1736" s="4">
        <v>314.91000000000003</v>
      </c>
      <c r="I1736" t="str">
        <f>VLOOKUP(orders__17[[#This Row],[Customer_ID]],customers__2[#All],3,0)</f>
        <v>West</v>
      </c>
      <c r="J1736" t="str">
        <f>VLOOKUP(orders__17[[#This Row],[Customer_ID]],customers__2[#All],4,0)</f>
        <v>Corporate</v>
      </c>
      <c r="K1736" t="str">
        <f>VLOOKUP(orders__17[[#This Row],[Product_ID]],products[#All],3,0)</f>
        <v>Technology</v>
      </c>
      <c r="L1736" s="1" t="str">
        <f>VLOOKUP(orders__17[[#This Row],[Product_ID]],products[#All],4,0)</f>
        <v>Tablet</v>
      </c>
      <c r="M1736" s="1" t="str">
        <f>VLOOKUP(orders__17[[#This Row],[Order_ID]],returns[#All],2,0)</f>
        <v>Yes</v>
      </c>
    </row>
    <row r="1737" spans="1:13" x14ac:dyDescent="0.3">
      <c r="A1737" s="1" t="s">
        <v>2043</v>
      </c>
      <c r="B1737" s="2">
        <v>44904</v>
      </c>
      <c r="C1737" s="1" t="s">
        <v>420</v>
      </c>
      <c r="D1737" s="1" t="s">
        <v>25</v>
      </c>
      <c r="E1737">
        <v>1</v>
      </c>
      <c r="F1737" s="4">
        <v>115.89</v>
      </c>
      <c r="G1737" s="3">
        <v>0.1</v>
      </c>
      <c r="H1737" s="4">
        <v>13.6</v>
      </c>
      <c r="I1737" t="str">
        <f>VLOOKUP(orders__17[[#This Row],[Customer_ID]],customers__2[#All],3,0)</f>
        <v>West</v>
      </c>
      <c r="J1737" t="str">
        <f>VLOOKUP(orders__17[[#This Row],[Customer_ID]],customers__2[#All],4,0)</f>
        <v>Home Office</v>
      </c>
      <c r="K1737" t="str">
        <f>VLOOKUP(orders__17[[#This Row],[Product_ID]],products[#All],3,0)</f>
        <v>Office Supplies</v>
      </c>
      <c r="L1737" s="1" t="str">
        <f>VLOOKUP(orders__17[[#This Row],[Product_ID]],products[#All],4,0)</f>
        <v>Paper</v>
      </c>
      <c r="M1737" s="1" t="str">
        <f>VLOOKUP(orders__17[[#This Row],[Order_ID]],returns[#All],2,0)</f>
        <v>No</v>
      </c>
    </row>
    <row r="1738" spans="1:13" x14ac:dyDescent="0.3">
      <c r="A1738" s="1" t="s">
        <v>2044</v>
      </c>
      <c r="B1738" s="2">
        <v>44921</v>
      </c>
      <c r="C1738" s="1" t="s">
        <v>308</v>
      </c>
      <c r="D1738" s="1" t="s">
        <v>249</v>
      </c>
      <c r="E1738">
        <v>4</v>
      </c>
      <c r="F1738" s="4">
        <v>513.57000000000005</v>
      </c>
      <c r="G1738" s="3">
        <v>0.2</v>
      </c>
      <c r="H1738" s="4">
        <v>61.31</v>
      </c>
      <c r="I1738" t="str">
        <f>VLOOKUP(orders__17[[#This Row],[Customer_ID]],customers__2[#All],3,0)</f>
        <v>North</v>
      </c>
      <c r="J1738" t="str">
        <f>VLOOKUP(orders__17[[#This Row],[Customer_ID]],customers__2[#All],4,0)</f>
        <v>Home Office</v>
      </c>
      <c r="K1738" t="str">
        <f>VLOOKUP(orders__17[[#This Row],[Product_ID]],products[#All],3,0)</f>
        <v>Office Supplies</v>
      </c>
      <c r="L1738" s="1" t="str">
        <f>VLOOKUP(orders__17[[#This Row],[Product_ID]],products[#All],4,0)</f>
        <v>Paper</v>
      </c>
      <c r="M1738" s="1" t="str">
        <f>VLOOKUP(orders__17[[#This Row],[Order_ID]],returns[#All],2,0)</f>
        <v>No</v>
      </c>
    </row>
    <row r="1739" spans="1:13" x14ac:dyDescent="0.3">
      <c r="A1739" s="1" t="s">
        <v>2045</v>
      </c>
      <c r="B1739" s="2">
        <v>44654</v>
      </c>
      <c r="C1739" s="1" t="s">
        <v>526</v>
      </c>
      <c r="D1739" s="1" t="s">
        <v>392</v>
      </c>
      <c r="E1739">
        <v>5</v>
      </c>
      <c r="F1739" s="4">
        <v>1357.2</v>
      </c>
      <c r="G1739" s="3">
        <v>0.3</v>
      </c>
      <c r="H1739" s="4">
        <v>384.57</v>
      </c>
      <c r="I1739" t="str">
        <f>VLOOKUP(orders__17[[#This Row],[Customer_ID]],customers__2[#All],3,0)</f>
        <v>West</v>
      </c>
      <c r="J1739" t="str">
        <f>VLOOKUP(orders__17[[#This Row],[Customer_ID]],customers__2[#All],4,0)</f>
        <v>Corporate</v>
      </c>
      <c r="K1739" t="str">
        <f>VLOOKUP(orders__17[[#This Row],[Product_ID]],products[#All],3,0)</f>
        <v>Furniture</v>
      </c>
      <c r="L1739" s="1" t="str">
        <f>VLOOKUP(orders__17[[#This Row],[Product_ID]],products[#All],4,0)</f>
        <v>Desk</v>
      </c>
      <c r="M1739" s="1" t="str">
        <f>VLOOKUP(orders__17[[#This Row],[Order_ID]],returns[#All],2,0)</f>
        <v>No</v>
      </c>
    </row>
    <row r="1740" spans="1:13" x14ac:dyDescent="0.3">
      <c r="A1740" s="1" t="s">
        <v>2046</v>
      </c>
      <c r="B1740" s="2">
        <v>45161</v>
      </c>
      <c r="C1740" s="1" t="s">
        <v>285</v>
      </c>
      <c r="D1740" s="1" t="s">
        <v>369</v>
      </c>
      <c r="E1740">
        <v>1</v>
      </c>
      <c r="F1740" s="4">
        <v>1019.58</v>
      </c>
      <c r="G1740" s="3">
        <v>0.1</v>
      </c>
      <c r="H1740" s="4">
        <v>235.4</v>
      </c>
      <c r="I1740" t="str">
        <f>VLOOKUP(orders__17[[#This Row],[Customer_ID]],customers__2[#All],3,0)</f>
        <v>South</v>
      </c>
      <c r="J1740" t="str">
        <f>VLOOKUP(orders__17[[#This Row],[Customer_ID]],customers__2[#All],4,0)</f>
        <v>Corporate</v>
      </c>
      <c r="K1740" t="str">
        <f>VLOOKUP(orders__17[[#This Row],[Product_ID]],products[#All],3,0)</f>
        <v>Technology</v>
      </c>
      <c r="L1740" s="1" t="str">
        <f>VLOOKUP(orders__17[[#This Row],[Product_ID]],products[#All],4,0)</f>
        <v>Phone</v>
      </c>
      <c r="M1740" s="1" t="str">
        <f>VLOOKUP(orders__17[[#This Row],[Order_ID]],returns[#All],2,0)</f>
        <v>No</v>
      </c>
    </row>
    <row r="1741" spans="1:13" x14ac:dyDescent="0.3">
      <c r="A1741" s="1" t="s">
        <v>2047</v>
      </c>
      <c r="B1741" s="2">
        <v>44783</v>
      </c>
      <c r="C1741" s="1" t="s">
        <v>292</v>
      </c>
      <c r="D1741" s="1" t="s">
        <v>263</v>
      </c>
      <c r="E1741">
        <v>4</v>
      </c>
      <c r="F1741" s="4">
        <v>110.1</v>
      </c>
      <c r="G1741" s="3">
        <v>0.2</v>
      </c>
      <c r="H1741" s="4">
        <v>21.39</v>
      </c>
      <c r="I1741" t="str">
        <f>VLOOKUP(orders__17[[#This Row],[Customer_ID]],customers__2[#All],3,0)</f>
        <v>North</v>
      </c>
      <c r="J1741" t="str">
        <f>VLOOKUP(orders__17[[#This Row],[Customer_ID]],customers__2[#All],4,0)</f>
        <v>Consumer</v>
      </c>
      <c r="K1741" t="str">
        <f>VLOOKUP(orders__17[[#This Row],[Product_ID]],products[#All],3,0)</f>
        <v>Office Supplies</v>
      </c>
      <c r="L1741" s="1" t="str">
        <f>VLOOKUP(orders__17[[#This Row],[Product_ID]],products[#All],4,0)</f>
        <v>Storage</v>
      </c>
      <c r="M1741" s="1" t="str">
        <f>VLOOKUP(orders__17[[#This Row],[Order_ID]],returns[#All],2,0)</f>
        <v>No</v>
      </c>
    </row>
    <row r="1742" spans="1:13" x14ac:dyDescent="0.3">
      <c r="A1742" s="1" t="s">
        <v>2048</v>
      </c>
      <c r="B1742" s="2">
        <v>45410</v>
      </c>
      <c r="C1742" s="1" t="s">
        <v>786</v>
      </c>
      <c r="D1742" s="1" t="s">
        <v>226</v>
      </c>
      <c r="E1742">
        <v>2</v>
      </c>
      <c r="F1742" s="4">
        <v>1628.54</v>
      </c>
      <c r="G1742" s="3">
        <v>0.1</v>
      </c>
      <c r="H1742" s="4">
        <v>345.14</v>
      </c>
      <c r="I1742" t="str">
        <f>VLOOKUP(orders__17[[#This Row],[Customer_ID]],customers__2[#All],3,0)</f>
        <v>East</v>
      </c>
      <c r="J1742" t="str">
        <f>VLOOKUP(orders__17[[#This Row],[Customer_ID]],customers__2[#All],4,0)</f>
        <v>Corporate</v>
      </c>
      <c r="K1742" t="str">
        <f>VLOOKUP(orders__17[[#This Row],[Product_ID]],products[#All],3,0)</f>
        <v>Technology</v>
      </c>
      <c r="L1742" s="1" t="str">
        <f>VLOOKUP(orders__17[[#This Row],[Product_ID]],products[#All],4,0)</f>
        <v>Laptop</v>
      </c>
      <c r="M1742" s="1" t="str">
        <f>VLOOKUP(orders__17[[#This Row],[Order_ID]],returns[#All],2,0)</f>
        <v>No</v>
      </c>
    </row>
    <row r="1743" spans="1:13" x14ac:dyDescent="0.3">
      <c r="A1743" s="1" t="s">
        <v>2049</v>
      </c>
      <c r="B1743" s="2">
        <v>44784</v>
      </c>
      <c r="C1743" s="1" t="s">
        <v>425</v>
      </c>
      <c r="D1743" s="1" t="s">
        <v>127</v>
      </c>
      <c r="E1743">
        <v>1</v>
      </c>
      <c r="F1743" s="4">
        <v>1568.34</v>
      </c>
      <c r="G1743" s="3">
        <v>0.3</v>
      </c>
      <c r="H1743" s="4">
        <v>89.9</v>
      </c>
      <c r="I1743" t="str">
        <f>VLOOKUP(orders__17[[#This Row],[Customer_ID]],customers__2[#All],3,0)</f>
        <v>East</v>
      </c>
      <c r="J1743" t="str">
        <f>VLOOKUP(orders__17[[#This Row],[Customer_ID]],customers__2[#All],4,0)</f>
        <v>Home Office</v>
      </c>
      <c r="K1743" t="str">
        <f>VLOOKUP(orders__17[[#This Row],[Product_ID]],products[#All],3,0)</f>
        <v>Furniture</v>
      </c>
      <c r="L1743" s="1" t="str">
        <f>VLOOKUP(orders__17[[#This Row],[Product_ID]],products[#All],4,0)</f>
        <v>Chair</v>
      </c>
      <c r="M1743" s="1" t="str">
        <f>VLOOKUP(orders__17[[#This Row],[Order_ID]],returns[#All],2,0)</f>
        <v>No</v>
      </c>
    </row>
    <row r="1744" spans="1:13" x14ac:dyDescent="0.3">
      <c r="A1744" s="1" t="s">
        <v>2050</v>
      </c>
      <c r="B1744" s="2">
        <v>44850</v>
      </c>
      <c r="C1744" s="1" t="s">
        <v>252</v>
      </c>
      <c r="D1744" s="1" t="s">
        <v>97</v>
      </c>
      <c r="E1744">
        <v>3</v>
      </c>
      <c r="F1744" s="4">
        <v>1142</v>
      </c>
      <c r="G1744" s="3">
        <v>0.2</v>
      </c>
      <c r="H1744" s="4">
        <v>233.57</v>
      </c>
      <c r="I1744" t="str">
        <f>VLOOKUP(orders__17[[#This Row],[Customer_ID]],customers__2[#All],3,0)</f>
        <v>North</v>
      </c>
      <c r="J1744" t="str">
        <f>VLOOKUP(orders__17[[#This Row],[Customer_ID]],customers__2[#All],4,0)</f>
        <v>Home Office</v>
      </c>
      <c r="K1744" t="str">
        <f>VLOOKUP(orders__17[[#This Row],[Product_ID]],products[#All],3,0)</f>
        <v>Technology</v>
      </c>
      <c r="L1744" s="1" t="str">
        <f>VLOOKUP(orders__17[[#This Row],[Product_ID]],products[#All],4,0)</f>
        <v>Tablet</v>
      </c>
      <c r="M1744" s="1" t="str">
        <f>VLOOKUP(orders__17[[#This Row],[Order_ID]],returns[#All],2,0)</f>
        <v>Yes</v>
      </c>
    </row>
    <row r="1745" spans="1:13" x14ac:dyDescent="0.3">
      <c r="A1745" s="1" t="s">
        <v>2051</v>
      </c>
      <c r="B1745" s="2">
        <v>44729</v>
      </c>
      <c r="C1745" s="1" t="s">
        <v>124</v>
      </c>
      <c r="D1745" s="1" t="s">
        <v>10</v>
      </c>
      <c r="E1745">
        <v>1</v>
      </c>
      <c r="F1745" s="4">
        <v>226.28</v>
      </c>
      <c r="G1745" s="3">
        <v>0.3</v>
      </c>
      <c r="H1745" s="4">
        <v>40.14</v>
      </c>
      <c r="I1745" t="str">
        <f>VLOOKUP(orders__17[[#This Row],[Customer_ID]],customers__2[#All],3,0)</f>
        <v>North</v>
      </c>
      <c r="J1745" t="str">
        <f>VLOOKUP(orders__17[[#This Row],[Customer_ID]],customers__2[#All],4,0)</f>
        <v>Consumer</v>
      </c>
      <c r="K1745" t="str">
        <f>VLOOKUP(orders__17[[#This Row],[Product_ID]],products[#All],3,0)</f>
        <v>Technology</v>
      </c>
      <c r="L1745" s="1" t="str">
        <f>VLOOKUP(orders__17[[#This Row],[Product_ID]],products[#All],4,0)</f>
        <v>Tablet</v>
      </c>
      <c r="M1745" s="1" t="str">
        <f>VLOOKUP(orders__17[[#This Row],[Order_ID]],returns[#All],2,0)</f>
        <v>No</v>
      </c>
    </row>
    <row r="1746" spans="1:13" x14ac:dyDescent="0.3">
      <c r="A1746" s="1" t="s">
        <v>2052</v>
      </c>
      <c r="B1746" s="2">
        <v>44577</v>
      </c>
      <c r="C1746" s="1" t="s">
        <v>434</v>
      </c>
      <c r="D1746" s="1" t="s">
        <v>269</v>
      </c>
      <c r="E1746">
        <v>1</v>
      </c>
      <c r="F1746" s="4">
        <v>1556.38</v>
      </c>
      <c r="G1746" s="3">
        <v>0.3</v>
      </c>
      <c r="H1746" s="4">
        <v>290.17</v>
      </c>
      <c r="I1746" t="str">
        <f>VLOOKUP(orders__17[[#This Row],[Customer_ID]],customers__2[#All],3,0)</f>
        <v>North</v>
      </c>
      <c r="J1746" t="str">
        <f>VLOOKUP(orders__17[[#This Row],[Customer_ID]],customers__2[#All],4,0)</f>
        <v>Corporate</v>
      </c>
      <c r="K1746" t="str">
        <f>VLOOKUP(orders__17[[#This Row],[Product_ID]],products[#All],3,0)</f>
        <v>Office Supplies</v>
      </c>
      <c r="L1746" s="1" t="str">
        <f>VLOOKUP(orders__17[[#This Row],[Product_ID]],products[#All],4,0)</f>
        <v>Pen</v>
      </c>
      <c r="M1746" s="1" t="str">
        <f>VLOOKUP(orders__17[[#This Row],[Order_ID]],returns[#All],2,0)</f>
        <v>No</v>
      </c>
    </row>
    <row r="1747" spans="1:13" x14ac:dyDescent="0.3">
      <c r="A1747" s="1" t="s">
        <v>2053</v>
      </c>
      <c r="B1747" s="2">
        <v>44967</v>
      </c>
      <c r="C1747" s="1" t="s">
        <v>271</v>
      </c>
      <c r="D1747" s="1" t="s">
        <v>242</v>
      </c>
      <c r="E1747">
        <v>4</v>
      </c>
      <c r="F1747" s="4">
        <v>1209.06</v>
      </c>
      <c r="G1747" s="3">
        <v>0.3</v>
      </c>
      <c r="H1747" s="4">
        <v>169.09</v>
      </c>
      <c r="I1747" t="str">
        <f>VLOOKUP(orders__17[[#This Row],[Customer_ID]],customers__2[#All],3,0)</f>
        <v>East</v>
      </c>
      <c r="J1747" t="str">
        <f>VLOOKUP(orders__17[[#This Row],[Customer_ID]],customers__2[#All],4,0)</f>
        <v>Corporate</v>
      </c>
      <c r="K1747" t="str">
        <f>VLOOKUP(orders__17[[#This Row],[Product_ID]],products[#All],3,0)</f>
        <v>Technology</v>
      </c>
      <c r="L1747" s="1" t="str">
        <f>VLOOKUP(orders__17[[#This Row],[Product_ID]],products[#All],4,0)</f>
        <v>Phone</v>
      </c>
      <c r="M1747" s="1" t="str">
        <f>VLOOKUP(orders__17[[#This Row],[Order_ID]],returns[#All],2,0)</f>
        <v>No</v>
      </c>
    </row>
    <row r="1748" spans="1:13" x14ac:dyDescent="0.3">
      <c r="A1748" s="1" t="s">
        <v>2054</v>
      </c>
      <c r="B1748" s="2">
        <v>44910</v>
      </c>
      <c r="C1748" s="1" t="s">
        <v>99</v>
      </c>
      <c r="D1748" s="1" t="s">
        <v>111</v>
      </c>
      <c r="E1748">
        <v>2</v>
      </c>
      <c r="F1748" s="4">
        <v>1585.72</v>
      </c>
      <c r="G1748" s="3">
        <v>0.2</v>
      </c>
      <c r="H1748" s="4">
        <v>111.58</v>
      </c>
      <c r="I1748" t="str">
        <f>VLOOKUP(orders__17[[#This Row],[Customer_ID]],customers__2[#All],3,0)</f>
        <v>East</v>
      </c>
      <c r="J1748" t="str">
        <f>VLOOKUP(orders__17[[#This Row],[Customer_ID]],customers__2[#All],4,0)</f>
        <v>Corporate</v>
      </c>
      <c r="K1748" t="str">
        <f>VLOOKUP(orders__17[[#This Row],[Product_ID]],products[#All],3,0)</f>
        <v>Technology</v>
      </c>
      <c r="L1748" s="1" t="str">
        <f>VLOOKUP(orders__17[[#This Row],[Product_ID]],products[#All],4,0)</f>
        <v>Accessories</v>
      </c>
      <c r="M1748" s="1" t="str">
        <f>VLOOKUP(orders__17[[#This Row],[Order_ID]],returns[#All],2,0)</f>
        <v>Yes</v>
      </c>
    </row>
    <row r="1749" spans="1:13" x14ac:dyDescent="0.3">
      <c r="A1749" s="1" t="s">
        <v>2055</v>
      </c>
      <c r="B1749" s="2">
        <v>45058</v>
      </c>
      <c r="C1749" s="1" t="s">
        <v>308</v>
      </c>
      <c r="D1749" s="1" t="s">
        <v>455</v>
      </c>
      <c r="E1749">
        <v>3</v>
      </c>
      <c r="F1749" s="4">
        <v>1528.32</v>
      </c>
      <c r="G1749" s="3">
        <v>0</v>
      </c>
      <c r="H1749" s="4">
        <v>150.29</v>
      </c>
      <c r="I1749" t="str">
        <f>VLOOKUP(orders__17[[#This Row],[Customer_ID]],customers__2[#All],3,0)</f>
        <v>North</v>
      </c>
      <c r="J1749" t="str">
        <f>VLOOKUP(orders__17[[#This Row],[Customer_ID]],customers__2[#All],4,0)</f>
        <v>Home Office</v>
      </c>
      <c r="K1749" t="str">
        <f>VLOOKUP(orders__17[[#This Row],[Product_ID]],products[#All],3,0)</f>
        <v>Furniture</v>
      </c>
      <c r="L1749" s="1" t="str">
        <f>VLOOKUP(orders__17[[#This Row],[Product_ID]],products[#All],4,0)</f>
        <v>Shelf</v>
      </c>
      <c r="M1749" s="1" t="str">
        <f>VLOOKUP(orders__17[[#This Row],[Order_ID]],returns[#All],2,0)</f>
        <v>No</v>
      </c>
    </row>
    <row r="1750" spans="1:13" x14ac:dyDescent="0.3">
      <c r="A1750" s="1" t="s">
        <v>2056</v>
      </c>
      <c r="B1750" s="2">
        <v>44905</v>
      </c>
      <c r="C1750" s="1" t="s">
        <v>271</v>
      </c>
      <c r="D1750" s="1" t="s">
        <v>141</v>
      </c>
      <c r="E1750">
        <v>5</v>
      </c>
      <c r="F1750" s="4">
        <v>1625.7</v>
      </c>
      <c r="G1750" s="3">
        <v>0.2</v>
      </c>
      <c r="H1750" s="4">
        <v>467.69</v>
      </c>
      <c r="I1750" t="str">
        <f>VLOOKUP(orders__17[[#This Row],[Customer_ID]],customers__2[#All],3,0)</f>
        <v>East</v>
      </c>
      <c r="J1750" t="str">
        <f>VLOOKUP(orders__17[[#This Row],[Customer_ID]],customers__2[#All],4,0)</f>
        <v>Corporate</v>
      </c>
      <c r="K1750" t="str">
        <f>VLOOKUP(orders__17[[#This Row],[Product_ID]],products[#All],3,0)</f>
        <v>Technology</v>
      </c>
      <c r="L1750" s="1" t="str">
        <f>VLOOKUP(orders__17[[#This Row],[Product_ID]],products[#All],4,0)</f>
        <v>Phone</v>
      </c>
      <c r="M1750" s="1" t="str">
        <f>VLOOKUP(orders__17[[#This Row],[Order_ID]],returns[#All],2,0)</f>
        <v>Yes</v>
      </c>
    </row>
    <row r="1751" spans="1:13" x14ac:dyDescent="0.3">
      <c r="A1751" s="1" t="s">
        <v>2057</v>
      </c>
      <c r="B1751" s="2">
        <v>45057</v>
      </c>
      <c r="C1751" s="1" t="s">
        <v>434</v>
      </c>
      <c r="D1751" s="1" t="s">
        <v>31</v>
      </c>
      <c r="E1751">
        <v>5</v>
      </c>
      <c r="F1751" s="4">
        <v>1084.22</v>
      </c>
      <c r="G1751" s="3">
        <v>0.3</v>
      </c>
      <c r="H1751" s="4">
        <v>164.99</v>
      </c>
      <c r="I1751" t="str">
        <f>VLOOKUP(orders__17[[#This Row],[Customer_ID]],customers__2[#All],3,0)</f>
        <v>North</v>
      </c>
      <c r="J1751" t="str">
        <f>VLOOKUP(orders__17[[#This Row],[Customer_ID]],customers__2[#All],4,0)</f>
        <v>Corporate</v>
      </c>
      <c r="K1751" t="str">
        <f>VLOOKUP(orders__17[[#This Row],[Product_ID]],products[#All],3,0)</f>
        <v>Furniture</v>
      </c>
      <c r="L1751" s="1" t="str">
        <f>VLOOKUP(orders__17[[#This Row],[Product_ID]],products[#All],4,0)</f>
        <v>Chair</v>
      </c>
      <c r="M1751" s="1" t="str">
        <f>VLOOKUP(orders__17[[#This Row],[Order_ID]],returns[#All],2,0)</f>
        <v>No</v>
      </c>
    </row>
    <row r="1752" spans="1:13" x14ac:dyDescent="0.3">
      <c r="A1752" s="1" t="s">
        <v>2058</v>
      </c>
      <c r="B1752" s="2">
        <v>44666</v>
      </c>
      <c r="C1752" s="1" t="s">
        <v>282</v>
      </c>
      <c r="D1752" s="1" t="s">
        <v>660</v>
      </c>
      <c r="E1752">
        <v>1</v>
      </c>
      <c r="F1752" s="4">
        <v>366.62</v>
      </c>
      <c r="G1752" s="3">
        <v>0.2</v>
      </c>
      <c r="H1752" s="4">
        <v>61.1</v>
      </c>
      <c r="I1752" t="str">
        <f>VLOOKUP(orders__17[[#This Row],[Customer_ID]],customers__2[#All],3,0)</f>
        <v>South</v>
      </c>
      <c r="J1752" t="str">
        <f>VLOOKUP(orders__17[[#This Row],[Customer_ID]],customers__2[#All],4,0)</f>
        <v>Home Office</v>
      </c>
      <c r="K1752" t="str">
        <f>VLOOKUP(orders__17[[#This Row],[Product_ID]],products[#All],3,0)</f>
        <v>Office Supplies</v>
      </c>
      <c r="L1752" s="1" t="str">
        <f>VLOOKUP(orders__17[[#This Row],[Product_ID]],products[#All],4,0)</f>
        <v>Storage</v>
      </c>
      <c r="M1752" s="1" t="str">
        <f>VLOOKUP(orders__17[[#This Row],[Order_ID]],returns[#All],2,0)</f>
        <v>No</v>
      </c>
    </row>
    <row r="1753" spans="1:13" x14ac:dyDescent="0.3">
      <c r="A1753" s="1" t="s">
        <v>2059</v>
      </c>
      <c r="B1753" s="2">
        <v>44755</v>
      </c>
      <c r="C1753" s="1" t="s">
        <v>82</v>
      </c>
      <c r="D1753" s="1" t="s">
        <v>323</v>
      </c>
      <c r="E1753">
        <v>4</v>
      </c>
      <c r="F1753" s="4">
        <v>1375.2</v>
      </c>
      <c r="G1753" s="3">
        <v>0.3</v>
      </c>
      <c r="H1753" s="4">
        <v>86.88</v>
      </c>
      <c r="I1753" t="str">
        <f>VLOOKUP(orders__17[[#This Row],[Customer_ID]],customers__2[#All],3,0)</f>
        <v>East</v>
      </c>
      <c r="J1753" t="str">
        <f>VLOOKUP(orders__17[[#This Row],[Customer_ID]],customers__2[#All],4,0)</f>
        <v>Corporate</v>
      </c>
      <c r="K1753" t="str">
        <f>VLOOKUP(orders__17[[#This Row],[Product_ID]],products[#All],3,0)</f>
        <v>Technology</v>
      </c>
      <c r="L1753" s="1" t="str">
        <f>VLOOKUP(orders__17[[#This Row],[Product_ID]],products[#All],4,0)</f>
        <v>Tablet</v>
      </c>
      <c r="M1753" s="1" t="str">
        <f>VLOOKUP(orders__17[[#This Row],[Order_ID]],returns[#All],2,0)</f>
        <v>No</v>
      </c>
    </row>
    <row r="1754" spans="1:13" x14ac:dyDescent="0.3">
      <c r="A1754" s="1" t="s">
        <v>2060</v>
      </c>
      <c r="B1754" s="2">
        <v>45447</v>
      </c>
      <c r="C1754" s="1" t="s">
        <v>30</v>
      </c>
      <c r="D1754" s="1" t="s">
        <v>139</v>
      </c>
      <c r="E1754">
        <v>4</v>
      </c>
      <c r="F1754" s="4">
        <v>1278.9000000000001</v>
      </c>
      <c r="G1754" s="3">
        <v>0</v>
      </c>
      <c r="H1754" s="4">
        <v>75.959999999999994</v>
      </c>
      <c r="I1754" t="str">
        <f>VLOOKUP(orders__17[[#This Row],[Customer_ID]],customers__2[#All],3,0)</f>
        <v>South</v>
      </c>
      <c r="J1754" t="str">
        <f>VLOOKUP(orders__17[[#This Row],[Customer_ID]],customers__2[#All],4,0)</f>
        <v>Home Office</v>
      </c>
      <c r="K1754" t="str">
        <f>VLOOKUP(orders__17[[#This Row],[Product_ID]],products[#All],3,0)</f>
        <v>Furniture</v>
      </c>
      <c r="L1754" s="1" t="str">
        <f>VLOOKUP(orders__17[[#This Row],[Product_ID]],products[#All],4,0)</f>
        <v>Table</v>
      </c>
      <c r="M1754" s="1" t="str">
        <f>VLOOKUP(orders__17[[#This Row],[Order_ID]],returns[#All],2,0)</f>
        <v>No</v>
      </c>
    </row>
    <row r="1755" spans="1:13" x14ac:dyDescent="0.3">
      <c r="A1755" s="1" t="s">
        <v>2061</v>
      </c>
      <c r="B1755" s="2">
        <v>45329</v>
      </c>
      <c r="C1755" s="1" t="s">
        <v>313</v>
      </c>
      <c r="D1755" s="1" t="s">
        <v>72</v>
      </c>
      <c r="E1755">
        <v>5</v>
      </c>
      <c r="F1755" s="4">
        <v>1510.28</v>
      </c>
      <c r="G1755" s="3">
        <v>0.1</v>
      </c>
      <c r="H1755" s="4">
        <v>346.3</v>
      </c>
      <c r="I1755" t="str">
        <f>VLOOKUP(orders__17[[#This Row],[Customer_ID]],customers__2[#All],3,0)</f>
        <v>West</v>
      </c>
      <c r="J1755" t="str">
        <f>VLOOKUP(orders__17[[#This Row],[Customer_ID]],customers__2[#All],4,0)</f>
        <v>Home Office</v>
      </c>
      <c r="K1755" t="str">
        <f>VLOOKUP(orders__17[[#This Row],[Product_ID]],products[#All],3,0)</f>
        <v>Furniture</v>
      </c>
      <c r="L1755" s="1" t="str">
        <f>VLOOKUP(orders__17[[#This Row],[Product_ID]],products[#All],4,0)</f>
        <v>Chair</v>
      </c>
      <c r="M1755" s="1" t="str">
        <f>VLOOKUP(orders__17[[#This Row],[Order_ID]],returns[#All],2,0)</f>
        <v>No</v>
      </c>
    </row>
    <row r="1756" spans="1:13" x14ac:dyDescent="0.3">
      <c r="A1756" s="1" t="s">
        <v>2062</v>
      </c>
      <c r="B1756" s="2">
        <v>45021</v>
      </c>
      <c r="C1756" s="1" t="s">
        <v>194</v>
      </c>
      <c r="D1756" s="1" t="s">
        <v>263</v>
      </c>
      <c r="E1756">
        <v>3</v>
      </c>
      <c r="F1756" s="4">
        <v>422.77</v>
      </c>
      <c r="G1756" s="3">
        <v>0</v>
      </c>
      <c r="H1756" s="4">
        <v>78.010000000000005</v>
      </c>
      <c r="I1756" t="str">
        <f>VLOOKUP(orders__17[[#This Row],[Customer_ID]],customers__2[#All],3,0)</f>
        <v>North</v>
      </c>
      <c r="J1756" t="str">
        <f>VLOOKUP(orders__17[[#This Row],[Customer_ID]],customers__2[#All],4,0)</f>
        <v>Home Office</v>
      </c>
      <c r="K1756" t="str">
        <f>VLOOKUP(orders__17[[#This Row],[Product_ID]],products[#All],3,0)</f>
        <v>Office Supplies</v>
      </c>
      <c r="L1756" s="1" t="str">
        <f>VLOOKUP(orders__17[[#This Row],[Product_ID]],products[#All],4,0)</f>
        <v>Storage</v>
      </c>
      <c r="M1756" s="1" t="str">
        <f>VLOOKUP(orders__17[[#This Row],[Order_ID]],returns[#All],2,0)</f>
        <v>No</v>
      </c>
    </row>
    <row r="1757" spans="1:13" x14ac:dyDescent="0.3">
      <c r="A1757" s="1" t="s">
        <v>2063</v>
      </c>
      <c r="B1757" s="2">
        <v>44585</v>
      </c>
      <c r="C1757" s="1" t="s">
        <v>384</v>
      </c>
      <c r="D1757" s="1" t="s">
        <v>45</v>
      </c>
      <c r="E1757">
        <v>2</v>
      </c>
      <c r="F1757" s="4">
        <v>470.45</v>
      </c>
      <c r="G1757" s="3">
        <v>0</v>
      </c>
      <c r="H1757" s="4">
        <v>83.35</v>
      </c>
      <c r="I1757" t="str">
        <f>VLOOKUP(orders__17[[#This Row],[Customer_ID]],customers__2[#All],3,0)</f>
        <v>East</v>
      </c>
      <c r="J1757" t="str">
        <f>VLOOKUP(orders__17[[#This Row],[Customer_ID]],customers__2[#All],4,0)</f>
        <v>Corporate</v>
      </c>
      <c r="K1757" t="str">
        <f>VLOOKUP(orders__17[[#This Row],[Product_ID]],products[#All],3,0)</f>
        <v>Office Supplies</v>
      </c>
      <c r="L1757" s="1" t="str">
        <f>VLOOKUP(orders__17[[#This Row],[Product_ID]],products[#All],4,0)</f>
        <v>Pen</v>
      </c>
      <c r="M1757" s="1" t="str">
        <f>VLOOKUP(orders__17[[#This Row],[Order_ID]],returns[#All],2,0)</f>
        <v>No</v>
      </c>
    </row>
    <row r="1758" spans="1:13" x14ac:dyDescent="0.3">
      <c r="A1758" s="1" t="s">
        <v>2064</v>
      </c>
      <c r="B1758" s="2">
        <v>45147</v>
      </c>
      <c r="C1758" s="1" t="s">
        <v>285</v>
      </c>
      <c r="D1758" s="1" t="s">
        <v>275</v>
      </c>
      <c r="E1758">
        <v>3</v>
      </c>
      <c r="F1758" s="4">
        <v>1791.78</v>
      </c>
      <c r="G1758" s="3">
        <v>0.1</v>
      </c>
      <c r="H1758" s="4">
        <v>198.5</v>
      </c>
      <c r="I1758" t="str">
        <f>VLOOKUP(orders__17[[#This Row],[Customer_ID]],customers__2[#All],3,0)</f>
        <v>South</v>
      </c>
      <c r="J1758" t="str">
        <f>VLOOKUP(orders__17[[#This Row],[Customer_ID]],customers__2[#All],4,0)</f>
        <v>Corporate</v>
      </c>
      <c r="K1758" t="str">
        <f>VLOOKUP(orders__17[[#This Row],[Product_ID]],products[#All],3,0)</f>
        <v>Furniture</v>
      </c>
      <c r="L1758" s="1" t="str">
        <f>VLOOKUP(orders__17[[#This Row],[Product_ID]],products[#All],4,0)</f>
        <v>Table</v>
      </c>
      <c r="M1758" s="1" t="str">
        <f>VLOOKUP(orders__17[[#This Row],[Order_ID]],returns[#All],2,0)</f>
        <v>No</v>
      </c>
    </row>
    <row r="1759" spans="1:13" x14ac:dyDescent="0.3">
      <c r="A1759" s="1" t="s">
        <v>2065</v>
      </c>
      <c r="B1759" s="2">
        <v>44667</v>
      </c>
      <c r="C1759" s="1" t="s">
        <v>1081</v>
      </c>
      <c r="D1759" s="1" t="s">
        <v>83</v>
      </c>
      <c r="E1759">
        <v>2</v>
      </c>
      <c r="F1759" s="4">
        <v>1524.96</v>
      </c>
      <c r="G1759" s="3">
        <v>0.2</v>
      </c>
      <c r="H1759" s="4">
        <v>360.18</v>
      </c>
      <c r="I1759" t="str">
        <f>VLOOKUP(orders__17[[#This Row],[Customer_ID]],customers__2[#All],3,0)</f>
        <v>North</v>
      </c>
      <c r="J1759" t="str">
        <f>VLOOKUP(orders__17[[#This Row],[Customer_ID]],customers__2[#All],4,0)</f>
        <v>Home Office</v>
      </c>
      <c r="K1759" t="str">
        <f>VLOOKUP(orders__17[[#This Row],[Product_ID]],products[#All],3,0)</f>
        <v>Furniture</v>
      </c>
      <c r="L1759" s="1" t="str">
        <f>VLOOKUP(orders__17[[#This Row],[Product_ID]],products[#All],4,0)</f>
        <v>Table</v>
      </c>
      <c r="M1759" s="1" t="str">
        <f>VLOOKUP(orders__17[[#This Row],[Order_ID]],returns[#All],2,0)</f>
        <v>No</v>
      </c>
    </row>
    <row r="1760" spans="1:13" x14ac:dyDescent="0.3">
      <c r="A1760" s="1" t="s">
        <v>2066</v>
      </c>
      <c r="B1760" s="2">
        <v>45177</v>
      </c>
      <c r="C1760" s="1" t="s">
        <v>319</v>
      </c>
      <c r="D1760" s="1" t="s">
        <v>127</v>
      </c>
      <c r="E1760">
        <v>5</v>
      </c>
      <c r="F1760" s="4">
        <v>1825.63</v>
      </c>
      <c r="G1760" s="3">
        <v>0.1</v>
      </c>
      <c r="H1760" s="4">
        <v>168.07</v>
      </c>
      <c r="I1760" t="str">
        <f>VLOOKUP(orders__17[[#This Row],[Customer_ID]],customers__2[#All],3,0)</f>
        <v>East</v>
      </c>
      <c r="J1760" t="str">
        <f>VLOOKUP(orders__17[[#This Row],[Customer_ID]],customers__2[#All],4,0)</f>
        <v>Consumer</v>
      </c>
      <c r="K1760" t="str">
        <f>VLOOKUP(orders__17[[#This Row],[Product_ID]],products[#All],3,0)</f>
        <v>Furniture</v>
      </c>
      <c r="L1760" s="1" t="str">
        <f>VLOOKUP(orders__17[[#This Row],[Product_ID]],products[#All],4,0)</f>
        <v>Chair</v>
      </c>
      <c r="M1760" s="1" t="str">
        <f>VLOOKUP(orders__17[[#This Row],[Order_ID]],returns[#All],2,0)</f>
        <v>No</v>
      </c>
    </row>
    <row r="1761" spans="1:13" x14ac:dyDescent="0.3">
      <c r="A1761" s="1" t="s">
        <v>2067</v>
      </c>
      <c r="B1761" s="2">
        <v>45311</v>
      </c>
      <c r="C1761" s="1" t="s">
        <v>473</v>
      </c>
      <c r="D1761" s="1" t="s">
        <v>186</v>
      </c>
      <c r="E1761">
        <v>2</v>
      </c>
      <c r="F1761" s="4">
        <v>1541.56</v>
      </c>
      <c r="G1761" s="3">
        <v>0.2</v>
      </c>
      <c r="H1761" s="4">
        <v>150.28</v>
      </c>
      <c r="I1761" t="str">
        <f>VLOOKUP(orders__17[[#This Row],[Customer_ID]],customers__2[#All],3,0)</f>
        <v>North</v>
      </c>
      <c r="J1761" t="str">
        <f>VLOOKUP(orders__17[[#This Row],[Customer_ID]],customers__2[#All],4,0)</f>
        <v>Corporate</v>
      </c>
      <c r="K1761" t="str">
        <f>VLOOKUP(orders__17[[#This Row],[Product_ID]],products[#All],3,0)</f>
        <v>Technology</v>
      </c>
      <c r="L1761" s="1" t="str">
        <f>VLOOKUP(orders__17[[#This Row],[Product_ID]],products[#All],4,0)</f>
        <v>Laptop</v>
      </c>
      <c r="M1761" s="1" t="str">
        <f>VLOOKUP(orders__17[[#This Row],[Order_ID]],returns[#All],2,0)</f>
        <v>No</v>
      </c>
    </row>
    <row r="1762" spans="1:13" x14ac:dyDescent="0.3">
      <c r="A1762" s="1" t="s">
        <v>2068</v>
      </c>
      <c r="B1762" s="2">
        <v>45066</v>
      </c>
      <c r="C1762" s="1" t="s">
        <v>231</v>
      </c>
      <c r="D1762" s="1" t="s">
        <v>13</v>
      </c>
      <c r="E1762">
        <v>4</v>
      </c>
      <c r="F1762" s="4">
        <v>1234.5999999999999</v>
      </c>
      <c r="G1762" s="3">
        <v>0.2</v>
      </c>
      <c r="H1762" s="4">
        <v>203.93</v>
      </c>
      <c r="I1762" t="str">
        <f>VLOOKUP(orders__17[[#This Row],[Customer_ID]],customers__2[#All],3,0)</f>
        <v>South</v>
      </c>
      <c r="J1762" t="str">
        <f>VLOOKUP(orders__17[[#This Row],[Customer_ID]],customers__2[#All],4,0)</f>
        <v>Consumer</v>
      </c>
      <c r="K1762" t="str">
        <f>VLOOKUP(orders__17[[#This Row],[Product_ID]],products[#All],3,0)</f>
        <v>Furniture</v>
      </c>
      <c r="L1762" s="1" t="str">
        <f>VLOOKUP(orders__17[[#This Row],[Product_ID]],products[#All],4,0)</f>
        <v>Desk</v>
      </c>
      <c r="M1762" s="1" t="str">
        <f>VLOOKUP(orders__17[[#This Row],[Order_ID]],returns[#All],2,0)</f>
        <v>No</v>
      </c>
    </row>
    <row r="1763" spans="1:13" x14ac:dyDescent="0.3">
      <c r="A1763" s="1" t="s">
        <v>2069</v>
      </c>
      <c r="B1763" s="2">
        <v>45080</v>
      </c>
      <c r="C1763" s="1" t="s">
        <v>321</v>
      </c>
      <c r="D1763" s="1" t="s">
        <v>211</v>
      </c>
      <c r="E1763">
        <v>1</v>
      </c>
      <c r="F1763" s="4">
        <v>1342.85</v>
      </c>
      <c r="G1763" s="3">
        <v>0.3</v>
      </c>
      <c r="H1763" s="4">
        <v>163.25</v>
      </c>
      <c r="I1763" t="str">
        <f>VLOOKUP(orders__17[[#This Row],[Customer_ID]],customers__2[#All],3,0)</f>
        <v>South</v>
      </c>
      <c r="J1763" t="str">
        <f>VLOOKUP(orders__17[[#This Row],[Customer_ID]],customers__2[#All],4,0)</f>
        <v>Corporate</v>
      </c>
      <c r="K1763" t="str">
        <f>VLOOKUP(orders__17[[#This Row],[Product_ID]],products[#All],3,0)</f>
        <v>Office Supplies</v>
      </c>
      <c r="L1763" s="1" t="str">
        <f>VLOOKUP(orders__17[[#This Row],[Product_ID]],products[#All],4,0)</f>
        <v>Binder</v>
      </c>
      <c r="M1763" s="1" t="str">
        <f>VLOOKUP(orders__17[[#This Row],[Order_ID]],returns[#All],2,0)</f>
        <v>No</v>
      </c>
    </row>
    <row r="1764" spans="1:13" x14ac:dyDescent="0.3">
      <c r="A1764" s="1" t="s">
        <v>2070</v>
      </c>
      <c r="B1764" s="2">
        <v>44888</v>
      </c>
      <c r="C1764" s="1" t="s">
        <v>1043</v>
      </c>
      <c r="D1764" s="1" t="s">
        <v>143</v>
      </c>
      <c r="E1764">
        <v>1</v>
      </c>
      <c r="F1764" s="4">
        <v>1789.34</v>
      </c>
      <c r="G1764" s="3">
        <v>0.3</v>
      </c>
      <c r="H1764" s="4">
        <v>200.17</v>
      </c>
      <c r="I1764" t="str">
        <f>VLOOKUP(orders__17[[#This Row],[Customer_ID]],customers__2[#All],3,0)</f>
        <v>South</v>
      </c>
      <c r="J1764" t="str">
        <f>VLOOKUP(orders__17[[#This Row],[Customer_ID]],customers__2[#All],4,0)</f>
        <v>Corporate</v>
      </c>
      <c r="K1764" t="str">
        <f>VLOOKUP(orders__17[[#This Row],[Product_ID]],products[#All],3,0)</f>
        <v>Furniture</v>
      </c>
      <c r="L1764" s="1" t="str">
        <f>VLOOKUP(orders__17[[#This Row],[Product_ID]],products[#All],4,0)</f>
        <v>Shelf</v>
      </c>
      <c r="M1764" s="1" t="str">
        <f>VLOOKUP(orders__17[[#This Row],[Order_ID]],returns[#All],2,0)</f>
        <v>No</v>
      </c>
    </row>
    <row r="1765" spans="1:13" x14ac:dyDescent="0.3">
      <c r="A1765" s="1" t="s">
        <v>2071</v>
      </c>
      <c r="B1765" s="2">
        <v>45076</v>
      </c>
      <c r="C1765" s="1" t="s">
        <v>319</v>
      </c>
      <c r="D1765" s="1" t="s">
        <v>400</v>
      </c>
      <c r="E1765">
        <v>5</v>
      </c>
      <c r="F1765" s="4">
        <v>1199.73</v>
      </c>
      <c r="G1765" s="3">
        <v>0.1</v>
      </c>
      <c r="H1765" s="4">
        <v>253.51</v>
      </c>
      <c r="I1765" t="str">
        <f>VLOOKUP(orders__17[[#This Row],[Customer_ID]],customers__2[#All],3,0)</f>
        <v>East</v>
      </c>
      <c r="J1765" t="str">
        <f>VLOOKUP(orders__17[[#This Row],[Customer_ID]],customers__2[#All],4,0)</f>
        <v>Consumer</v>
      </c>
      <c r="K1765" t="str">
        <f>VLOOKUP(orders__17[[#This Row],[Product_ID]],products[#All],3,0)</f>
        <v>Office Supplies</v>
      </c>
      <c r="L1765" s="1" t="str">
        <f>VLOOKUP(orders__17[[#This Row],[Product_ID]],products[#All],4,0)</f>
        <v>Paper</v>
      </c>
      <c r="M1765" s="1" t="str">
        <f>VLOOKUP(orders__17[[#This Row],[Order_ID]],returns[#All],2,0)</f>
        <v>No</v>
      </c>
    </row>
    <row r="1766" spans="1:13" x14ac:dyDescent="0.3">
      <c r="A1766" s="1" t="s">
        <v>2072</v>
      </c>
      <c r="B1766" s="2">
        <v>45271</v>
      </c>
      <c r="C1766" s="1" t="s">
        <v>118</v>
      </c>
      <c r="D1766" s="1" t="s">
        <v>163</v>
      </c>
      <c r="E1766">
        <v>4</v>
      </c>
      <c r="F1766" s="4">
        <v>1301.54</v>
      </c>
      <c r="G1766" s="3">
        <v>0</v>
      </c>
      <c r="H1766" s="4">
        <v>276.89</v>
      </c>
      <c r="I1766" t="str">
        <f>VLOOKUP(orders__17[[#This Row],[Customer_ID]],customers__2[#All],3,0)</f>
        <v>North</v>
      </c>
      <c r="J1766" t="str">
        <f>VLOOKUP(orders__17[[#This Row],[Customer_ID]],customers__2[#All],4,0)</f>
        <v>Consumer</v>
      </c>
      <c r="K1766" t="str">
        <f>VLOOKUP(orders__17[[#This Row],[Product_ID]],products[#All],3,0)</f>
        <v>Furniture</v>
      </c>
      <c r="L1766" s="1" t="str">
        <f>VLOOKUP(orders__17[[#This Row],[Product_ID]],products[#All],4,0)</f>
        <v>Table</v>
      </c>
      <c r="M1766" s="1" t="str">
        <f>VLOOKUP(orders__17[[#This Row],[Order_ID]],returns[#All],2,0)</f>
        <v>Yes</v>
      </c>
    </row>
    <row r="1767" spans="1:13" x14ac:dyDescent="0.3">
      <c r="A1767" s="1" t="s">
        <v>2073</v>
      </c>
      <c r="B1767" s="2">
        <v>44653</v>
      </c>
      <c r="C1767" s="1" t="s">
        <v>510</v>
      </c>
      <c r="D1767" s="1" t="s">
        <v>679</v>
      </c>
      <c r="E1767">
        <v>3</v>
      </c>
      <c r="F1767" s="4">
        <v>397.31</v>
      </c>
      <c r="G1767" s="3">
        <v>0.1</v>
      </c>
      <c r="H1767" s="4">
        <v>101.76</v>
      </c>
      <c r="I1767" t="str">
        <f>VLOOKUP(orders__17[[#This Row],[Customer_ID]],customers__2[#All],3,0)</f>
        <v>South</v>
      </c>
      <c r="J1767" t="str">
        <f>VLOOKUP(orders__17[[#This Row],[Customer_ID]],customers__2[#All],4,0)</f>
        <v>Consumer</v>
      </c>
      <c r="K1767" t="str">
        <f>VLOOKUP(orders__17[[#This Row],[Product_ID]],products[#All],3,0)</f>
        <v>Office Supplies</v>
      </c>
      <c r="L1767" s="1" t="str">
        <f>VLOOKUP(orders__17[[#This Row],[Product_ID]],products[#All],4,0)</f>
        <v>Paper</v>
      </c>
      <c r="M1767" s="1" t="str">
        <f>VLOOKUP(orders__17[[#This Row],[Order_ID]],returns[#All],2,0)</f>
        <v>No</v>
      </c>
    </row>
    <row r="1768" spans="1:13" x14ac:dyDescent="0.3">
      <c r="A1768" s="1" t="s">
        <v>2074</v>
      </c>
      <c r="B1768" s="2">
        <v>45048</v>
      </c>
      <c r="C1768" s="1" t="s">
        <v>330</v>
      </c>
      <c r="D1768" s="1" t="s">
        <v>253</v>
      </c>
      <c r="E1768">
        <v>4</v>
      </c>
      <c r="F1768" s="4">
        <v>1000.45</v>
      </c>
      <c r="G1768" s="3">
        <v>0.2</v>
      </c>
      <c r="H1768" s="4">
        <v>154.5</v>
      </c>
      <c r="I1768" t="str">
        <f>VLOOKUP(orders__17[[#This Row],[Customer_ID]],customers__2[#All],3,0)</f>
        <v>South</v>
      </c>
      <c r="J1768" t="str">
        <f>VLOOKUP(orders__17[[#This Row],[Customer_ID]],customers__2[#All],4,0)</f>
        <v>Consumer</v>
      </c>
      <c r="K1768" t="str">
        <f>VLOOKUP(orders__17[[#This Row],[Product_ID]],products[#All],3,0)</f>
        <v>Technology</v>
      </c>
      <c r="L1768" s="1" t="str">
        <f>VLOOKUP(orders__17[[#This Row],[Product_ID]],products[#All],4,0)</f>
        <v>Accessories</v>
      </c>
      <c r="M1768" s="1" t="str">
        <f>VLOOKUP(orders__17[[#This Row],[Order_ID]],returns[#All],2,0)</f>
        <v>No</v>
      </c>
    </row>
    <row r="1769" spans="1:13" x14ac:dyDescent="0.3">
      <c r="A1769" s="1" t="s">
        <v>2075</v>
      </c>
      <c r="B1769" s="2">
        <v>45415</v>
      </c>
      <c r="C1769" s="1" t="s">
        <v>96</v>
      </c>
      <c r="D1769" s="1" t="s">
        <v>209</v>
      </c>
      <c r="E1769">
        <v>1</v>
      </c>
      <c r="F1769" s="4">
        <v>1461.15</v>
      </c>
      <c r="G1769" s="3">
        <v>0.3</v>
      </c>
      <c r="H1769" s="4">
        <v>99.75</v>
      </c>
      <c r="I1769" t="str">
        <f>VLOOKUP(orders__17[[#This Row],[Customer_ID]],customers__2[#All],3,0)</f>
        <v>West</v>
      </c>
      <c r="J1769" t="str">
        <f>VLOOKUP(orders__17[[#This Row],[Customer_ID]],customers__2[#All],4,0)</f>
        <v>Corporate</v>
      </c>
      <c r="K1769" t="str">
        <f>VLOOKUP(orders__17[[#This Row],[Product_ID]],products[#All],3,0)</f>
        <v>Office Supplies</v>
      </c>
      <c r="L1769" s="1" t="str">
        <f>VLOOKUP(orders__17[[#This Row],[Product_ID]],products[#All],4,0)</f>
        <v>Paper</v>
      </c>
      <c r="M1769" s="1" t="str">
        <f>VLOOKUP(orders__17[[#This Row],[Order_ID]],returns[#All],2,0)</f>
        <v>No</v>
      </c>
    </row>
    <row r="1770" spans="1:13" x14ac:dyDescent="0.3">
      <c r="A1770" s="1" t="s">
        <v>2076</v>
      </c>
      <c r="B1770" s="2">
        <v>45276</v>
      </c>
      <c r="C1770" s="1" t="s">
        <v>104</v>
      </c>
      <c r="D1770" s="1" t="s">
        <v>86</v>
      </c>
      <c r="E1770">
        <v>1</v>
      </c>
      <c r="F1770" s="4">
        <v>614.79</v>
      </c>
      <c r="G1770" s="3">
        <v>0.1</v>
      </c>
      <c r="H1770" s="4">
        <v>72.8</v>
      </c>
      <c r="I1770" t="str">
        <f>VLOOKUP(orders__17[[#This Row],[Customer_ID]],customers__2[#All],3,0)</f>
        <v>West</v>
      </c>
      <c r="J1770" t="str">
        <f>VLOOKUP(orders__17[[#This Row],[Customer_ID]],customers__2[#All],4,0)</f>
        <v>Corporate</v>
      </c>
      <c r="K1770" t="str">
        <f>VLOOKUP(orders__17[[#This Row],[Product_ID]],products[#All],3,0)</f>
        <v>Furniture</v>
      </c>
      <c r="L1770" s="1" t="str">
        <f>VLOOKUP(orders__17[[#This Row],[Product_ID]],products[#All],4,0)</f>
        <v>Table</v>
      </c>
      <c r="M1770" s="1" t="str">
        <f>VLOOKUP(orders__17[[#This Row],[Order_ID]],returns[#All],2,0)</f>
        <v>No</v>
      </c>
    </row>
    <row r="1771" spans="1:13" x14ac:dyDescent="0.3">
      <c r="A1771" s="1" t="s">
        <v>2077</v>
      </c>
      <c r="B1771" s="2">
        <v>44631</v>
      </c>
      <c r="C1771" s="1" t="s">
        <v>524</v>
      </c>
      <c r="D1771" s="1" t="s">
        <v>269</v>
      </c>
      <c r="E1771">
        <v>4</v>
      </c>
      <c r="F1771" s="4">
        <v>484.28</v>
      </c>
      <c r="G1771" s="3">
        <v>0.1</v>
      </c>
      <c r="H1771" s="4">
        <v>142.86000000000001</v>
      </c>
      <c r="I1771" t="str">
        <f>VLOOKUP(orders__17[[#This Row],[Customer_ID]],customers__2[#All],3,0)</f>
        <v>East</v>
      </c>
      <c r="J1771" t="str">
        <f>VLOOKUP(orders__17[[#This Row],[Customer_ID]],customers__2[#All],4,0)</f>
        <v>Corporate</v>
      </c>
      <c r="K1771" t="str">
        <f>VLOOKUP(orders__17[[#This Row],[Product_ID]],products[#All],3,0)</f>
        <v>Office Supplies</v>
      </c>
      <c r="L1771" s="1" t="str">
        <f>VLOOKUP(orders__17[[#This Row],[Product_ID]],products[#All],4,0)</f>
        <v>Pen</v>
      </c>
      <c r="M1771" s="1" t="str">
        <f>VLOOKUP(orders__17[[#This Row],[Order_ID]],returns[#All],2,0)</f>
        <v>Yes</v>
      </c>
    </row>
    <row r="1772" spans="1:13" x14ac:dyDescent="0.3">
      <c r="A1772" s="1" t="s">
        <v>2078</v>
      </c>
      <c r="B1772" s="2">
        <v>44892</v>
      </c>
      <c r="C1772" s="1" t="s">
        <v>683</v>
      </c>
      <c r="D1772" s="1" t="s">
        <v>139</v>
      </c>
      <c r="E1772">
        <v>4</v>
      </c>
      <c r="F1772" s="4">
        <v>696.27</v>
      </c>
      <c r="G1772" s="3">
        <v>0.3</v>
      </c>
      <c r="H1772" s="4">
        <v>138.6</v>
      </c>
      <c r="I1772" t="str">
        <f>VLOOKUP(orders__17[[#This Row],[Customer_ID]],customers__2[#All],3,0)</f>
        <v>East</v>
      </c>
      <c r="J1772" t="str">
        <f>VLOOKUP(orders__17[[#This Row],[Customer_ID]],customers__2[#All],4,0)</f>
        <v>Corporate</v>
      </c>
      <c r="K1772" t="str">
        <f>VLOOKUP(orders__17[[#This Row],[Product_ID]],products[#All],3,0)</f>
        <v>Furniture</v>
      </c>
      <c r="L1772" s="1" t="str">
        <f>VLOOKUP(orders__17[[#This Row],[Product_ID]],products[#All],4,0)</f>
        <v>Table</v>
      </c>
      <c r="M1772" s="1" t="str">
        <f>VLOOKUP(orders__17[[#This Row],[Order_ID]],returns[#All],2,0)</f>
        <v>No</v>
      </c>
    </row>
    <row r="1773" spans="1:13" x14ac:dyDescent="0.3">
      <c r="A1773" s="1" t="s">
        <v>2079</v>
      </c>
      <c r="B1773" s="2">
        <v>45422</v>
      </c>
      <c r="C1773" s="1" t="s">
        <v>121</v>
      </c>
      <c r="D1773" s="1" t="s">
        <v>288</v>
      </c>
      <c r="E1773">
        <v>1</v>
      </c>
      <c r="F1773" s="4">
        <v>558.85</v>
      </c>
      <c r="G1773" s="3">
        <v>0.3</v>
      </c>
      <c r="H1773" s="4">
        <v>127.1</v>
      </c>
      <c r="I1773" t="str">
        <f>VLOOKUP(orders__17[[#This Row],[Customer_ID]],customers__2[#All],3,0)</f>
        <v>East</v>
      </c>
      <c r="J1773" t="str">
        <f>VLOOKUP(orders__17[[#This Row],[Customer_ID]],customers__2[#All],4,0)</f>
        <v>Corporate</v>
      </c>
      <c r="K1773" t="str">
        <f>VLOOKUP(orders__17[[#This Row],[Product_ID]],products[#All],3,0)</f>
        <v>Furniture</v>
      </c>
      <c r="L1773" s="1" t="str">
        <f>VLOOKUP(orders__17[[#This Row],[Product_ID]],products[#All],4,0)</f>
        <v>Chair</v>
      </c>
      <c r="M1773" s="1" t="str">
        <f>VLOOKUP(orders__17[[#This Row],[Order_ID]],returns[#All],2,0)</f>
        <v>No</v>
      </c>
    </row>
    <row r="1774" spans="1:13" x14ac:dyDescent="0.3">
      <c r="A1774" s="1" t="s">
        <v>2080</v>
      </c>
      <c r="B1774" s="2">
        <v>45412</v>
      </c>
      <c r="C1774" s="1" t="s">
        <v>1056</v>
      </c>
      <c r="D1774" s="1" t="s">
        <v>603</v>
      </c>
      <c r="E1774">
        <v>3</v>
      </c>
      <c r="F1774" s="4">
        <v>508.33</v>
      </c>
      <c r="G1774" s="3">
        <v>0.3</v>
      </c>
      <c r="H1774" s="4">
        <v>26.35</v>
      </c>
      <c r="I1774" t="str">
        <f>VLOOKUP(orders__17[[#This Row],[Customer_ID]],customers__2[#All],3,0)</f>
        <v>North</v>
      </c>
      <c r="J1774" t="str">
        <f>VLOOKUP(orders__17[[#This Row],[Customer_ID]],customers__2[#All],4,0)</f>
        <v>Corporate</v>
      </c>
      <c r="K1774" t="str">
        <f>VLOOKUP(orders__17[[#This Row],[Product_ID]],products[#All],3,0)</f>
        <v>Technology</v>
      </c>
      <c r="L1774" s="1" t="str">
        <f>VLOOKUP(orders__17[[#This Row],[Product_ID]],products[#All],4,0)</f>
        <v>Accessories</v>
      </c>
      <c r="M1774" s="1" t="str">
        <f>VLOOKUP(orders__17[[#This Row],[Order_ID]],returns[#All],2,0)</f>
        <v>No</v>
      </c>
    </row>
    <row r="1775" spans="1:13" x14ac:dyDescent="0.3">
      <c r="A1775" s="1" t="s">
        <v>2081</v>
      </c>
      <c r="B1775" s="2">
        <v>44926</v>
      </c>
      <c r="C1775" s="1" t="s">
        <v>800</v>
      </c>
      <c r="D1775" s="1" t="s">
        <v>100</v>
      </c>
      <c r="E1775">
        <v>5</v>
      </c>
      <c r="F1775" s="4">
        <v>907.22</v>
      </c>
      <c r="G1775" s="3">
        <v>0.2</v>
      </c>
      <c r="H1775" s="4">
        <v>162.88999999999999</v>
      </c>
      <c r="I1775" t="str">
        <f>VLOOKUP(orders__17[[#This Row],[Customer_ID]],customers__2[#All],3,0)</f>
        <v>North</v>
      </c>
      <c r="J1775" t="str">
        <f>VLOOKUP(orders__17[[#This Row],[Customer_ID]],customers__2[#All],4,0)</f>
        <v>Corporate</v>
      </c>
      <c r="K1775" t="str">
        <f>VLOOKUP(orders__17[[#This Row],[Product_ID]],products[#All],3,0)</f>
        <v>Technology</v>
      </c>
      <c r="L1775" s="1" t="str">
        <f>VLOOKUP(orders__17[[#This Row],[Product_ID]],products[#All],4,0)</f>
        <v>Laptop</v>
      </c>
      <c r="M1775" s="1" t="str">
        <f>VLOOKUP(orders__17[[#This Row],[Order_ID]],returns[#All],2,0)</f>
        <v>Yes</v>
      </c>
    </row>
    <row r="1776" spans="1:13" x14ac:dyDescent="0.3">
      <c r="A1776" s="1" t="s">
        <v>2082</v>
      </c>
      <c r="B1776" s="2">
        <v>45055</v>
      </c>
      <c r="C1776" s="1" t="s">
        <v>691</v>
      </c>
      <c r="D1776" s="1" t="s">
        <v>59</v>
      </c>
      <c r="E1776">
        <v>5</v>
      </c>
      <c r="F1776" s="4">
        <v>1824.89</v>
      </c>
      <c r="G1776" s="3">
        <v>0.3</v>
      </c>
      <c r="H1776" s="4">
        <v>108.37</v>
      </c>
      <c r="I1776" t="str">
        <f>VLOOKUP(orders__17[[#This Row],[Customer_ID]],customers__2[#All],3,0)</f>
        <v>West</v>
      </c>
      <c r="J1776" t="str">
        <f>VLOOKUP(orders__17[[#This Row],[Customer_ID]],customers__2[#All],4,0)</f>
        <v>Corporate</v>
      </c>
      <c r="K1776" t="str">
        <f>VLOOKUP(orders__17[[#This Row],[Product_ID]],products[#All],3,0)</f>
        <v>Office Supplies</v>
      </c>
      <c r="L1776" s="1" t="str">
        <f>VLOOKUP(orders__17[[#This Row],[Product_ID]],products[#All],4,0)</f>
        <v>Paper</v>
      </c>
      <c r="M1776" s="1" t="str">
        <f>VLOOKUP(orders__17[[#This Row],[Order_ID]],returns[#All],2,0)</f>
        <v>No</v>
      </c>
    </row>
    <row r="1777" spans="1:13" x14ac:dyDescent="0.3">
      <c r="A1777" s="1" t="s">
        <v>2083</v>
      </c>
      <c r="B1777" s="2">
        <v>45156</v>
      </c>
      <c r="C1777" s="1" t="s">
        <v>121</v>
      </c>
      <c r="D1777" s="1" t="s">
        <v>111</v>
      </c>
      <c r="E1777">
        <v>4</v>
      </c>
      <c r="F1777" s="4">
        <v>1063.4100000000001</v>
      </c>
      <c r="G1777" s="3">
        <v>0</v>
      </c>
      <c r="H1777" s="4">
        <v>204.5</v>
      </c>
      <c r="I1777" t="str">
        <f>VLOOKUP(orders__17[[#This Row],[Customer_ID]],customers__2[#All],3,0)</f>
        <v>East</v>
      </c>
      <c r="J1777" t="str">
        <f>VLOOKUP(orders__17[[#This Row],[Customer_ID]],customers__2[#All],4,0)</f>
        <v>Corporate</v>
      </c>
      <c r="K1777" t="str">
        <f>VLOOKUP(orders__17[[#This Row],[Product_ID]],products[#All],3,0)</f>
        <v>Technology</v>
      </c>
      <c r="L1777" s="1" t="str">
        <f>VLOOKUP(orders__17[[#This Row],[Product_ID]],products[#All],4,0)</f>
        <v>Accessories</v>
      </c>
      <c r="M1777" s="1" t="str">
        <f>VLOOKUP(orders__17[[#This Row],[Order_ID]],returns[#All],2,0)</f>
        <v>No</v>
      </c>
    </row>
    <row r="1778" spans="1:13" x14ac:dyDescent="0.3">
      <c r="A1778" s="1" t="s">
        <v>2084</v>
      </c>
      <c r="B1778" s="2">
        <v>45241</v>
      </c>
      <c r="C1778" s="1" t="s">
        <v>607</v>
      </c>
      <c r="D1778" s="1" t="s">
        <v>455</v>
      </c>
      <c r="E1778">
        <v>5</v>
      </c>
      <c r="F1778" s="4">
        <v>457.05</v>
      </c>
      <c r="G1778" s="3">
        <v>0.1</v>
      </c>
      <c r="H1778" s="4">
        <v>128.06</v>
      </c>
      <c r="I1778" t="str">
        <f>VLOOKUP(orders__17[[#This Row],[Customer_ID]],customers__2[#All],3,0)</f>
        <v>East</v>
      </c>
      <c r="J1778" t="str">
        <f>VLOOKUP(orders__17[[#This Row],[Customer_ID]],customers__2[#All],4,0)</f>
        <v>Consumer</v>
      </c>
      <c r="K1778" t="str">
        <f>VLOOKUP(orders__17[[#This Row],[Product_ID]],products[#All],3,0)</f>
        <v>Furniture</v>
      </c>
      <c r="L1778" s="1" t="str">
        <f>VLOOKUP(orders__17[[#This Row],[Product_ID]],products[#All],4,0)</f>
        <v>Shelf</v>
      </c>
      <c r="M1778" s="1" t="str">
        <f>VLOOKUP(orders__17[[#This Row],[Order_ID]],returns[#All],2,0)</f>
        <v>Yes</v>
      </c>
    </row>
    <row r="1779" spans="1:13" x14ac:dyDescent="0.3">
      <c r="A1779" s="1" t="s">
        <v>2085</v>
      </c>
      <c r="B1779" s="2">
        <v>45174</v>
      </c>
      <c r="C1779" s="1" t="s">
        <v>380</v>
      </c>
      <c r="D1779" s="1" t="s">
        <v>86</v>
      </c>
      <c r="E1779">
        <v>1</v>
      </c>
      <c r="F1779" s="4">
        <v>246.25</v>
      </c>
      <c r="G1779" s="3">
        <v>0.3</v>
      </c>
      <c r="H1779" s="4">
        <v>71.930000000000007</v>
      </c>
      <c r="I1779" t="str">
        <f>VLOOKUP(orders__17[[#This Row],[Customer_ID]],customers__2[#All],3,0)</f>
        <v>South</v>
      </c>
      <c r="J1779" t="str">
        <f>VLOOKUP(orders__17[[#This Row],[Customer_ID]],customers__2[#All],4,0)</f>
        <v>Home Office</v>
      </c>
      <c r="K1779" t="str">
        <f>VLOOKUP(orders__17[[#This Row],[Product_ID]],products[#All],3,0)</f>
        <v>Furniture</v>
      </c>
      <c r="L1779" s="1" t="str">
        <f>VLOOKUP(orders__17[[#This Row],[Product_ID]],products[#All],4,0)</f>
        <v>Table</v>
      </c>
      <c r="M1779" s="1" t="str">
        <f>VLOOKUP(orders__17[[#This Row],[Order_ID]],returns[#All],2,0)</f>
        <v>No</v>
      </c>
    </row>
    <row r="1780" spans="1:13" x14ac:dyDescent="0.3">
      <c r="A1780" s="1" t="s">
        <v>2086</v>
      </c>
      <c r="B1780" s="2">
        <v>45325</v>
      </c>
      <c r="C1780" s="1" t="s">
        <v>47</v>
      </c>
      <c r="D1780" s="1" t="s">
        <v>19</v>
      </c>
      <c r="E1780">
        <v>1</v>
      </c>
      <c r="F1780" s="4">
        <v>1422.7</v>
      </c>
      <c r="G1780" s="3">
        <v>0.3</v>
      </c>
      <c r="H1780" s="4">
        <v>263.39999999999998</v>
      </c>
      <c r="I1780" t="str">
        <f>VLOOKUP(orders__17[[#This Row],[Customer_ID]],customers__2[#All],3,0)</f>
        <v>West</v>
      </c>
      <c r="J1780" t="str">
        <f>VLOOKUP(orders__17[[#This Row],[Customer_ID]],customers__2[#All],4,0)</f>
        <v>Consumer</v>
      </c>
      <c r="K1780" t="str">
        <f>VLOOKUP(orders__17[[#This Row],[Product_ID]],products[#All],3,0)</f>
        <v>Office Supplies</v>
      </c>
      <c r="L1780" s="1" t="str">
        <f>VLOOKUP(orders__17[[#This Row],[Product_ID]],products[#All],4,0)</f>
        <v>Pen</v>
      </c>
      <c r="M1780" s="1" t="str">
        <f>VLOOKUP(orders__17[[#This Row],[Order_ID]],returns[#All],2,0)</f>
        <v>No</v>
      </c>
    </row>
    <row r="1781" spans="1:13" x14ac:dyDescent="0.3">
      <c r="A1781" s="1" t="s">
        <v>2087</v>
      </c>
      <c r="B1781" s="2">
        <v>44735</v>
      </c>
      <c r="C1781" s="1" t="s">
        <v>194</v>
      </c>
      <c r="D1781" s="1" t="s">
        <v>660</v>
      </c>
      <c r="E1781">
        <v>4</v>
      </c>
      <c r="F1781" s="4">
        <v>827.32</v>
      </c>
      <c r="G1781" s="3">
        <v>0.2</v>
      </c>
      <c r="H1781" s="4">
        <v>136.13999999999999</v>
      </c>
      <c r="I1781" t="str">
        <f>VLOOKUP(orders__17[[#This Row],[Customer_ID]],customers__2[#All],3,0)</f>
        <v>North</v>
      </c>
      <c r="J1781" t="str">
        <f>VLOOKUP(orders__17[[#This Row],[Customer_ID]],customers__2[#All],4,0)</f>
        <v>Home Office</v>
      </c>
      <c r="K1781" t="str">
        <f>VLOOKUP(orders__17[[#This Row],[Product_ID]],products[#All],3,0)</f>
        <v>Office Supplies</v>
      </c>
      <c r="L1781" s="1" t="str">
        <f>VLOOKUP(orders__17[[#This Row],[Product_ID]],products[#All],4,0)</f>
        <v>Storage</v>
      </c>
      <c r="M1781" s="1" t="str">
        <f>VLOOKUP(orders__17[[#This Row],[Order_ID]],returns[#All],2,0)</f>
        <v>No</v>
      </c>
    </row>
    <row r="1782" spans="1:13" x14ac:dyDescent="0.3">
      <c r="A1782" s="1" t="s">
        <v>2088</v>
      </c>
      <c r="B1782" s="2">
        <v>45061</v>
      </c>
      <c r="C1782" s="1" t="s">
        <v>179</v>
      </c>
      <c r="D1782" s="1" t="s">
        <v>234</v>
      </c>
      <c r="E1782">
        <v>4</v>
      </c>
      <c r="F1782" s="4">
        <v>1661.48</v>
      </c>
      <c r="G1782" s="3">
        <v>0.2</v>
      </c>
      <c r="H1782" s="4">
        <v>475.61</v>
      </c>
      <c r="I1782" t="str">
        <f>VLOOKUP(orders__17[[#This Row],[Customer_ID]],customers__2[#All],3,0)</f>
        <v>North</v>
      </c>
      <c r="J1782" t="str">
        <f>VLOOKUP(orders__17[[#This Row],[Customer_ID]],customers__2[#All],4,0)</f>
        <v>Consumer</v>
      </c>
      <c r="K1782" t="str">
        <f>VLOOKUP(orders__17[[#This Row],[Product_ID]],products[#All],3,0)</f>
        <v>Furniture</v>
      </c>
      <c r="L1782" s="1" t="str">
        <f>VLOOKUP(orders__17[[#This Row],[Product_ID]],products[#All],4,0)</f>
        <v>Shelf</v>
      </c>
      <c r="M1782" s="1" t="str">
        <f>VLOOKUP(orders__17[[#This Row],[Order_ID]],returns[#All],2,0)</f>
        <v>Yes</v>
      </c>
    </row>
    <row r="1783" spans="1:13" x14ac:dyDescent="0.3">
      <c r="A1783" s="1" t="s">
        <v>2089</v>
      </c>
      <c r="B1783" s="2">
        <v>45369</v>
      </c>
      <c r="C1783" s="1" t="s">
        <v>402</v>
      </c>
      <c r="D1783" s="1" t="s">
        <v>163</v>
      </c>
      <c r="E1783">
        <v>4</v>
      </c>
      <c r="F1783" s="4">
        <v>1353.07</v>
      </c>
      <c r="G1783" s="3">
        <v>0.1</v>
      </c>
      <c r="H1783" s="4">
        <v>295.51</v>
      </c>
      <c r="I1783" t="str">
        <f>VLOOKUP(orders__17[[#This Row],[Customer_ID]],customers__2[#All],3,0)</f>
        <v>West</v>
      </c>
      <c r="J1783" t="str">
        <f>VLOOKUP(orders__17[[#This Row],[Customer_ID]],customers__2[#All],4,0)</f>
        <v>Consumer</v>
      </c>
      <c r="K1783" t="str">
        <f>VLOOKUP(orders__17[[#This Row],[Product_ID]],products[#All],3,0)</f>
        <v>Furniture</v>
      </c>
      <c r="L1783" s="1" t="str">
        <f>VLOOKUP(orders__17[[#This Row],[Product_ID]],products[#All],4,0)</f>
        <v>Table</v>
      </c>
      <c r="M1783" s="1" t="str">
        <f>VLOOKUP(orders__17[[#This Row],[Order_ID]],returns[#All],2,0)</f>
        <v>Yes</v>
      </c>
    </row>
    <row r="1784" spans="1:13" x14ac:dyDescent="0.3">
      <c r="A1784" s="1" t="s">
        <v>2090</v>
      </c>
      <c r="B1784" s="2">
        <v>45021</v>
      </c>
      <c r="C1784" s="1" t="s">
        <v>444</v>
      </c>
      <c r="D1784" s="1" t="s">
        <v>147</v>
      </c>
      <c r="E1784">
        <v>3</v>
      </c>
      <c r="F1784" s="4">
        <v>1612.86</v>
      </c>
      <c r="G1784" s="3">
        <v>0</v>
      </c>
      <c r="H1784" s="4">
        <v>106.81</v>
      </c>
      <c r="I1784" t="str">
        <f>VLOOKUP(orders__17[[#This Row],[Customer_ID]],customers__2[#All],3,0)</f>
        <v>North</v>
      </c>
      <c r="J1784" t="str">
        <f>VLOOKUP(orders__17[[#This Row],[Customer_ID]],customers__2[#All],4,0)</f>
        <v>Corporate</v>
      </c>
      <c r="K1784" t="str">
        <f>VLOOKUP(orders__17[[#This Row],[Product_ID]],products[#All],3,0)</f>
        <v>Technology</v>
      </c>
      <c r="L1784" s="1" t="str">
        <f>VLOOKUP(orders__17[[#This Row],[Product_ID]],products[#All],4,0)</f>
        <v>Laptop</v>
      </c>
      <c r="M1784" s="1" t="str">
        <f>VLOOKUP(orders__17[[#This Row],[Order_ID]],returns[#All],2,0)</f>
        <v>No</v>
      </c>
    </row>
    <row r="1785" spans="1:13" x14ac:dyDescent="0.3">
      <c r="A1785" s="1" t="s">
        <v>2091</v>
      </c>
      <c r="B1785" s="2">
        <v>45355</v>
      </c>
      <c r="C1785" s="1" t="s">
        <v>96</v>
      </c>
      <c r="D1785" s="1" t="s">
        <v>201</v>
      </c>
      <c r="E1785">
        <v>5</v>
      </c>
      <c r="F1785" s="4">
        <v>616.70000000000005</v>
      </c>
      <c r="G1785" s="3">
        <v>0.1</v>
      </c>
      <c r="H1785" s="4">
        <v>102.64</v>
      </c>
      <c r="I1785" t="str">
        <f>VLOOKUP(orders__17[[#This Row],[Customer_ID]],customers__2[#All],3,0)</f>
        <v>West</v>
      </c>
      <c r="J1785" t="str">
        <f>VLOOKUP(orders__17[[#This Row],[Customer_ID]],customers__2[#All],4,0)</f>
        <v>Corporate</v>
      </c>
      <c r="K1785" t="str">
        <f>VLOOKUP(orders__17[[#This Row],[Product_ID]],products[#All],3,0)</f>
        <v>Office Supplies</v>
      </c>
      <c r="L1785" s="1" t="str">
        <f>VLOOKUP(orders__17[[#This Row],[Product_ID]],products[#All],4,0)</f>
        <v>Paper</v>
      </c>
      <c r="M1785" s="1" t="str">
        <f>VLOOKUP(orders__17[[#This Row],[Order_ID]],returns[#All],2,0)</f>
        <v>Yes</v>
      </c>
    </row>
    <row r="1786" spans="1:13" x14ac:dyDescent="0.3">
      <c r="A1786" s="1" t="s">
        <v>2092</v>
      </c>
      <c r="B1786" s="2">
        <v>44586</v>
      </c>
      <c r="C1786" s="1" t="s">
        <v>121</v>
      </c>
      <c r="D1786" s="1" t="s">
        <v>161</v>
      </c>
      <c r="E1786">
        <v>4</v>
      </c>
      <c r="F1786" s="4">
        <v>1415.48</v>
      </c>
      <c r="G1786" s="3">
        <v>0.3</v>
      </c>
      <c r="H1786" s="4">
        <v>155.79</v>
      </c>
      <c r="I1786" t="str">
        <f>VLOOKUP(orders__17[[#This Row],[Customer_ID]],customers__2[#All],3,0)</f>
        <v>East</v>
      </c>
      <c r="J1786" t="str">
        <f>VLOOKUP(orders__17[[#This Row],[Customer_ID]],customers__2[#All],4,0)</f>
        <v>Corporate</v>
      </c>
      <c r="K1786" t="str">
        <f>VLOOKUP(orders__17[[#This Row],[Product_ID]],products[#All],3,0)</f>
        <v>Office Supplies</v>
      </c>
      <c r="L1786" s="1" t="str">
        <f>VLOOKUP(orders__17[[#This Row],[Product_ID]],products[#All],4,0)</f>
        <v>Binder</v>
      </c>
      <c r="M1786" s="1" t="str">
        <f>VLOOKUP(orders__17[[#This Row],[Order_ID]],returns[#All],2,0)</f>
        <v>No</v>
      </c>
    </row>
    <row r="1787" spans="1:13" x14ac:dyDescent="0.3">
      <c r="A1787" s="1" t="s">
        <v>2093</v>
      </c>
      <c r="B1787" s="2">
        <v>44675</v>
      </c>
      <c r="C1787" s="1" t="s">
        <v>223</v>
      </c>
      <c r="D1787" s="1" t="s">
        <v>188</v>
      </c>
      <c r="E1787">
        <v>2</v>
      </c>
      <c r="F1787" s="4">
        <v>601.72</v>
      </c>
      <c r="G1787" s="3">
        <v>0</v>
      </c>
      <c r="H1787" s="4">
        <v>100.76</v>
      </c>
      <c r="I1787" t="str">
        <f>VLOOKUP(orders__17[[#This Row],[Customer_ID]],customers__2[#All],3,0)</f>
        <v>East</v>
      </c>
      <c r="J1787" t="str">
        <f>VLOOKUP(orders__17[[#This Row],[Customer_ID]],customers__2[#All],4,0)</f>
        <v>Home Office</v>
      </c>
      <c r="K1787" t="str">
        <f>VLOOKUP(orders__17[[#This Row],[Product_ID]],products[#All],3,0)</f>
        <v>Technology</v>
      </c>
      <c r="L1787" s="1" t="str">
        <f>VLOOKUP(orders__17[[#This Row],[Product_ID]],products[#All],4,0)</f>
        <v>Laptop</v>
      </c>
      <c r="M1787" s="1" t="str">
        <f>VLOOKUP(orders__17[[#This Row],[Order_ID]],returns[#All],2,0)</f>
        <v>No</v>
      </c>
    </row>
    <row r="1788" spans="1:13" x14ac:dyDescent="0.3">
      <c r="A1788" s="1" t="s">
        <v>2094</v>
      </c>
      <c r="B1788" s="2">
        <v>45200</v>
      </c>
      <c r="C1788" s="1" t="s">
        <v>27</v>
      </c>
      <c r="D1788" s="1" t="s">
        <v>89</v>
      </c>
      <c r="E1788">
        <v>2</v>
      </c>
      <c r="F1788" s="4">
        <v>1884.23</v>
      </c>
      <c r="G1788" s="3">
        <v>0</v>
      </c>
      <c r="H1788" s="4">
        <v>308.76</v>
      </c>
      <c r="I1788" t="str">
        <f>VLOOKUP(orders__17[[#This Row],[Customer_ID]],customers__2[#All],3,0)</f>
        <v>North</v>
      </c>
      <c r="J1788" t="str">
        <f>VLOOKUP(orders__17[[#This Row],[Customer_ID]],customers__2[#All],4,0)</f>
        <v>Consumer</v>
      </c>
      <c r="K1788" t="str">
        <f>VLOOKUP(orders__17[[#This Row],[Product_ID]],products[#All],3,0)</f>
        <v>Technology</v>
      </c>
      <c r="L1788" s="1" t="str">
        <f>VLOOKUP(orders__17[[#This Row],[Product_ID]],products[#All],4,0)</f>
        <v>Phone</v>
      </c>
      <c r="M1788" s="1" t="str">
        <f>VLOOKUP(orders__17[[#This Row],[Order_ID]],returns[#All],2,0)</f>
        <v>No</v>
      </c>
    </row>
    <row r="1789" spans="1:13" x14ac:dyDescent="0.3">
      <c r="A1789" s="1" t="s">
        <v>2095</v>
      </c>
      <c r="B1789" s="2">
        <v>45077</v>
      </c>
      <c r="C1789" s="1" t="s">
        <v>277</v>
      </c>
      <c r="D1789" s="1" t="s">
        <v>215</v>
      </c>
      <c r="E1789">
        <v>1</v>
      </c>
      <c r="F1789" s="4">
        <v>1309.1099999999999</v>
      </c>
      <c r="G1789" s="3">
        <v>0</v>
      </c>
      <c r="H1789" s="4">
        <v>255.98</v>
      </c>
      <c r="I1789" t="str">
        <f>VLOOKUP(orders__17[[#This Row],[Customer_ID]],customers__2[#All],3,0)</f>
        <v>North</v>
      </c>
      <c r="J1789" t="str">
        <f>VLOOKUP(orders__17[[#This Row],[Customer_ID]],customers__2[#All],4,0)</f>
        <v>Corporate</v>
      </c>
      <c r="K1789" t="str">
        <f>VLOOKUP(orders__17[[#This Row],[Product_ID]],products[#All],3,0)</f>
        <v>Furniture</v>
      </c>
      <c r="L1789" s="1" t="str">
        <f>VLOOKUP(orders__17[[#This Row],[Product_ID]],products[#All],4,0)</f>
        <v>Table</v>
      </c>
      <c r="M1789" s="1" t="str">
        <f>VLOOKUP(orders__17[[#This Row],[Order_ID]],returns[#All],2,0)</f>
        <v>No</v>
      </c>
    </row>
    <row r="1790" spans="1:13" x14ac:dyDescent="0.3">
      <c r="A1790" s="1" t="s">
        <v>2096</v>
      </c>
      <c r="B1790" s="2">
        <v>44822</v>
      </c>
      <c r="C1790" s="1" t="s">
        <v>466</v>
      </c>
      <c r="D1790" s="1" t="s">
        <v>59</v>
      </c>
      <c r="E1790">
        <v>5</v>
      </c>
      <c r="F1790" s="4">
        <v>716.57</v>
      </c>
      <c r="G1790" s="3">
        <v>0</v>
      </c>
      <c r="H1790" s="4">
        <v>99.74</v>
      </c>
      <c r="I1790" t="str">
        <f>VLOOKUP(orders__17[[#This Row],[Customer_ID]],customers__2[#All],3,0)</f>
        <v>South</v>
      </c>
      <c r="J1790" t="str">
        <f>VLOOKUP(orders__17[[#This Row],[Customer_ID]],customers__2[#All],4,0)</f>
        <v>Home Office</v>
      </c>
      <c r="K1790" t="str">
        <f>VLOOKUP(orders__17[[#This Row],[Product_ID]],products[#All],3,0)</f>
        <v>Office Supplies</v>
      </c>
      <c r="L1790" s="1" t="str">
        <f>VLOOKUP(orders__17[[#This Row],[Product_ID]],products[#All],4,0)</f>
        <v>Paper</v>
      </c>
      <c r="M1790" s="1" t="str">
        <f>VLOOKUP(orders__17[[#This Row],[Order_ID]],returns[#All],2,0)</f>
        <v>No</v>
      </c>
    </row>
    <row r="1791" spans="1:13" x14ac:dyDescent="0.3">
      <c r="A1791" s="1" t="s">
        <v>2097</v>
      </c>
      <c r="B1791" s="2">
        <v>45062</v>
      </c>
      <c r="C1791" s="1" t="s">
        <v>176</v>
      </c>
      <c r="D1791" s="1" t="s">
        <v>372</v>
      </c>
      <c r="E1791">
        <v>4</v>
      </c>
      <c r="F1791" s="4">
        <v>612.07000000000005</v>
      </c>
      <c r="G1791" s="3">
        <v>0.1</v>
      </c>
      <c r="H1791" s="4">
        <v>55.74</v>
      </c>
      <c r="I1791" t="str">
        <f>VLOOKUP(orders__17[[#This Row],[Customer_ID]],customers__2[#All],3,0)</f>
        <v>South</v>
      </c>
      <c r="J1791" t="str">
        <f>VLOOKUP(orders__17[[#This Row],[Customer_ID]],customers__2[#All],4,0)</f>
        <v>Home Office</v>
      </c>
      <c r="K1791" t="str">
        <f>VLOOKUP(orders__17[[#This Row],[Product_ID]],products[#All],3,0)</f>
        <v>Furniture</v>
      </c>
      <c r="L1791" s="1" t="str">
        <f>VLOOKUP(orders__17[[#This Row],[Product_ID]],products[#All],4,0)</f>
        <v>Shelf</v>
      </c>
      <c r="M1791" s="1" t="str">
        <f>VLOOKUP(orders__17[[#This Row],[Order_ID]],returns[#All],2,0)</f>
        <v>No</v>
      </c>
    </row>
    <row r="1792" spans="1:13" x14ac:dyDescent="0.3">
      <c r="A1792" s="1" t="s">
        <v>2098</v>
      </c>
      <c r="B1792" s="2">
        <v>44983</v>
      </c>
      <c r="C1792" s="1" t="s">
        <v>697</v>
      </c>
      <c r="D1792" s="1" t="s">
        <v>263</v>
      </c>
      <c r="E1792">
        <v>2</v>
      </c>
      <c r="F1792" s="4">
        <v>462.76</v>
      </c>
      <c r="G1792" s="3">
        <v>0.2</v>
      </c>
      <c r="H1792" s="4">
        <v>81.41</v>
      </c>
      <c r="I1792" t="str">
        <f>VLOOKUP(orders__17[[#This Row],[Customer_ID]],customers__2[#All],3,0)</f>
        <v>South</v>
      </c>
      <c r="J1792" t="str">
        <f>VLOOKUP(orders__17[[#This Row],[Customer_ID]],customers__2[#All],4,0)</f>
        <v>Corporate</v>
      </c>
      <c r="K1792" t="str">
        <f>VLOOKUP(orders__17[[#This Row],[Product_ID]],products[#All],3,0)</f>
        <v>Office Supplies</v>
      </c>
      <c r="L1792" s="1" t="str">
        <f>VLOOKUP(orders__17[[#This Row],[Product_ID]],products[#All],4,0)</f>
        <v>Storage</v>
      </c>
      <c r="M1792" s="1" t="str">
        <f>VLOOKUP(orders__17[[#This Row],[Order_ID]],returns[#All],2,0)</f>
        <v>No</v>
      </c>
    </row>
    <row r="1793" spans="1:13" x14ac:dyDescent="0.3">
      <c r="A1793" s="1" t="s">
        <v>2099</v>
      </c>
      <c r="B1793" s="2">
        <v>45135</v>
      </c>
      <c r="C1793" s="1" t="s">
        <v>355</v>
      </c>
      <c r="D1793" s="1" t="s">
        <v>215</v>
      </c>
      <c r="E1793">
        <v>5</v>
      </c>
      <c r="F1793" s="4">
        <v>1419.82</v>
      </c>
      <c r="G1793" s="3">
        <v>0.2</v>
      </c>
      <c r="H1793" s="4">
        <v>365.68</v>
      </c>
      <c r="I1793" t="str">
        <f>VLOOKUP(orders__17[[#This Row],[Customer_ID]],customers__2[#All],3,0)</f>
        <v>South</v>
      </c>
      <c r="J1793" t="str">
        <f>VLOOKUP(orders__17[[#This Row],[Customer_ID]],customers__2[#All],4,0)</f>
        <v>Home Office</v>
      </c>
      <c r="K1793" t="str">
        <f>VLOOKUP(orders__17[[#This Row],[Product_ID]],products[#All],3,0)</f>
        <v>Furniture</v>
      </c>
      <c r="L1793" s="1" t="str">
        <f>VLOOKUP(orders__17[[#This Row],[Product_ID]],products[#All],4,0)</f>
        <v>Table</v>
      </c>
      <c r="M1793" s="1" t="str">
        <f>VLOOKUP(orders__17[[#This Row],[Order_ID]],returns[#All],2,0)</f>
        <v>Yes</v>
      </c>
    </row>
    <row r="1794" spans="1:13" x14ac:dyDescent="0.3">
      <c r="A1794" s="1" t="s">
        <v>2100</v>
      </c>
      <c r="B1794" s="2">
        <v>44989</v>
      </c>
      <c r="C1794" s="1" t="s">
        <v>447</v>
      </c>
      <c r="D1794" s="1" t="s">
        <v>127</v>
      </c>
      <c r="E1794">
        <v>1</v>
      </c>
      <c r="F1794" s="4">
        <v>515.55999999999995</v>
      </c>
      <c r="G1794" s="3">
        <v>0.3</v>
      </c>
      <c r="H1794" s="4">
        <v>111.36</v>
      </c>
      <c r="I1794" t="str">
        <f>VLOOKUP(orders__17[[#This Row],[Customer_ID]],customers__2[#All],3,0)</f>
        <v>West</v>
      </c>
      <c r="J1794" t="str">
        <f>VLOOKUP(orders__17[[#This Row],[Customer_ID]],customers__2[#All],4,0)</f>
        <v>Corporate</v>
      </c>
      <c r="K1794" t="str">
        <f>VLOOKUP(orders__17[[#This Row],[Product_ID]],products[#All],3,0)</f>
        <v>Furniture</v>
      </c>
      <c r="L1794" s="1" t="str">
        <f>VLOOKUP(orders__17[[#This Row],[Product_ID]],products[#All],4,0)</f>
        <v>Chair</v>
      </c>
      <c r="M1794" s="1" t="str">
        <f>VLOOKUP(orders__17[[#This Row],[Order_ID]],returns[#All],2,0)</f>
        <v>Yes</v>
      </c>
    </row>
    <row r="1795" spans="1:13" x14ac:dyDescent="0.3">
      <c r="A1795" s="1" t="s">
        <v>2101</v>
      </c>
      <c r="B1795" s="2">
        <v>44574</v>
      </c>
      <c r="C1795" s="1" t="s">
        <v>285</v>
      </c>
      <c r="D1795" s="1" t="s">
        <v>679</v>
      </c>
      <c r="E1795">
        <v>3</v>
      </c>
      <c r="F1795" s="4">
        <v>1231.08</v>
      </c>
      <c r="G1795" s="3">
        <v>0.2</v>
      </c>
      <c r="H1795" s="4">
        <v>165.69</v>
      </c>
      <c r="I1795" t="str">
        <f>VLOOKUP(orders__17[[#This Row],[Customer_ID]],customers__2[#All],3,0)</f>
        <v>South</v>
      </c>
      <c r="J1795" t="str">
        <f>VLOOKUP(orders__17[[#This Row],[Customer_ID]],customers__2[#All],4,0)</f>
        <v>Corporate</v>
      </c>
      <c r="K1795" t="str">
        <f>VLOOKUP(orders__17[[#This Row],[Product_ID]],products[#All],3,0)</f>
        <v>Office Supplies</v>
      </c>
      <c r="L1795" s="1" t="str">
        <f>VLOOKUP(orders__17[[#This Row],[Product_ID]],products[#All],4,0)</f>
        <v>Paper</v>
      </c>
      <c r="M1795" s="1" t="str">
        <f>VLOOKUP(orders__17[[#This Row],[Order_ID]],returns[#All],2,0)</f>
        <v>No</v>
      </c>
    </row>
    <row r="1796" spans="1:13" x14ac:dyDescent="0.3">
      <c r="A1796" s="1" t="s">
        <v>2102</v>
      </c>
      <c r="B1796" s="2">
        <v>44800</v>
      </c>
      <c r="C1796" s="1" t="s">
        <v>547</v>
      </c>
      <c r="D1796" s="1" t="s">
        <v>119</v>
      </c>
      <c r="E1796">
        <v>5</v>
      </c>
      <c r="F1796" s="4">
        <v>602.80999999999995</v>
      </c>
      <c r="G1796" s="3">
        <v>0.2</v>
      </c>
      <c r="H1796" s="4">
        <v>171.13</v>
      </c>
      <c r="I1796" t="str">
        <f>VLOOKUP(orders__17[[#This Row],[Customer_ID]],customers__2[#All],3,0)</f>
        <v>West</v>
      </c>
      <c r="J1796" t="str">
        <f>VLOOKUP(orders__17[[#This Row],[Customer_ID]],customers__2[#All],4,0)</f>
        <v>Corporate</v>
      </c>
      <c r="K1796" t="str">
        <f>VLOOKUP(orders__17[[#This Row],[Product_ID]],products[#All],3,0)</f>
        <v>Technology</v>
      </c>
      <c r="L1796" s="1" t="str">
        <f>VLOOKUP(orders__17[[#This Row],[Product_ID]],products[#All],4,0)</f>
        <v>Tablet</v>
      </c>
      <c r="M1796" s="1" t="str">
        <f>VLOOKUP(orders__17[[#This Row],[Order_ID]],returns[#All],2,0)</f>
        <v>No</v>
      </c>
    </row>
    <row r="1797" spans="1:13" x14ac:dyDescent="0.3">
      <c r="A1797" s="1" t="s">
        <v>2103</v>
      </c>
      <c r="B1797" s="2">
        <v>45246</v>
      </c>
      <c r="C1797" s="1" t="s">
        <v>160</v>
      </c>
      <c r="D1797" s="1" t="s">
        <v>294</v>
      </c>
      <c r="E1797">
        <v>5</v>
      </c>
      <c r="F1797" s="4">
        <v>1357.74</v>
      </c>
      <c r="G1797" s="3">
        <v>0.2</v>
      </c>
      <c r="H1797" s="4">
        <v>377.52</v>
      </c>
      <c r="I1797" t="str">
        <f>VLOOKUP(orders__17[[#This Row],[Customer_ID]],customers__2[#All],3,0)</f>
        <v>East</v>
      </c>
      <c r="J1797" t="str">
        <f>VLOOKUP(orders__17[[#This Row],[Customer_ID]],customers__2[#All],4,0)</f>
        <v>Corporate</v>
      </c>
      <c r="K1797" t="str">
        <f>VLOOKUP(orders__17[[#This Row],[Product_ID]],products[#All],3,0)</f>
        <v>Technology</v>
      </c>
      <c r="L1797" s="1" t="str">
        <f>VLOOKUP(orders__17[[#This Row],[Product_ID]],products[#All],4,0)</f>
        <v>Tablet</v>
      </c>
      <c r="M1797" s="1" t="str">
        <f>VLOOKUP(orders__17[[#This Row],[Order_ID]],returns[#All],2,0)</f>
        <v>No</v>
      </c>
    </row>
    <row r="1798" spans="1:13" x14ac:dyDescent="0.3">
      <c r="A1798" s="1" t="s">
        <v>2104</v>
      </c>
      <c r="B1798" s="2">
        <v>45160</v>
      </c>
      <c r="C1798" s="1" t="s">
        <v>647</v>
      </c>
      <c r="D1798" s="1" t="s">
        <v>669</v>
      </c>
      <c r="E1798">
        <v>3</v>
      </c>
      <c r="F1798" s="4">
        <v>1648.39</v>
      </c>
      <c r="G1798" s="3">
        <v>0.2</v>
      </c>
      <c r="H1798" s="4">
        <v>168.69</v>
      </c>
      <c r="I1798" t="str">
        <f>VLOOKUP(orders__17[[#This Row],[Customer_ID]],customers__2[#All],3,0)</f>
        <v>South</v>
      </c>
      <c r="J1798" t="str">
        <f>VLOOKUP(orders__17[[#This Row],[Customer_ID]],customers__2[#All],4,0)</f>
        <v>Consumer</v>
      </c>
      <c r="K1798" t="str">
        <f>VLOOKUP(orders__17[[#This Row],[Product_ID]],products[#All],3,0)</f>
        <v>Office Supplies</v>
      </c>
      <c r="L1798" s="1" t="str">
        <f>VLOOKUP(orders__17[[#This Row],[Product_ID]],products[#All],4,0)</f>
        <v>Pen</v>
      </c>
      <c r="M1798" s="1" t="str">
        <f>VLOOKUP(orders__17[[#This Row],[Order_ID]],returns[#All],2,0)</f>
        <v>No</v>
      </c>
    </row>
    <row r="1799" spans="1:13" x14ac:dyDescent="0.3">
      <c r="A1799" s="1" t="s">
        <v>2105</v>
      </c>
      <c r="B1799" s="2">
        <v>45040</v>
      </c>
      <c r="C1799" s="1" t="s">
        <v>353</v>
      </c>
      <c r="D1799" s="1" t="s">
        <v>107</v>
      </c>
      <c r="E1799">
        <v>5</v>
      </c>
      <c r="F1799" s="4">
        <v>1578.25</v>
      </c>
      <c r="G1799" s="3">
        <v>0.3</v>
      </c>
      <c r="H1799" s="4">
        <v>94.47</v>
      </c>
      <c r="I1799" t="str">
        <f>VLOOKUP(orders__17[[#This Row],[Customer_ID]],customers__2[#All],3,0)</f>
        <v>East</v>
      </c>
      <c r="J1799" t="str">
        <f>VLOOKUP(orders__17[[#This Row],[Customer_ID]],customers__2[#All],4,0)</f>
        <v>Home Office</v>
      </c>
      <c r="K1799" t="str">
        <f>VLOOKUP(orders__17[[#This Row],[Product_ID]],products[#All],3,0)</f>
        <v>Office Supplies</v>
      </c>
      <c r="L1799" s="1" t="str">
        <f>VLOOKUP(orders__17[[#This Row],[Product_ID]],products[#All],4,0)</f>
        <v>Pen</v>
      </c>
      <c r="M1799" s="1" t="str">
        <f>VLOOKUP(orders__17[[#This Row],[Order_ID]],returns[#All],2,0)</f>
        <v>No</v>
      </c>
    </row>
    <row r="1800" spans="1:13" x14ac:dyDescent="0.3">
      <c r="A1800" s="1" t="s">
        <v>2106</v>
      </c>
      <c r="B1800" s="2">
        <v>45365</v>
      </c>
      <c r="C1800" s="1" t="s">
        <v>80</v>
      </c>
      <c r="D1800" s="1" t="s">
        <v>369</v>
      </c>
      <c r="E1800">
        <v>1</v>
      </c>
      <c r="F1800" s="4">
        <v>1545.62</v>
      </c>
      <c r="G1800" s="3">
        <v>0.1</v>
      </c>
      <c r="H1800" s="4">
        <v>363.73</v>
      </c>
      <c r="I1800" t="str">
        <f>VLOOKUP(orders__17[[#This Row],[Customer_ID]],customers__2[#All],3,0)</f>
        <v>East</v>
      </c>
      <c r="J1800" t="str">
        <f>VLOOKUP(orders__17[[#This Row],[Customer_ID]],customers__2[#All],4,0)</f>
        <v>Home Office</v>
      </c>
      <c r="K1800" t="str">
        <f>VLOOKUP(orders__17[[#This Row],[Product_ID]],products[#All],3,0)</f>
        <v>Technology</v>
      </c>
      <c r="L1800" s="1" t="str">
        <f>VLOOKUP(orders__17[[#This Row],[Product_ID]],products[#All],4,0)</f>
        <v>Phone</v>
      </c>
      <c r="M1800" s="1" t="str">
        <f>VLOOKUP(orders__17[[#This Row],[Order_ID]],returns[#All],2,0)</f>
        <v>Yes</v>
      </c>
    </row>
    <row r="1801" spans="1:13" x14ac:dyDescent="0.3">
      <c r="A1801" s="1" t="s">
        <v>2107</v>
      </c>
      <c r="B1801" s="2">
        <v>45351</v>
      </c>
      <c r="C1801" s="1" t="s">
        <v>213</v>
      </c>
      <c r="D1801" s="1" t="s">
        <v>116</v>
      </c>
      <c r="E1801">
        <v>1</v>
      </c>
      <c r="F1801" s="4">
        <v>456.67</v>
      </c>
      <c r="G1801" s="3">
        <v>0</v>
      </c>
      <c r="H1801" s="4">
        <v>117.32</v>
      </c>
      <c r="I1801" t="str">
        <f>VLOOKUP(orders__17[[#This Row],[Customer_ID]],customers__2[#All],3,0)</f>
        <v>East</v>
      </c>
      <c r="J1801" t="str">
        <f>VLOOKUP(orders__17[[#This Row],[Customer_ID]],customers__2[#All],4,0)</f>
        <v>Corporate</v>
      </c>
      <c r="K1801" t="str">
        <f>VLOOKUP(orders__17[[#This Row],[Product_ID]],products[#All],3,0)</f>
        <v>Furniture</v>
      </c>
      <c r="L1801" s="1" t="str">
        <f>VLOOKUP(orders__17[[#This Row],[Product_ID]],products[#All],4,0)</f>
        <v>Shelf</v>
      </c>
      <c r="M1801" s="1" t="str">
        <f>VLOOKUP(orders__17[[#This Row],[Order_ID]],returns[#All],2,0)</f>
        <v>No</v>
      </c>
    </row>
    <row r="1802" spans="1:13" x14ac:dyDescent="0.3">
      <c r="A1802" s="1" t="s">
        <v>2108</v>
      </c>
      <c r="B1802" s="2">
        <v>45417</v>
      </c>
      <c r="C1802" s="1" t="s">
        <v>273</v>
      </c>
      <c r="D1802" s="1" t="s">
        <v>603</v>
      </c>
      <c r="E1802">
        <v>3</v>
      </c>
      <c r="F1802" s="4">
        <v>267.93</v>
      </c>
      <c r="G1802" s="3">
        <v>0.2</v>
      </c>
      <c r="H1802" s="4">
        <v>78.23</v>
      </c>
      <c r="I1802" t="str">
        <f>VLOOKUP(orders__17[[#This Row],[Customer_ID]],customers__2[#All],3,0)</f>
        <v>North</v>
      </c>
      <c r="J1802" t="str">
        <f>VLOOKUP(orders__17[[#This Row],[Customer_ID]],customers__2[#All],4,0)</f>
        <v>Corporate</v>
      </c>
      <c r="K1802" t="str">
        <f>VLOOKUP(orders__17[[#This Row],[Product_ID]],products[#All],3,0)</f>
        <v>Technology</v>
      </c>
      <c r="L1802" s="1" t="str">
        <f>VLOOKUP(orders__17[[#This Row],[Product_ID]],products[#All],4,0)</f>
        <v>Accessories</v>
      </c>
      <c r="M1802" s="1" t="str">
        <f>VLOOKUP(orders__17[[#This Row],[Order_ID]],returns[#All],2,0)</f>
        <v>No</v>
      </c>
    </row>
    <row r="1803" spans="1:13" x14ac:dyDescent="0.3">
      <c r="A1803" s="1" t="s">
        <v>2109</v>
      </c>
      <c r="B1803" s="2">
        <v>44797</v>
      </c>
      <c r="C1803" s="1" t="s">
        <v>321</v>
      </c>
      <c r="D1803" s="1" t="s">
        <v>275</v>
      </c>
      <c r="E1803">
        <v>4</v>
      </c>
      <c r="F1803" s="4">
        <v>1428</v>
      </c>
      <c r="G1803" s="3">
        <v>0.1</v>
      </c>
      <c r="H1803" s="4">
        <v>389.07</v>
      </c>
      <c r="I1803" t="str">
        <f>VLOOKUP(orders__17[[#This Row],[Customer_ID]],customers__2[#All],3,0)</f>
        <v>South</v>
      </c>
      <c r="J1803" t="str">
        <f>VLOOKUP(orders__17[[#This Row],[Customer_ID]],customers__2[#All],4,0)</f>
        <v>Corporate</v>
      </c>
      <c r="K1803" t="str">
        <f>VLOOKUP(orders__17[[#This Row],[Product_ID]],products[#All],3,0)</f>
        <v>Furniture</v>
      </c>
      <c r="L1803" s="1" t="str">
        <f>VLOOKUP(orders__17[[#This Row],[Product_ID]],products[#All],4,0)</f>
        <v>Table</v>
      </c>
      <c r="M1803" s="1" t="str">
        <f>VLOOKUP(orders__17[[#This Row],[Order_ID]],returns[#All],2,0)</f>
        <v>No</v>
      </c>
    </row>
    <row r="1804" spans="1:13" x14ac:dyDescent="0.3">
      <c r="A1804" s="1" t="s">
        <v>2110</v>
      </c>
      <c r="B1804" s="2">
        <v>45376</v>
      </c>
      <c r="C1804" s="1" t="s">
        <v>697</v>
      </c>
      <c r="D1804" s="1" t="s">
        <v>147</v>
      </c>
      <c r="E1804">
        <v>2</v>
      </c>
      <c r="F1804" s="4">
        <v>799.86</v>
      </c>
      <c r="G1804" s="3">
        <v>0.2</v>
      </c>
      <c r="H1804" s="4">
        <v>160.08000000000001</v>
      </c>
      <c r="I1804" t="str">
        <f>VLOOKUP(orders__17[[#This Row],[Customer_ID]],customers__2[#All],3,0)</f>
        <v>South</v>
      </c>
      <c r="J1804" t="str">
        <f>VLOOKUP(orders__17[[#This Row],[Customer_ID]],customers__2[#All],4,0)</f>
        <v>Corporate</v>
      </c>
      <c r="K1804" t="str">
        <f>VLOOKUP(orders__17[[#This Row],[Product_ID]],products[#All],3,0)</f>
        <v>Technology</v>
      </c>
      <c r="L1804" s="1" t="str">
        <f>VLOOKUP(orders__17[[#This Row],[Product_ID]],products[#All],4,0)</f>
        <v>Laptop</v>
      </c>
      <c r="M1804" s="1" t="str">
        <f>VLOOKUP(orders__17[[#This Row],[Order_ID]],returns[#All],2,0)</f>
        <v>No</v>
      </c>
    </row>
    <row r="1805" spans="1:13" x14ac:dyDescent="0.3">
      <c r="A1805" s="1" t="s">
        <v>2111</v>
      </c>
      <c r="B1805" s="2">
        <v>45122</v>
      </c>
      <c r="C1805" s="1" t="s">
        <v>205</v>
      </c>
      <c r="D1805" s="1" t="s">
        <v>239</v>
      </c>
      <c r="E1805">
        <v>4</v>
      </c>
      <c r="F1805" s="4">
        <v>921.46</v>
      </c>
      <c r="G1805" s="3">
        <v>0.2</v>
      </c>
      <c r="H1805" s="4">
        <v>168.18</v>
      </c>
      <c r="I1805" t="str">
        <f>VLOOKUP(orders__17[[#This Row],[Customer_ID]],customers__2[#All],3,0)</f>
        <v>North</v>
      </c>
      <c r="J1805" t="str">
        <f>VLOOKUP(orders__17[[#This Row],[Customer_ID]],customers__2[#All],4,0)</f>
        <v>Consumer</v>
      </c>
      <c r="K1805" t="str">
        <f>VLOOKUP(orders__17[[#This Row],[Product_ID]],products[#All],3,0)</f>
        <v>Furniture</v>
      </c>
      <c r="L1805" s="1" t="str">
        <f>VLOOKUP(orders__17[[#This Row],[Product_ID]],products[#All],4,0)</f>
        <v>Shelf</v>
      </c>
      <c r="M1805" s="1" t="str">
        <f>VLOOKUP(orders__17[[#This Row],[Order_ID]],returns[#All],2,0)</f>
        <v>Yes</v>
      </c>
    </row>
    <row r="1806" spans="1:13" x14ac:dyDescent="0.3">
      <c r="A1806" s="1" t="s">
        <v>2112</v>
      </c>
      <c r="B1806" s="2">
        <v>45026</v>
      </c>
      <c r="C1806" s="1" t="s">
        <v>673</v>
      </c>
      <c r="D1806" s="1" t="s">
        <v>43</v>
      </c>
      <c r="E1806">
        <v>5</v>
      </c>
      <c r="F1806" s="4">
        <v>159.18</v>
      </c>
      <c r="G1806" s="3">
        <v>0</v>
      </c>
      <c r="H1806" s="4">
        <v>9.07</v>
      </c>
      <c r="I1806" t="str">
        <f>VLOOKUP(orders__17[[#This Row],[Customer_ID]],customers__2[#All],3,0)</f>
        <v>West</v>
      </c>
      <c r="J1806" t="str">
        <f>VLOOKUP(orders__17[[#This Row],[Customer_ID]],customers__2[#All],4,0)</f>
        <v>Consumer</v>
      </c>
      <c r="K1806" t="str">
        <f>VLOOKUP(orders__17[[#This Row],[Product_ID]],products[#All],3,0)</f>
        <v>Technology</v>
      </c>
      <c r="L1806" s="1" t="str">
        <f>VLOOKUP(orders__17[[#This Row],[Product_ID]],products[#All],4,0)</f>
        <v>Tablet</v>
      </c>
      <c r="M1806" s="1" t="str">
        <f>VLOOKUP(orders__17[[#This Row],[Order_ID]],returns[#All],2,0)</f>
        <v>No</v>
      </c>
    </row>
    <row r="1807" spans="1:13" x14ac:dyDescent="0.3">
      <c r="A1807" s="1" t="s">
        <v>2113</v>
      </c>
      <c r="B1807" s="2">
        <v>44712</v>
      </c>
      <c r="C1807" s="1" t="s">
        <v>554</v>
      </c>
      <c r="D1807" s="1" t="s">
        <v>249</v>
      </c>
      <c r="E1807">
        <v>2</v>
      </c>
      <c r="F1807" s="4">
        <v>593.20000000000005</v>
      </c>
      <c r="G1807" s="3">
        <v>0</v>
      </c>
      <c r="H1807" s="4">
        <v>66.239999999999995</v>
      </c>
      <c r="I1807" t="str">
        <f>VLOOKUP(orders__17[[#This Row],[Customer_ID]],customers__2[#All],3,0)</f>
        <v>East</v>
      </c>
      <c r="J1807" t="str">
        <f>VLOOKUP(orders__17[[#This Row],[Customer_ID]],customers__2[#All],4,0)</f>
        <v>Consumer</v>
      </c>
      <c r="K1807" t="str">
        <f>VLOOKUP(orders__17[[#This Row],[Product_ID]],products[#All],3,0)</f>
        <v>Office Supplies</v>
      </c>
      <c r="L1807" s="1" t="str">
        <f>VLOOKUP(orders__17[[#This Row],[Product_ID]],products[#All],4,0)</f>
        <v>Paper</v>
      </c>
      <c r="M1807" s="1" t="str">
        <f>VLOOKUP(orders__17[[#This Row],[Order_ID]],returns[#All],2,0)</f>
        <v>No</v>
      </c>
    </row>
    <row r="1808" spans="1:13" x14ac:dyDescent="0.3">
      <c r="A1808" s="1" t="s">
        <v>2114</v>
      </c>
      <c r="B1808" s="2">
        <v>44985</v>
      </c>
      <c r="C1808" s="1" t="s">
        <v>198</v>
      </c>
      <c r="D1808" s="1" t="s">
        <v>256</v>
      </c>
      <c r="E1808">
        <v>3</v>
      </c>
      <c r="F1808" s="4">
        <v>163.99</v>
      </c>
      <c r="G1808" s="3">
        <v>0</v>
      </c>
      <c r="H1808" s="4">
        <v>27.04</v>
      </c>
      <c r="I1808" t="str">
        <f>VLOOKUP(orders__17[[#This Row],[Customer_ID]],customers__2[#All],3,0)</f>
        <v>North</v>
      </c>
      <c r="J1808" t="str">
        <f>VLOOKUP(orders__17[[#This Row],[Customer_ID]],customers__2[#All],4,0)</f>
        <v>Consumer</v>
      </c>
      <c r="K1808" t="str">
        <f>VLOOKUP(orders__17[[#This Row],[Product_ID]],products[#All],3,0)</f>
        <v>Office Supplies</v>
      </c>
      <c r="L1808" s="1" t="str">
        <f>VLOOKUP(orders__17[[#This Row],[Product_ID]],products[#All],4,0)</f>
        <v>Pen</v>
      </c>
      <c r="M1808" s="1" t="str">
        <f>VLOOKUP(orders__17[[#This Row],[Order_ID]],returns[#All],2,0)</f>
        <v>No</v>
      </c>
    </row>
    <row r="1809" spans="1:13" x14ac:dyDescent="0.3">
      <c r="A1809" s="1" t="s">
        <v>2115</v>
      </c>
      <c r="B1809" s="2">
        <v>44824</v>
      </c>
      <c r="C1809" s="1" t="s">
        <v>542</v>
      </c>
      <c r="D1809" s="1" t="s">
        <v>253</v>
      </c>
      <c r="E1809">
        <v>3</v>
      </c>
      <c r="F1809" s="4">
        <v>1770.45</v>
      </c>
      <c r="G1809" s="3">
        <v>0.2</v>
      </c>
      <c r="H1809" s="4">
        <v>366.71</v>
      </c>
      <c r="I1809" t="str">
        <f>VLOOKUP(orders__17[[#This Row],[Customer_ID]],customers__2[#All],3,0)</f>
        <v>West</v>
      </c>
      <c r="J1809" t="str">
        <f>VLOOKUP(orders__17[[#This Row],[Customer_ID]],customers__2[#All],4,0)</f>
        <v>Home Office</v>
      </c>
      <c r="K1809" t="str">
        <f>VLOOKUP(orders__17[[#This Row],[Product_ID]],products[#All],3,0)</f>
        <v>Technology</v>
      </c>
      <c r="L1809" s="1" t="str">
        <f>VLOOKUP(orders__17[[#This Row],[Product_ID]],products[#All],4,0)</f>
        <v>Accessories</v>
      </c>
      <c r="M1809" s="1" t="str">
        <f>VLOOKUP(orders__17[[#This Row],[Order_ID]],returns[#All],2,0)</f>
        <v>No</v>
      </c>
    </row>
    <row r="1810" spans="1:13" x14ac:dyDescent="0.3">
      <c r="A1810" s="1" t="s">
        <v>2116</v>
      </c>
      <c r="B1810" s="2">
        <v>45059</v>
      </c>
      <c r="C1810" s="1" t="s">
        <v>238</v>
      </c>
      <c r="D1810" s="1" t="s">
        <v>603</v>
      </c>
      <c r="E1810">
        <v>2</v>
      </c>
      <c r="F1810" s="4">
        <v>562.45000000000005</v>
      </c>
      <c r="G1810" s="3">
        <v>0.2</v>
      </c>
      <c r="H1810" s="4">
        <v>106.48</v>
      </c>
      <c r="I1810" t="str">
        <f>VLOOKUP(orders__17[[#This Row],[Customer_ID]],customers__2[#All],3,0)</f>
        <v>West</v>
      </c>
      <c r="J1810" t="str">
        <f>VLOOKUP(orders__17[[#This Row],[Customer_ID]],customers__2[#All],4,0)</f>
        <v>Corporate</v>
      </c>
      <c r="K1810" t="str">
        <f>VLOOKUP(orders__17[[#This Row],[Product_ID]],products[#All],3,0)</f>
        <v>Technology</v>
      </c>
      <c r="L1810" s="1" t="str">
        <f>VLOOKUP(orders__17[[#This Row],[Product_ID]],products[#All],4,0)</f>
        <v>Accessories</v>
      </c>
      <c r="M1810" s="1" t="str">
        <f>VLOOKUP(orders__17[[#This Row],[Order_ID]],returns[#All],2,0)</f>
        <v>No</v>
      </c>
    </row>
    <row r="1811" spans="1:13" x14ac:dyDescent="0.3">
      <c r="A1811" s="1" t="s">
        <v>2117</v>
      </c>
      <c r="B1811" s="2">
        <v>45326</v>
      </c>
      <c r="C1811" s="1" t="s">
        <v>491</v>
      </c>
      <c r="D1811" s="1" t="s">
        <v>361</v>
      </c>
      <c r="E1811">
        <v>1</v>
      </c>
      <c r="F1811" s="4">
        <v>1158.94</v>
      </c>
      <c r="G1811" s="3">
        <v>0.2</v>
      </c>
      <c r="H1811" s="4">
        <v>273.11</v>
      </c>
      <c r="I1811" t="str">
        <f>VLOOKUP(orders__17[[#This Row],[Customer_ID]],customers__2[#All],3,0)</f>
        <v>West</v>
      </c>
      <c r="J1811" t="str">
        <f>VLOOKUP(orders__17[[#This Row],[Customer_ID]],customers__2[#All],4,0)</f>
        <v>Corporate</v>
      </c>
      <c r="K1811" t="str">
        <f>VLOOKUP(orders__17[[#This Row],[Product_ID]],products[#All],3,0)</f>
        <v>Furniture</v>
      </c>
      <c r="L1811" s="1" t="str">
        <f>VLOOKUP(orders__17[[#This Row],[Product_ID]],products[#All],4,0)</f>
        <v>Shelf</v>
      </c>
      <c r="M1811" s="1" t="str">
        <f>VLOOKUP(orders__17[[#This Row],[Order_ID]],returns[#All],2,0)</f>
        <v>No</v>
      </c>
    </row>
    <row r="1812" spans="1:13" x14ac:dyDescent="0.3">
      <c r="A1812" s="1" t="s">
        <v>2118</v>
      </c>
      <c r="B1812" s="2">
        <v>45134</v>
      </c>
      <c r="C1812" s="1" t="s">
        <v>691</v>
      </c>
      <c r="D1812" s="1" t="s">
        <v>186</v>
      </c>
      <c r="E1812">
        <v>2</v>
      </c>
      <c r="F1812" s="4">
        <v>174.06</v>
      </c>
      <c r="G1812" s="3">
        <v>0</v>
      </c>
      <c r="H1812" s="4">
        <v>20.88</v>
      </c>
      <c r="I1812" t="str">
        <f>VLOOKUP(orders__17[[#This Row],[Customer_ID]],customers__2[#All],3,0)</f>
        <v>West</v>
      </c>
      <c r="J1812" t="str">
        <f>VLOOKUP(orders__17[[#This Row],[Customer_ID]],customers__2[#All],4,0)</f>
        <v>Corporate</v>
      </c>
      <c r="K1812" t="str">
        <f>VLOOKUP(orders__17[[#This Row],[Product_ID]],products[#All],3,0)</f>
        <v>Technology</v>
      </c>
      <c r="L1812" s="1" t="str">
        <f>VLOOKUP(orders__17[[#This Row],[Product_ID]],products[#All],4,0)</f>
        <v>Laptop</v>
      </c>
      <c r="M1812" s="1" t="str">
        <f>VLOOKUP(orders__17[[#This Row],[Order_ID]],returns[#All],2,0)</f>
        <v>No</v>
      </c>
    </row>
    <row r="1813" spans="1:13" x14ac:dyDescent="0.3">
      <c r="A1813" s="1" t="s">
        <v>2119</v>
      </c>
      <c r="B1813" s="2">
        <v>45358</v>
      </c>
      <c r="C1813" s="1" t="s">
        <v>36</v>
      </c>
      <c r="D1813" s="1" t="s">
        <v>242</v>
      </c>
      <c r="E1813">
        <v>5</v>
      </c>
      <c r="F1813" s="4">
        <v>1367.01</v>
      </c>
      <c r="G1813" s="3">
        <v>0.3</v>
      </c>
      <c r="H1813" s="4">
        <v>261.42</v>
      </c>
      <c r="I1813" t="str">
        <f>VLOOKUP(orders__17[[#This Row],[Customer_ID]],customers__2[#All],3,0)</f>
        <v>North</v>
      </c>
      <c r="J1813" t="str">
        <f>VLOOKUP(orders__17[[#This Row],[Customer_ID]],customers__2[#All],4,0)</f>
        <v>Consumer</v>
      </c>
      <c r="K1813" t="str">
        <f>VLOOKUP(orders__17[[#This Row],[Product_ID]],products[#All],3,0)</f>
        <v>Technology</v>
      </c>
      <c r="L1813" s="1" t="str">
        <f>VLOOKUP(orders__17[[#This Row],[Product_ID]],products[#All],4,0)</f>
        <v>Phone</v>
      </c>
      <c r="M1813" s="1" t="str">
        <f>VLOOKUP(orders__17[[#This Row],[Order_ID]],returns[#All],2,0)</f>
        <v>Yes</v>
      </c>
    </row>
    <row r="1814" spans="1:13" x14ac:dyDescent="0.3">
      <c r="A1814" s="1" t="s">
        <v>2120</v>
      </c>
      <c r="B1814" s="2">
        <v>45090</v>
      </c>
      <c r="C1814" s="1" t="s">
        <v>145</v>
      </c>
      <c r="D1814" s="1" t="s">
        <v>64</v>
      </c>
      <c r="E1814">
        <v>1</v>
      </c>
      <c r="F1814" s="4">
        <v>713.75</v>
      </c>
      <c r="G1814" s="3">
        <v>0.1</v>
      </c>
      <c r="H1814" s="4">
        <v>51.42</v>
      </c>
      <c r="I1814" t="str">
        <f>VLOOKUP(orders__17[[#This Row],[Customer_ID]],customers__2[#All],3,0)</f>
        <v>West</v>
      </c>
      <c r="J1814" t="str">
        <f>VLOOKUP(orders__17[[#This Row],[Customer_ID]],customers__2[#All],4,0)</f>
        <v>Corporate</v>
      </c>
      <c r="K1814" t="str">
        <f>VLOOKUP(orders__17[[#This Row],[Product_ID]],products[#All],3,0)</f>
        <v>Office Supplies</v>
      </c>
      <c r="L1814" s="1" t="str">
        <f>VLOOKUP(orders__17[[#This Row],[Product_ID]],products[#All],4,0)</f>
        <v>Storage</v>
      </c>
      <c r="M1814" s="1" t="str">
        <f>VLOOKUP(orders__17[[#This Row],[Order_ID]],returns[#All],2,0)</f>
        <v>No</v>
      </c>
    </row>
    <row r="1815" spans="1:13" x14ac:dyDescent="0.3">
      <c r="A1815" s="1" t="s">
        <v>2121</v>
      </c>
      <c r="B1815" s="2">
        <v>44682</v>
      </c>
      <c r="C1815" s="1" t="s">
        <v>9</v>
      </c>
      <c r="D1815" s="1" t="s">
        <v>288</v>
      </c>
      <c r="E1815">
        <v>3</v>
      </c>
      <c r="F1815" s="4">
        <v>1806.05</v>
      </c>
      <c r="G1815" s="3">
        <v>0.3</v>
      </c>
      <c r="H1815" s="4">
        <v>277.08</v>
      </c>
      <c r="I1815" t="str">
        <f>VLOOKUP(orders__17[[#This Row],[Customer_ID]],customers__2[#All],3,0)</f>
        <v>East</v>
      </c>
      <c r="J1815" t="str">
        <f>VLOOKUP(orders__17[[#This Row],[Customer_ID]],customers__2[#All],4,0)</f>
        <v>Consumer</v>
      </c>
      <c r="K1815" t="str">
        <f>VLOOKUP(orders__17[[#This Row],[Product_ID]],products[#All],3,0)</f>
        <v>Furniture</v>
      </c>
      <c r="L1815" s="1" t="str">
        <f>VLOOKUP(orders__17[[#This Row],[Product_ID]],products[#All],4,0)</f>
        <v>Chair</v>
      </c>
      <c r="M1815" s="1" t="str">
        <f>VLOOKUP(orders__17[[#This Row],[Order_ID]],returns[#All],2,0)</f>
        <v>Yes</v>
      </c>
    </row>
    <row r="1816" spans="1:13" x14ac:dyDescent="0.3">
      <c r="A1816" s="1" t="s">
        <v>2122</v>
      </c>
      <c r="B1816" s="2">
        <v>44886</v>
      </c>
      <c r="C1816" s="1" t="s">
        <v>402</v>
      </c>
      <c r="D1816" s="1" t="s">
        <v>502</v>
      </c>
      <c r="E1816">
        <v>2</v>
      </c>
      <c r="F1816" s="4">
        <v>1787.42</v>
      </c>
      <c r="G1816" s="3">
        <v>0.2</v>
      </c>
      <c r="H1816" s="4">
        <v>424.58</v>
      </c>
      <c r="I1816" t="str">
        <f>VLOOKUP(orders__17[[#This Row],[Customer_ID]],customers__2[#All],3,0)</f>
        <v>West</v>
      </c>
      <c r="J1816" t="str">
        <f>VLOOKUP(orders__17[[#This Row],[Customer_ID]],customers__2[#All],4,0)</f>
        <v>Consumer</v>
      </c>
      <c r="K1816" t="str">
        <f>VLOOKUP(orders__17[[#This Row],[Product_ID]],products[#All],3,0)</f>
        <v>Furniture</v>
      </c>
      <c r="L1816" s="1" t="str">
        <f>VLOOKUP(orders__17[[#This Row],[Product_ID]],products[#All],4,0)</f>
        <v>Shelf</v>
      </c>
      <c r="M1816" s="1" t="str">
        <f>VLOOKUP(orders__17[[#This Row],[Order_ID]],returns[#All],2,0)</f>
        <v>No</v>
      </c>
    </row>
    <row r="1817" spans="1:13" x14ac:dyDescent="0.3">
      <c r="A1817" s="1" t="s">
        <v>2123</v>
      </c>
      <c r="B1817" s="2">
        <v>45332</v>
      </c>
      <c r="C1817" s="1" t="s">
        <v>622</v>
      </c>
      <c r="D1817" s="1" t="s">
        <v>70</v>
      </c>
      <c r="E1817">
        <v>4</v>
      </c>
      <c r="F1817" s="4">
        <v>718.05</v>
      </c>
      <c r="G1817" s="3">
        <v>0.2</v>
      </c>
      <c r="H1817" s="4">
        <v>160.38</v>
      </c>
      <c r="I1817" t="str">
        <f>VLOOKUP(orders__17[[#This Row],[Customer_ID]],customers__2[#All],3,0)</f>
        <v>South</v>
      </c>
      <c r="J1817" t="str">
        <f>VLOOKUP(orders__17[[#This Row],[Customer_ID]],customers__2[#All],4,0)</f>
        <v>Home Office</v>
      </c>
      <c r="K1817" t="str">
        <f>VLOOKUP(orders__17[[#This Row],[Product_ID]],products[#All],3,0)</f>
        <v>Office Supplies</v>
      </c>
      <c r="L1817" s="1" t="str">
        <f>VLOOKUP(orders__17[[#This Row],[Product_ID]],products[#All],4,0)</f>
        <v>Paper</v>
      </c>
      <c r="M1817" s="1" t="str">
        <f>VLOOKUP(orders__17[[#This Row],[Order_ID]],returns[#All],2,0)</f>
        <v>No</v>
      </c>
    </row>
    <row r="1818" spans="1:13" x14ac:dyDescent="0.3">
      <c r="A1818" s="1" t="s">
        <v>2124</v>
      </c>
      <c r="B1818" s="2">
        <v>44691</v>
      </c>
      <c r="C1818" s="1" t="s">
        <v>262</v>
      </c>
      <c r="D1818" s="1" t="s">
        <v>201</v>
      </c>
      <c r="E1818">
        <v>4</v>
      </c>
      <c r="F1818" s="4">
        <v>1811.83</v>
      </c>
      <c r="G1818" s="3">
        <v>0.3</v>
      </c>
      <c r="H1818" s="4">
        <v>539.30999999999995</v>
      </c>
      <c r="I1818" t="str">
        <f>VLOOKUP(orders__17[[#This Row],[Customer_ID]],customers__2[#All],3,0)</f>
        <v>South</v>
      </c>
      <c r="J1818" t="str">
        <f>VLOOKUP(orders__17[[#This Row],[Customer_ID]],customers__2[#All],4,0)</f>
        <v>Corporate</v>
      </c>
      <c r="K1818" t="str">
        <f>VLOOKUP(orders__17[[#This Row],[Product_ID]],products[#All],3,0)</f>
        <v>Office Supplies</v>
      </c>
      <c r="L1818" s="1" t="str">
        <f>VLOOKUP(orders__17[[#This Row],[Product_ID]],products[#All],4,0)</f>
        <v>Paper</v>
      </c>
      <c r="M1818" s="1" t="str">
        <f>VLOOKUP(orders__17[[#This Row],[Order_ID]],returns[#All],2,0)</f>
        <v>No</v>
      </c>
    </row>
    <row r="1819" spans="1:13" x14ac:dyDescent="0.3">
      <c r="A1819" s="1" t="s">
        <v>2125</v>
      </c>
      <c r="B1819" s="2">
        <v>44935</v>
      </c>
      <c r="C1819" s="1" t="s">
        <v>176</v>
      </c>
      <c r="D1819" s="1" t="s">
        <v>263</v>
      </c>
      <c r="E1819">
        <v>5</v>
      </c>
      <c r="F1819" s="4">
        <v>1992.7</v>
      </c>
      <c r="G1819" s="3">
        <v>0.2</v>
      </c>
      <c r="H1819" s="4">
        <v>238.07</v>
      </c>
      <c r="I1819" t="str">
        <f>VLOOKUP(orders__17[[#This Row],[Customer_ID]],customers__2[#All],3,0)</f>
        <v>South</v>
      </c>
      <c r="J1819" t="str">
        <f>VLOOKUP(orders__17[[#This Row],[Customer_ID]],customers__2[#All],4,0)</f>
        <v>Home Office</v>
      </c>
      <c r="K1819" t="str">
        <f>VLOOKUP(orders__17[[#This Row],[Product_ID]],products[#All],3,0)</f>
        <v>Office Supplies</v>
      </c>
      <c r="L1819" s="1" t="str">
        <f>VLOOKUP(orders__17[[#This Row],[Product_ID]],products[#All],4,0)</f>
        <v>Storage</v>
      </c>
      <c r="M1819" s="1" t="str">
        <f>VLOOKUP(orders__17[[#This Row],[Order_ID]],returns[#All],2,0)</f>
        <v>No</v>
      </c>
    </row>
    <row r="1820" spans="1:13" x14ac:dyDescent="0.3">
      <c r="A1820" s="1" t="s">
        <v>2126</v>
      </c>
      <c r="B1820" s="2">
        <v>44646</v>
      </c>
      <c r="C1820" s="1" t="s">
        <v>69</v>
      </c>
      <c r="D1820" s="1" t="s">
        <v>147</v>
      </c>
      <c r="E1820">
        <v>4</v>
      </c>
      <c r="F1820" s="4">
        <v>1668.29</v>
      </c>
      <c r="G1820" s="3">
        <v>0.1</v>
      </c>
      <c r="H1820" s="4">
        <v>291.2</v>
      </c>
      <c r="I1820" t="str">
        <f>VLOOKUP(orders__17[[#This Row],[Customer_ID]],customers__2[#All],3,0)</f>
        <v>West</v>
      </c>
      <c r="J1820" t="str">
        <f>VLOOKUP(orders__17[[#This Row],[Customer_ID]],customers__2[#All],4,0)</f>
        <v>Corporate</v>
      </c>
      <c r="K1820" t="str">
        <f>VLOOKUP(orders__17[[#This Row],[Product_ID]],products[#All],3,0)</f>
        <v>Technology</v>
      </c>
      <c r="L1820" s="1" t="str">
        <f>VLOOKUP(orders__17[[#This Row],[Product_ID]],products[#All],4,0)</f>
        <v>Laptop</v>
      </c>
      <c r="M1820" s="1" t="str">
        <f>VLOOKUP(orders__17[[#This Row],[Order_ID]],returns[#All],2,0)</f>
        <v>No</v>
      </c>
    </row>
    <row r="1821" spans="1:13" x14ac:dyDescent="0.3">
      <c r="A1821" s="1" t="s">
        <v>2127</v>
      </c>
      <c r="B1821" s="2">
        <v>44795</v>
      </c>
      <c r="C1821" s="1" t="s">
        <v>980</v>
      </c>
      <c r="D1821" s="1" t="s">
        <v>502</v>
      </c>
      <c r="E1821">
        <v>2</v>
      </c>
      <c r="F1821" s="4">
        <v>1705.26</v>
      </c>
      <c r="G1821" s="3">
        <v>0.2</v>
      </c>
      <c r="H1821" s="4">
        <v>225.75</v>
      </c>
      <c r="I1821" t="str">
        <f>VLOOKUP(orders__17[[#This Row],[Customer_ID]],customers__2[#All],3,0)</f>
        <v>South</v>
      </c>
      <c r="J1821" t="str">
        <f>VLOOKUP(orders__17[[#This Row],[Customer_ID]],customers__2[#All],4,0)</f>
        <v>Home Office</v>
      </c>
      <c r="K1821" t="str">
        <f>VLOOKUP(orders__17[[#This Row],[Product_ID]],products[#All],3,0)</f>
        <v>Furniture</v>
      </c>
      <c r="L1821" s="1" t="str">
        <f>VLOOKUP(orders__17[[#This Row],[Product_ID]],products[#All],4,0)</f>
        <v>Shelf</v>
      </c>
      <c r="M1821" s="1" t="str">
        <f>VLOOKUP(orders__17[[#This Row],[Order_ID]],returns[#All],2,0)</f>
        <v>No</v>
      </c>
    </row>
    <row r="1822" spans="1:13" x14ac:dyDescent="0.3">
      <c r="A1822" s="1" t="s">
        <v>2128</v>
      </c>
      <c r="B1822" s="2">
        <v>44905</v>
      </c>
      <c r="C1822" s="1" t="s">
        <v>321</v>
      </c>
      <c r="D1822" s="1" t="s">
        <v>211</v>
      </c>
      <c r="E1822">
        <v>2</v>
      </c>
      <c r="F1822" s="4">
        <v>573.12</v>
      </c>
      <c r="G1822" s="3">
        <v>0.1</v>
      </c>
      <c r="H1822" s="4">
        <v>91.79</v>
      </c>
      <c r="I1822" t="str">
        <f>VLOOKUP(orders__17[[#This Row],[Customer_ID]],customers__2[#All],3,0)</f>
        <v>South</v>
      </c>
      <c r="J1822" t="str">
        <f>VLOOKUP(orders__17[[#This Row],[Customer_ID]],customers__2[#All],4,0)</f>
        <v>Corporate</v>
      </c>
      <c r="K1822" t="str">
        <f>VLOOKUP(orders__17[[#This Row],[Product_ID]],products[#All],3,0)</f>
        <v>Office Supplies</v>
      </c>
      <c r="L1822" s="1" t="str">
        <f>VLOOKUP(orders__17[[#This Row],[Product_ID]],products[#All],4,0)</f>
        <v>Binder</v>
      </c>
      <c r="M1822" s="1" t="str">
        <f>VLOOKUP(orders__17[[#This Row],[Order_ID]],returns[#All],2,0)</f>
        <v>No</v>
      </c>
    </row>
    <row r="1823" spans="1:13" x14ac:dyDescent="0.3">
      <c r="A1823" s="1" t="s">
        <v>2129</v>
      </c>
      <c r="B1823" s="2">
        <v>45389</v>
      </c>
      <c r="C1823" s="1" t="s">
        <v>388</v>
      </c>
      <c r="D1823" s="1" t="s">
        <v>37</v>
      </c>
      <c r="E1823">
        <v>4</v>
      </c>
      <c r="F1823" s="4">
        <v>1195.73</v>
      </c>
      <c r="G1823" s="3">
        <v>0.3</v>
      </c>
      <c r="H1823" s="4">
        <v>315.95999999999998</v>
      </c>
      <c r="I1823" t="str">
        <f>VLOOKUP(orders__17[[#This Row],[Customer_ID]],customers__2[#All],3,0)</f>
        <v>East</v>
      </c>
      <c r="J1823" t="str">
        <f>VLOOKUP(orders__17[[#This Row],[Customer_ID]],customers__2[#All],4,0)</f>
        <v>Home Office</v>
      </c>
      <c r="K1823" t="str">
        <f>VLOOKUP(orders__17[[#This Row],[Product_ID]],products[#All],3,0)</f>
        <v>Furniture</v>
      </c>
      <c r="L1823" s="1" t="str">
        <f>VLOOKUP(orders__17[[#This Row],[Product_ID]],products[#All],4,0)</f>
        <v>Desk</v>
      </c>
      <c r="M1823" s="1" t="str">
        <f>VLOOKUP(orders__17[[#This Row],[Order_ID]],returns[#All],2,0)</f>
        <v>No</v>
      </c>
    </row>
    <row r="1824" spans="1:13" x14ac:dyDescent="0.3">
      <c r="A1824" s="1" t="s">
        <v>2130</v>
      </c>
      <c r="B1824" s="2">
        <v>44618</v>
      </c>
      <c r="C1824" s="1" t="s">
        <v>402</v>
      </c>
      <c r="D1824" s="1" t="s">
        <v>45</v>
      </c>
      <c r="E1824">
        <v>2</v>
      </c>
      <c r="F1824" s="4">
        <v>227.79</v>
      </c>
      <c r="G1824" s="3">
        <v>0.3</v>
      </c>
      <c r="H1824" s="4">
        <v>50.35</v>
      </c>
      <c r="I1824" t="str">
        <f>VLOOKUP(orders__17[[#This Row],[Customer_ID]],customers__2[#All],3,0)</f>
        <v>West</v>
      </c>
      <c r="J1824" t="str">
        <f>VLOOKUP(orders__17[[#This Row],[Customer_ID]],customers__2[#All],4,0)</f>
        <v>Consumer</v>
      </c>
      <c r="K1824" t="str">
        <f>VLOOKUP(orders__17[[#This Row],[Product_ID]],products[#All],3,0)</f>
        <v>Office Supplies</v>
      </c>
      <c r="L1824" s="1" t="str">
        <f>VLOOKUP(orders__17[[#This Row],[Product_ID]],products[#All],4,0)</f>
        <v>Pen</v>
      </c>
      <c r="M1824" s="1" t="str">
        <f>VLOOKUP(orders__17[[#This Row],[Order_ID]],returns[#All],2,0)</f>
        <v>No</v>
      </c>
    </row>
    <row r="1825" spans="1:13" x14ac:dyDescent="0.3">
      <c r="A1825" s="1" t="s">
        <v>2131</v>
      </c>
      <c r="B1825" s="2">
        <v>45311</v>
      </c>
      <c r="C1825" s="1" t="s">
        <v>217</v>
      </c>
      <c r="D1825" s="1" t="s">
        <v>59</v>
      </c>
      <c r="E1825">
        <v>5</v>
      </c>
      <c r="F1825" s="4">
        <v>280.33999999999997</v>
      </c>
      <c r="G1825" s="3">
        <v>0.2</v>
      </c>
      <c r="H1825" s="4">
        <v>75.86</v>
      </c>
      <c r="I1825" t="str">
        <f>VLOOKUP(orders__17[[#This Row],[Customer_ID]],customers__2[#All],3,0)</f>
        <v>East</v>
      </c>
      <c r="J1825" t="str">
        <f>VLOOKUP(orders__17[[#This Row],[Customer_ID]],customers__2[#All],4,0)</f>
        <v>Corporate</v>
      </c>
      <c r="K1825" t="str">
        <f>VLOOKUP(orders__17[[#This Row],[Product_ID]],products[#All],3,0)</f>
        <v>Office Supplies</v>
      </c>
      <c r="L1825" s="1" t="str">
        <f>VLOOKUP(orders__17[[#This Row],[Product_ID]],products[#All],4,0)</f>
        <v>Paper</v>
      </c>
      <c r="M1825" s="1" t="str">
        <f>VLOOKUP(orders__17[[#This Row],[Order_ID]],returns[#All],2,0)</f>
        <v>No</v>
      </c>
    </row>
    <row r="1826" spans="1:13" x14ac:dyDescent="0.3">
      <c r="A1826" s="1" t="s">
        <v>2132</v>
      </c>
      <c r="B1826" s="2">
        <v>45183</v>
      </c>
      <c r="C1826" s="1" t="s">
        <v>262</v>
      </c>
      <c r="D1826" s="1" t="s">
        <v>603</v>
      </c>
      <c r="E1826">
        <v>1</v>
      </c>
      <c r="F1826" s="4">
        <v>1997.9</v>
      </c>
      <c r="G1826" s="3">
        <v>0.1</v>
      </c>
      <c r="H1826" s="4">
        <v>201.54</v>
      </c>
      <c r="I1826" t="str">
        <f>VLOOKUP(orders__17[[#This Row],[Customer_ID]],customers__2[#All],3,0)</f>
        <v>South</v>
      </c>
      <c r="J1826" t="str">
        <f>VLOOKUP(orders__17[[#This Row],[Customer_ID]],customers__2[#All],4,0)</f>
        <v>Corporate</v>
      </c>
      <c r="K1826" t="str">
        <f>VLOOKUP(orders__17[[#This Row],[Product_ID]],products[#All],3,0)</f>
        <v>Technology</v>
      </c>
      <c r="L1826" s="1" t="str">
        <f>VLOOKUP(orders__17[[#This Row],[Product_ID]],products[#All],4,0)</f>
        <v>Accessories</v>
      </c>
      <c r="M1826" s="1" t="str">
        <f>VLOOKUP(orders__17[[#This Row],[Order_ID]],returns[#All],2,0)</f>
        <v>No</v>
      </c>
    </row>
    <row r="1827" spans="1:13" x14ac:dyDescent="0.3">
      <c r="A1827" s="1" t="s">
        <v>2133</v>
      </c>
      <c r="B1827" s="2">
        <v>45258</v>
      </c>
      <c r="C1827" s="1" t="s">
        <v>262</v>
      </c>
      <c r="D1827" s="1" t="s">
        <v>51</v>
      </c>
      <c r="E1827">
        <v>5</v>
      </c>
      <c r="F1827" s="4">
        <v>720.61</v>
      </c>
      <c r="G1827" s="3">
        <v>0.2</v>
      </c>
      <c r="H1827" s="4">
        <v>193.37</v>
      </c>
      <c r="I1827" t="str">
        <f>VLOOKUP(orders__17[[#This Row],[Customer_ID]],customers__2[#All],3,0)</f>
        <v>South</v>
      </c>
      <c r="J1827" t="str">
        <f>VLOOKUP(orders__17[[#This Row],[Customer_ID]],customers__2[#All],4,0)</f>
        <v>Corporate</v>
      </c>
      <c r="K1827" t="str">
        <f>VLOOKUP(orders__17[[#This Row],[Product_ID]],products[#All],3,0)</f>
        <v>Office Supplies</v>
      </c>
      <c r="L1827" s="1" t="str">
        <f>VLOOKUP(orders__17[[#This Row],[Product_ID]],products[#All],4,0)</f>
        <v>Pen</v>
      </c>
      <c r="M1827" s="1" t="str">
        <f>VLOOKUP(orders__17[[#This Row],[Order_ID]],returns[#All],2,0)</f>
        <v>No</v>
      </c>
    </row>
    <row r="1828" spans="1:13" x14ac:dyDescent="0.3">
      <c r="A1828" s="1" t="s">
        <v>2134</v>
      </c>
      <c r="B1828" s="2">
        <v>45134</v>
      </c>
      <c r="C1828" s="1" t="s">
        <v>33</v>
      </c>
      <c r="D1828" s="1" t="s">
        <v>28</v>
      </c>
      <c r="E1828">
        <v>5</v>
      </c>
      <c r="F1828" s="4">
        <v>1521.55</v>
      </c>
      <c r="G1828" s="3">
        <v>0</v>
      </c>
      <c r="H1828" s="4">
        <v>98.81</v>
      </c>
      <c r="I1828" t="str">
        <f>VLOOKUP(orders__17[[#This Row],[Customer_ID]],customers__2[#All],3,0)</f>
        <v>East</v>
      </c>
      <c r="J1828" t="str">
        <f>VLOOKUP(orders__17[[#This Row],[Customer_ID]],customers__2[#All],4,0)</f>
        <v>Home Office</v>
      </c>
      <c r="K1828" t="str">
        <f>VLOOKUP(orders__17[[#This Row],[Product_ID]],products[#All],3,0)</f>
        <v>Office Supplies</v>
      </c>
      <c r="L1828" s="1" t="str">
        <f>VLOOKUP(orders__17[[#This Row],[Product_ID]],products[#All],4,0)</f>
        <v>Storage</v>
      </c>
      <c r="M1828" s="1" t="str">
        <f>VLOOKUP(orders__17[[#This Row],[Order_ID]],returns[#All],2,0)</f>
        <v>No</v>
      </c>
    </row>
    <row r="1829" spans="1:13" x14ac:dyDescent="0.3">
      <c r="A1829" s="1" t="s">
        <v>2135</v>
      </c>
      <c r="B1829" s="2">
        <v>44807</v>
      </c>
      <c r="C1829" s="1" t="s">
        <v>529</v>
      </c>
      <c r="D1829" s="1" t="s">
        <v>253</v>
      </c>
      <c r="E1829">
        <v>2</v>
      </c>
      <c r="F1829" s="4">
        <v>1632.66</v>
      </c>
      <c r="G1829" s="3">
        <v>0</v>
      </c>
      <c r="H1829" s="4">
        <v>444.33</v>
      </c>
      <c r="I1829" t="str">
        <f>VLOOKUP(orders__17[[#This Row],[Customer_ID]],customers__2[#All],3,0)</f>
        <v>South</v>
      </c>
      <c r="J1829" t="str">
        <f>VLOOKUP(orders__17[[#This Row],[Customer_ID]],customers__2[#All],4,0)</f>
        <v>Corporate</v>
      </c>
      <c r="K1829" t="str">
        <f>VLOOKUP(orders__17[[#This Row],[Product_ID]],products[#All],3,0)</f>
        <v>Technology</v>
      </c>
      <c r="L1829" s="1" t="str">
        <f>VLOOKUP(orders__17[[#This Row],[Product_ID]],products[#All],4,0)</f>
        <v>Accessories</v>
      </c>
      <c r="M1829" s="1" t="str">
        <f>VLOOKUP(orders__17[[#This Row],[Order_ID]],returns[#All],2,0)</f>
        <v>No</v>
      </c>
    </row>
    <row r="1830" spans="1:13" x14ac:dyDescent="0.3">
      <c r="A1830" s="1" t="s">
        <v>2136</v>
      </c>
      <c r="B1830" s="2">
        <v>45183</v>
      </c>
      <c r="C1830" s="1" t="s">
        <v>33</v>
      </c>
      <c r="D1830" s="1" t="s">
        <v>269</v>
      </c>
      <c r="E1830">
        <v>1</v>
      </c>
      <c r="F1830" s="4">
        <v>1730.24</v>
      </c>
      <c r="G1830" s="3">
        <v>0</v>
      </c>
      <c r="H1830" s="4">
        <v>228.86</v>
      </c>
      <c r="I1830" t="str">
        <f>VLOOKUP(orders__17[[#This Row],[Customer_ID]],customers__2[#All],3,0)</f>
        <v>East</v>
      </c>
      <c r="J1830" t="str">
        <f>VLOOKUP(orders__17[[#This Row],[Customer_ID]],customers__2[#All],4,0)</f>
        <v>Home Office</v>
      </c>
      <c r="K1830" t="str">
        <f>VLOOKUP(orders__17[[#This Row],[Product_ID]],products[#All],3,0)</f>
        <v>Office Supplies</v>
      </c>
      <c r="L1830" s="1" t="str">
        <f>VLOOKUP(orders__17[[#This Row],[Product_ID]],products[#All],4,0)</f>
        <v>Pen</v>
      </c>
      <c r="M1830" s="1" t="str">
        <f>VLOOKUP(orders__17[[#This Row],[Order_ID]],returns[#All],2,0)</f>
        <v>Yes</v>
      </c>
    </row>
    <row r="1831" spans="1:13" x14ac:dyDescent="0.3">
      <c r="A1831" s="1" t="s">
        <v>2137</v>
      </c>
      <c r="B1831" s="2">
        <v>45397</v>
      </c>
      <c r="C1831" s="1" t="s">
        <v>290</v>
      </c>
      <c r="D1831" s="1" t="s">
        <v>455</v>
      </c>
      <c r="E1831">
        <v>2</v>
      </c>
      <c r="F1831" s="4">
        <v>1995.49</v>
      </c>
      <c r="G1831" s="3">
        <v>0</v>
      </c>
      <c r="H1831" s="4">
        <v>256.70999999999998</v>
      </c>
      <c r="I1831" t="str">
        <f>VLOOKUP(orders__17[[#This Row],[Customer_ID]],customers__2[#All],3,0)</f>
        <v>East</v>
      </c>
      <c r="J1831" t="str">
        <f>VLOOKUP(orders__17[[#This Row],[Customer_ID]],customers__2[#All],4,0)</f>
        <v>Home Office</v>
      </c>
      <c r="K1831" t="str">
        <f>VLOOKUP(orders__17[[#This Row],[Product_ID]],products[#All],3,0)</f>
        <v>Furniture</v>
      </c>
      <c r="L1831" s="1" t="str">
        <f>VLOOKUP(orders__17[[#This Row],[Product_ID]],products[#All],4,0)</f>
        <v>Shelf</v>
      </c>
      <c r="M1831" s="1" t="str">
        <f>VLOOKUP(orders__17[[#This Row],[Order_ID]],returns[#All],2,0)</f>
        <v>No</v>
      </c>
    </row>
    <row r="1832" spans="1:13" x14ac:dyDescent="0.3">
      <c r="A1832" s="1" t="s">
        <v>2138</v>
      </c>
      <c r="B1832" s="2">
        <v>44774</v>
      </c>
      <c r="C1832" s="1" t="s">
        <v>524</v>
      </c>
      <c r="D1832" s="1" t="s">
        <v>294</v>
      </c>
      <c r="E1832">
        <v>3</v>
      </c>
      <c r="F1832" s="4">
        <v>558.84</v>
      </c>
      <c r="G1832" s="3">
        <v>0.2</v>
      </c>
      <c r="H1832" s="4">
        <v>99.49</v>
      </c>
      <c r="I1832" t="str">
        <f>VLOOKUP(orders__17[[#This Row],[Customer_ID]],customers__2[#All],3,0)</f>
        <v>East</v>
      </c>
      <c r="J1832" t="str">
        <f>VLOOKUP(orders__17[[#This Row],[Customer_ID]],customers__2[#All],4,0)</f>
        <v>Corporate</v>
      </c>
      <c r="K1832" t="str">
        <f>VLOOKUP(orders__17[[#This Row],[Product_ID]],products[#All],3,0)</f>
        <v>Technology</v>
      </c>
      <c r="L1832" s="1" t="str">
        <f>VLOOKUP(orders__17[[#This Row],[Product_ID]],products[#All],4,0)</f>
        <v>Tablet</v>
      </c>
      <c r="M1832" s="1" t="str">
        <f>VLOOKUP(orders__17[[#This Row],[Order_ID]],returns[#All],2,0)</f>
        <v>No</v>
      </c>
    </row>
    <row r="1833" spans="1:13" x14ac:dyDescent="0.3">
      <c r="A1833" s="1" t="s">
        <v>2139</v>
      </c>
      <c r="B1833" s="2">
        <v>44780</v>
      </c>
      <c r="C1833" s="1" t="s">
        <v>208</v>
      </c>
      <c r="D1833" s="1" t="s">
        <v>45</v>
      </c>
      <c r="E1833">
        <v>2</v>
      </c>
      <c r="F1833" s="4">
        <v>176.67</v>
      </c>
      <c r="G1833" s="3">
        <v>0</v>
      </c>
      <c r="H1833" s="4">
        <v>50.38</v>
      </c>
      <c r="I1833" t="str">
        <f>VLOOKUP(orders__17[[#This Row],[Customer_ID]],customers__2[#All],3,0)</f>
        <v>North</v>
      </c>
      <c r="J1833" t="str">
        <f>VLOOKUP(orders__17[[#This Row],[Customer_ID]],customers__2[#All],4,0)</f>
        <v>Home Office</v>
      </c>
      <c r="K1833" t="str">
        <f>VLOOKUP(orders__17[[#This Row],[Product_ID]],products[#All],3,0)</f>
        <v>Office Supplies</v>
      </c>
      <c r="L1833" s="1" t="str">
        <f>VLOOKUP(orders__17[[#This Row],[Product_ID]],products[#All],4,0)</f>
        <v>Pen</v>
      </c>
      <c r="M1833" s="1" t="str">
        <f>VLOOKUP(orders__17[[#This Row],[Order_ID]],returns[#All],2,0)</f>
        <v>No</v>
      </c>
    </row>
    <row r="1834" spans="1:13" x14ac:dyDescent="0.3">
      <c r="A1834" s="1" t="s">
        <v>2140</v>
      </c>
      <c r="B1834" s="2">
        <v>44939</v>
      </c>
      <c r="C1834" s="1" t="s">
        <v>33</v>
      </c>
      <c r="D1834" s="1" t="s">
        <v>70</v>
      </c>
      <c r="E1834">
        <v>2</v>
      </c>
      <c r="F1834" s="4">
        <v>881.26</v>
      </c>
      <c r="G1834" s="3">
        <v>0.1</v>
      </c>
      <c r="H1834" s="4">
        <v>54.59</v>
      </c>
      <c r="I1834" t="str">
        <f>VLOOKUP(orders__17[[#This Row],[Customer_ID]],customers__2[#All],3,0)</f>
        <v>East</v>
      </c>
      <c r="J1834" t="str">
        <f>VLOOKUP(orders__17[[#This Row],[Customer_ID]],customers__2[#All],4,0)</f>
        <v>Home Office</v>
      </c>
      <c r="K1834" t="str">
        <f>VLOOKUP(orders__17[[#This Row],[Product_ID]],products[#All],3,0)</f>
        <v>Office Supplies</v>
      </c>
      <c r="L1834" s="1" t="str">
        <f>VLOOKUP(orders__17[[#This Row],[Product_ID]],products[#All],4,0)</f>
        <v>Paper</v>
      </c>
      <c r="M1834" s="1" t="str">
        <f>VLOOKUP(orders__17[[#This Row],[Order_ID]],returns[#All],2,0)</f>
        <v>No</v>
      </c>
    </row>
    <row r="1835" spans="1:13" x14ac:dyDescent="0.3">
      <c r="A1835" s="1" t="s">
        <v>2141</v>
      </c>
      <c r="B1835" s="2">
        <v>45409</v>
      </c>
      <c r="C1835" s="1" t="s">
        <v>622</v>
      </c>
      <c r="D1835" s="1" t="s">
        <v>195</v>
      </c>
      <c r="E1835">
        <v>2</v>
      </c>
      <c r="F1835" s="4">
        <v>347.15</v>
      </c>
      <c r="G1835" s="3">
        <v>0.3</v>
      </c>
      <c r="H1835" s="4">
        <v>47.93</v>
      </c>
      <c r="I1835" t="str">
        <f>VLOOKUP(orders__17[[#This Row],[Customer_ID]],customers__2[#All],3,0)</f>
        <v>South</v>
      </c>
      <c r="J1835" t="str">
        <f>VLOOKUP(orders__17[[#This Row],[Customer_ID]],customers__2[#All],4,0)</f>
        <v>Home Office</v>
      </c>
      <c r="K1835" t="str">
        <f>VLOOKUP(orders__17[[#This Row],[Product_ID]],products[#All],3,0)</f>
        <v>Furniture</v>
      </c>
      <c r="L1835" s="1" t="str">
        <f>VLOOKUP(orders__17[[#This Row],[Product_ID]],products[#All],4,0)</f>
        <v>Chair</v>
      </c>
      <c r="M1835" s="1" t="str">
        <f>VLOOKUP(orders__17[[#This Row],[Order_ID]],returns[#All],2,0)</f>
        <v>No</v>
      </c>
    </row>
    <row r="1836" spans="1:13" x14ac:dyDescent="0.3">
      <c r="A1836" s="1" t="s">
        <v>2142</v>
      </c>
      <c r="B1836" s="2">
        <v>44602</v>
      </c>
      <c r="C1836" s="1" t="s">
        <v>134</v>
      </c>
      <c r="D1836" s="1" t="s">
        <v>170</v>
      </c>
      <c r="E1836">
        <v>1</v>
      </c>
      <c r="F1836" s="4">
        <v>142.61000000000001</v>
      </c>
      <c r="G1836" s="3">
        <v>0.3</v>
      </c>
      <c r="H1836" s="4">
        <v>37.67</v>
      </c>
      <c r="I1836" t="str">
        <f>VLOOKUP(orders__17[[#This Row],[Customer_ID]],customers__2[#All],3,0)</f>
        <v>West</v>
      </c>
      <c r="J1836" t="str">
        <f>VLOOKUP(orders__17[[#This Row],[Customer_ID]],customers__2[#All],4,0)</f>
        <v>Home Office</v>
      </c>
      <c r="K1836" t="str">
        <f>VLOOKUP(orders__17[[#This Row],[Product_ID]],products[#All],3,0)</f>
        <v>Furniture</v>
      </c>
      <c r="L1836" s="1" t="str">
        <f>VLOOKUP(orders__17[[#This Row],[Product_ID]],products[#All],4,0)</f>
        <v>Shelf</v>
      </c>
      <c r="M1836" s="1" t="str">
        <f>VLOOKUP(orders__17[[#This Row],[Order_ID]],returns[#All],2,0)</f>
        <v>No</v>
      </c>
    </row>
    <row r="1837" spans="1:13" x14ac:dyDescent="0.3">
      <c r="A1837" s="1" t="s">
        <v>2143</v>
      </c>
      <c r="B1837" s="2">
        <v>45051</v>
      </c>
      <c r="C1837" s="1" t="s">
        <v>464</v>
      </c>
      <c r="D1837" s="1" t="s">
        <v>249</v>
      </c>
      <c r="E1837">
        <v>2</v>
      </c>
      <c r="F1837" s="4">
        <v>784.81</v>
      </c>
      <c r="G1837" s="3">
        <v>0</v>
      </c>
      <c r="H1837" s="4">
        <v>116.95</v>
      </c>
      <c r="I1837" t="str">
        <f>VLOOKUP(orders__17[[#This Row],[Customer_ID]],customers__2[#All],3,0)</f>
        <v>West</v>
      </c>
      <c r="J1837" t="str">
        <f>VLOOKUP(orders__17[[#This Row],[Customer_ID]],customers__2[#All],4,0)</f>
        <v>Corporate</v>
      </c>
      <c r="K1837" t="str">
        <f>VLOOKUP(orders__17[[#This Row],[Product_ID]],products[#All],3,0)</f>
        <v>Office Supplies</v>
      </c>
      <c r="L1837" s="1" t="str">
        <f>VLOOKUP(orders__17[[#This Row],[Product_ID]],products[#All],4,0)</f>
        <v>Paper</v>
      </c>
      <c r="M1837" s="1" t="str">
        <f>VLOOKUP(orders__17[[#This Row],[Order_ID]],returns[#All],2,0)</f>
        <v>No</v>
      </c>
    </row>
    <row r="1838" spans="1:13" x14ac:dyDescent="0.3">
      <c r="A1838" s="1" t="s">
        <v>2144</v>
      </c>
      <c r="B1838" s="2">
        <v>44846</v>
      </c>
      <c r="C1838" s="1" t="s">
        <v>325</v>
      </c>
      <c r="D1838" s="1" t="s">
        <v>256</v>
      </c>
      <c r="E1838">
        <v>1</v>
      </c>
      <c r="F1838" s="4">
        <v>1589.1</v>
      </c>
      <c r="G1838" s="3">
        <v>0</v>
      </c>
      <c r="H1838" s="4">
        <v>158.58000000000001</v>
      </c>
      <c r="I1838" t="str">
        <f>VLOOKUP(orders__17[[#This Row],[Customer_ID]],customers__2[#All],3,0)</f>
        <v>North</v>
      </c>
      <c r="J1838" t="str">
        <f>VLOOKUP(orders__17[[#This Row],[Customer_ID]],customers__2[#All],4,0)</f>
        <v>Corporate</v>
      </c>
      <c r="K1838" t="str">
        <f>VLOOKUP(orders__17[[#This Row],[Product_ID]],products[#All],3,0)</f>
        <v>Office Supplies</v>
      </c>
      <c r="L1838" s="1" t="str">
        <f>VLOOKUP(orders__17[[#This Row],[Product_ID]],products[#All],4,0)</f>
        <v>Pen</v>
      </c>
      <c r="M1838" s="1" t="str">
        <f>VLOOKUP(orders__17[[#This Row],[Order_ID]],returns[#All],2,0)</f>
        <v>Yes</v>
      </c>
    </row>
    <row r="1839" spans="1:13" x14ac:dyDescent="0.3">
      <c r="A1839" s="1" t="s">
        <v>2145</v>
      </c>
      <c r="B1839" s="2">
        <v>45030</v>
      </c>
      <c r="C1839" s="1" t="s">
        <v>803</v>
      </c>
      <c r="D1839" s="1" t="s">
        <v>679</v>
      </c>
      <c r="E1839">
        <v>4</v>
      </c>
      <c r="F1839" s="4">
        <v>1175.74</v>
      </c>
      <c r="G1839" s="3">
        <v>0</v>
      </c>
      <c r="H1839" s="4">
        <v>183.65</v>
      </c>
      <c r="I1839" t="str">
        <f>VLOOKUP(orders__17[[#This Row],[Customer_ID]],customers__2[#All],3,0)</f>
        <v>South</v>
      </c>
      <c r="J1839" t="str">
        <f>VLOOKUP(orders__17[[#This Row],[Customer_ID]],customers__2[#All],4,0)</f>
        <v>Consumer</v>
      </c>
      <c r="K1839" t="str">
        <f>VLOOKUP(orders__17[[#This Row],[Product_ID]],products[#All],3,0)</f>
        <v>Office Supplies</v>
      </c>
      <c r="L1839" s="1" t="str">
        <f>VLOOKUP(orders__17[[#This Row],[Product_ID]],products[#All],4,0)</f>
        <v>Paper</v>
      </c>
      <c r="M1839" s="1" t="str">
        <f>VLOOKUP(orders__17[[#This Row],[Order_ID]],returns[#All],2,0)</f>
        <v>Yes</v>
      </c>
    </row>
    <row r="1840" spans="1:13" x14ac:dyDescent="0.3">
      <c r="A1840" s="1" t="s">
        <v>2146</v>
      </c>
      <c r="B1840" s="2">
        <v>44784</v>
      </c>
      <c r="C1840" s="1" t="s">
        <v>800</v>
      </c>
      <c r="D1840" s="1" t="s">
        <v>89</v>
      </c>
      <c r="E1840">
        <v>3</v>
      </c>
      <c r="F1840" s="4">
        <v>694.28</v>
      </c>
      <c r="G1840" s="3">
        <v>0.2</v>
      </c>
      <c r="H1840" s="4">
        <v>101.63</v>
      </c>
      <c r="I1840" t="str">
        <f>VLOOKUP(orders__17[[#This Row],[Customer_ID]],customers__2[#All],3,0)</f>
        <v>North</v>
      </c>
      <c r="J1840" t="str">
        <f>VLOOKUP(orders__17[[#This Row],[Customer_ID]],customers__2[#All],4,0)</f>
        <v>Corporate</v>
      </c>
      <c r="K1840" t="str">
        <f>VLOOKUP(orders__17[[#This Row],[Product_ID]],products[#All],3,0)</f>
        <v>Technology</v>
      </c>
      <c r="L1840" s="1" t="str">
        <f>VLOOKUP(orders__17[[#This Row],[Product_ID]],products[#All],4,0)</f>
        <v>Phone</v>
      </c>
      <c r="M1840" s="1" t="str">
        <f>VLOOKUP(orders__17[[#This Row],[Order_ID]],returns[#All],2,0)</f>
        <v>No</v>
      </c>
    </row>
    <row r="1841" spans="1:13" x14ac:dyDescent="0.3">
      <c r="A1841" s="1" t="s">
        <v>2147</v>
      </c>
      <c r="B1841" s="2">
        <v>44708</v>
      </c>
      <c r="C1841" s="1" t="s">
        <v>1056</v>
      </c>
      <c r="D1841" s="1" t="s">
        <v>43</v>
      </c>
      <c r="E1841">
        <v>1</v>
      </c>
      <c r="F1841" s="4">
        <v>1343.25</v>
      </c>
      <c r="G1841" s="3">
        <v>0.3</v>
      </c>
      <c r="H1841" s="4">
        <v>374.57</v>
      </c>
      <c r="I1841" t="str">
        <f>VLOOKUP(orders__17[[#This Row],[Customer_ID]],customers__2[#All],3,0)</f>
        <v>North</v>
      </c>
      <c r="J1841" t="str">
        <f>VLOOKUP(orders__17[[#This Row],[Customer_ID]],customers__2[#All],4,0)</f>
        <v>Corporate</v>
      </c>
      <c r="K1841" t="str">
        <f>VLOOKUP(orders__17[[#This Row],[Product_ID]],products[#All],3,0)</f>
        <v>Technology</v>
      </c>
      <c r="L1841" s="1" t="str">
        <f>VLOOKUP(orders__17[[#This Row],[Product_ID]],products[#All],4,0)</f>
        <v>Tablet</v>
      </c>
      <c r="M1841" s="1" t="str">
        <f>VLOOKUP(orders__17[[#This Row],[Order_ID]],returns[#All],2,0)</f>
        <v>No</v>
      </c>
    </row>
    <row r="1842" spans="1:13" x14ac:dyDescent="0.3">
      <c r="A1842" s="1" t="s">
        <v>2148</v>
      </c>
      <c r="B1842" s="2">
        <v>45091</v>
      </c>
      <c r="C1842" s="1" t="s">
        <v>384</v>
      </c>
      <c r="D1842" s="1" t="s">
        <v>603</v>
      </c>
      <c r="E1842">
        <v>4</v>
      </c>
      <c r="F1842" s="4">
        <v>540.83000000000004</v>
      </c>
      <c r="G1842" s="3">
        <v>0</v>
      </c>
      <c r="H1842" s="4">
        <v>130.06</v>
      </c>
      <c r="I1842" t="str">
        <f>VLOOKUP(orders__17[[#This Row],[Customer_ID]],customers__2[#All],3,0)</f>
        <v>East</v>
      </c>
      <c r="J1842" t="str">
        <f>VLOOKUP(orders__17[[#This Row],[Customer_ID]],customers__2[#All],4,0)</f>
        <v>Corporate</v>
      </c>
      <c r="K1842" t="str">
        <f>VLOOKUP(orders__17[[#This Row],[Product_ID]],products[#All],3,0)</f>
        <v>Technology</v>
      </c>
      <c r="L1842" s="1" t="str">
        <f>VLOOKUP(orders__17[[#This Row],[Product_ID]],products[#All],4,0)</f>
        <v>Accessories</v>
      </c>
      <c r="M1842" s="1" t="str">
        <f>VLOOKUP(orders__17[[#This Row],[Order_ID]],returns[#All],2,0)</f>
        <v>No</v>
      </c>
    </row>
    <row r="1843" spans="1:13" x14ac:dyDescent="0.3">
      <c r="A1843" s="1" t="s">
        <v>2149</v>
      </c>
      <c r="B1843" s="2">
        <v>44773</v>
      </c>
      <c r="C1843" s="1" t="s">
        <v>325</v>
      </c>
      <c r="D1843" s="1" t="s">
        <v>679</v>
      </c>
      <c r="E1843">
        <v>1</v>
      </c>
      <c r="F1843" s="4">
        <v>127.32</v>
      </c>
      <c r="G1843" s="3">
        <v>0.1</v>
      </c>
      <c r="H1843" s="4">
        <v>22.44</v>
      </c>
      <c r="I1843" t="str">
        <f>VLOOKUP(orders__17[[#This Row],[Customer_ID]],customers__2[#All],3,0)</f>
        <v>North</v>
      </c>
      <c r="J1843" t="str">
        <f>VLOOKUP(orders__17[[#This Row],[Customer_ID]],customers__2[#All],4,0)</f>
        <v>Corporate</v>
      </c>
      <c r="K1843" t="str">
        <f>VLOOKUP(orders__17[[#This Row],[Product_ID]],products[#All],3,0)</f>
        <v>Office Supplies</v>
      </c>
      <c r="L1843" s="1" t="str">
        <f>VLOOKUP(orders__17[[#This Row],[Product_ID]],products[#All],4,0)</f>
        <v>Paper</v>
      </c>
      <c r="M1843" s="1" t="str">
        <f>VLOOKUP(orders__17[[#This Row],[Order_ID]],returns[#All],2,0)</f>
        <v>Yes</v>
      </c>
    </row>
    <row r="1844" spans="1:13" x14ac:dyDescent="0.3">
      <c r="A1844" s="1" t="s">
        <v>2150</v>
      </c>
      <c r="B1844" s="2">
        <v>45130</v>
      </c>
      <c r="C1844" s="1" t="s">
        <v>425</v>
      </c>
      <c r="D1844" s="1" t="s">
        <v>119</v>
      </c>
      <c r="E1844">
        <v>1</v>
      </c>
      <c r="F1844" s="4">
        <v>1552.27</v>
      </c>
      <c r="G1844" s="3">
        <v>0</v>
      </c>
      <c r="H1844" s="4">
        <v>461.17</v>
      </c>
      <c r="I1844" t="str">
        <f>VLOOKUP(orders__17[[#This Row],[Customer_ID]],customers__2[#All],3,0)</f>
        <v>East</v>
      </c>
      <c r="J1844" t="str">
        <f>VLOOKUP(orders__17[[#This Row],[Customer_ID]],customers__2[#All],4,0)</f>
        <v>Home Office</v>
      </c>
      <c r="K1844" t="str">
        <f>VLOOKUP(orders__17[[#This Row],[Product_ID]],products[#All],3,0)</f>
        <v>Technology</v>
      </c>
      <c r="L1844" s="1" t="str">
        <f>VLOOKUP(orders__17[[#This Row],[Product_ID]],products[#All],4,0)</f>
        <v>Tablet</v>
      </c>
      <c r="M1844" s="1" t="str">
        <f>VLOOKUP(orders__17[[#This Row],[Order_ID]],returns[#All],2,0)</f>
        <v>No</v>
      </c>
    </row>
    <row r="1845" spans="1:13" x14ac:dyDescent="0.3">
      <c r="A1845" s="1" t="s">
        <v>2151</v>
      </c>
      <c r="B1845" s="2">
        <v>45428</v>
      </c>
      <c r="C1845" s="1" t="s">
        <v>482</v>
      </c>
      <c r="D1845" s="1" t="s">
        <v>188</v>
      </c>
      <c r="E1845">
        <v>3</v>
      </c>
      <c r="F1845" s="4">
        <v>1285.1099999999999</v>
      </c>
      <c r="G1845" s="3">
        <v>0.3</v>
      </c>
      <c r="H1845" s="4">
        <v>213.74</v>
      </c>
      <c r="I1845" t="str">
        <f>VLOOKUP(orders__17[[#This Row],[Customer_ID]],customers__2[#All],3,0)</f>
        <v>North</v>
      </c>
      <c r="J1845" t="str">
        <f>VLOOKUP(orders__17[[#This Row],[Customer_ID]],customers__2[#All],4,0)</f>
        <v>Consumer</v>
      </c>
      <c r="K1845" t="str">
        <f>VLOOKUP(orders__17[[#This Row],[Product_ID]],products[#All],3,0)</f>
        <v>Technology</v>
      </c>
      <c r="L1845" s="1" t="str">
        <f>VLOOKUP(orders__17[[#This Row],[Product_ID]],products[#All],4,0)</f>
        <v>Laptop</v>
      </c>
      <c r="M1845" s="1" t="str">
        <f>VLOOKUP(orders__17[[#This Row],[Order_ID]],returns[#All],2,0)</f>
        <v>No</v>
      </c>
    </row>
    <row r="1846" spans="1:13" x14ac:dyDescent="0.3">
      <c r="A1846" s="1" t="s">
        <v>2152</v>
      </c>
      <c r="B1846" s="2">
        <v>44728</v>
      </c>
      <c r="C1846" s="1" t="s">
        <v>154</v>
      </c>
      <c r="D1846" s="1" t="s">
        <v>372</v>
      </c>
      <c r="E1846">
        <v>5</v>
      </c>
      <c r="F1846" s="4">
        <v>1548.37</v>
      </c>
      <c r="G1846" s="3">
        <v>0</v>
      </c>
      <c r="H1846" s="4">
        <v>99.96</v>
      </c>
      <c r="I1846" t="str">
        <f>VLOOKUP(orders__17[[#This Row],[Customer_ID]],customers__2[#All],3,0)</f>
        <v>West</v>
      </c>
      <c r="J1846" t="str">
        <f>VLOOKUP(orders__17[[#This Row],[Customer_ID]],customers__2[#All],4,0)</f>
        <v>Corporate</v>
      </c>
      <c r="K1846" t="str">
        <f>VLOOKUP(orders__17[[#This Row],[Product_ID]],products[#All],3,0)</f>
        <v>Furniture</v>
      </c>
      <c r="L1846" s="1" t="str">
        <f>VLOOKUP(orders__17[[#This Row],[Product_ID]],products[#All],4,0)</f>
        <v>Shelf</v>
      </c>
      <c r="M1846" s="1" t="str">
        <f>VLOOKUP(orders__17[[#This Row],[Order_ID]],returns[#All],2,0)</f>
        <v>No</v>
      </c>
    </row>
    <row r="1847" spans="1:13" x14ac:dyDescent="0.3">
      <c r="A1847" s="1" t="s">
        <v>2153</v>
      </c>
      <c r="B1847" s="2">
        <v>45412</v>
      </c>
      <c r="C1847" s="1" t="s">
        <v>554</v>
      </c>
      <c r="D1847" s="1" t="s">
        <v>13</v>
      </c>
      <c r="E1847">
        <v>5</v>
      </c>
      <c r="F1847" s="4">
        <v>173.98</v>
      </c>
      <c r="G1847" s="3">
        <v>0.3</v>
      </c>
      <c r="H1847" s="4">
        <v>20.11</v>
      </c>
      <c r="I1847" t="str">
        <f>VLOOKUP(orders__17[[#This Row],[Customer_ID]],customers__2[#All],3,0)</f>
        <v>East</v>
      </c>
      <c r="J1847" t="str">
        <f>VLOOKUP(orders__17[[#This Row],[Customer_ID]],customers__2[#All],4,0)</f>
        <v>Consumer</v>
      </c>
      <c r="K1847" t="str">
        <f>VLOOKUP(orders__17[[#This Row],[Product_ID]],products[#All],3,0)</f>
        <v>Furniture</v>
      </c>
      <c r="L1847" s="1" t="str">
        <f>VLOOKUP(orders__17[[#This Row],[Product_ID]],products[#All],4,0)</f>
        <v>Desk</v>
      </c>
      <c r="M1847" s="1" t="str">
        <f>VLOOKUP(orders__17[[#This Row],[Order_ID]],returns[#All],2,0)</f>
        <v>Yes</v>
      </c>
    </row>
    <row r="1848" spans="1:13" x14ac:dyDescent="0.3">
      <c r="A1848" s="1" t="s">
        <v>2154</v>
      </c>
      <c r="B1848" s="2">
        <v>44602</v>
      </c>
      <c r="C1848" s="1" t="s">
        <v>777</v>
      </c>
      <c r="D1848" s="1" t="s">
        <v>458</v>
      </c>
      <c r="E1848">
        <v>1</v>
      </c>
      <c r="F1848" s="4">
        <v>1690.53</v>
      </c>
      <c r="G1848" s="3">
        <v>0</v>
      </c>
      <c r="H1848" s="4">
        <v>268.82</v>
      </c>
      <c r="I1848" t="str">
        <f>VLOOKUP(orders__17[[#This Row],[Customer_ID]],customers__2[#All],3,0)</f>
        <v>South</v>
      </c>
      <c r="J1848" t="str">
        <f>VLOOKUP(orders__17[[#This Row],[Customer_ID]],customers__2[#All],4,0)</f>
        <v>Home Office</v>
      </c>
      <c r="K1848" t="str">
        <f>VLOOKUP(orders__17[[#This Row],[Product_ID]],products[#All],3,0)</f>
        <v>Technology</v>
      </c>
      <c r="L1848" s="1" t="str">
        <f>VLOOKUP(orders__17[[#This Row],[Product_ID]],products[#All],4,0)</f>
        <v>Phone</v>
      </c>
      <c r="M1848" s="1" t="str">
        <f>VLOOKUP(orders__17[[#This Row],[Order_ID]],returns[#All],2,0)</f>
        <v>Yes</v>
      </c>
    </row>
    <row r="1849" spans="1:13" x14ac:dyDescent="0.3">
      <c r="A1849" s="1" t="s">
        <v>2155</v>
      </c>
      <c r="B1849" s="2">
        <v>45081</v>
      </c>
      <c r="C1849" s="1" t="s">
        <v>425</v>
      </c>
      <c r="D1849" s="1" t="s">
        <v>67</v>
      </c>
      <c r="E1849">
        <v>2</v>
      </c>
      <c r="F1849" s="4">
        <v>1277.0999999999999</v>
      </c>
      <c r="G1849" s="3">
        <v>0.1</v>
      </c>
      <c r="H1849" s="4">
        <v>113.95</v>
      </c>
      <c r="I1849" t="str">
        <f>VLOOKUP(orders__17[[#This Row],[Customer_ID]],customers__2[#All],3,0)</f>
        <v>East</v>
      </c>
      <c r="J1849" t="str">
        <f>VLOOKUP(orders__17[[#This Row],[Customer_ID]],customers__2[#All],4,0)</f>
        <v>Home Office</v>
      </c>
      <c r="K1849" t="str">
        <f>VLOOKUP(orders__17[[#This Row],[Product_ID]],products[#All],3,0)</f>
        <v>Furniture</v>
      </c>
      <c r="L1849" s="1" t="str">
        <f>VLOOKUP(orders__17[[#This Row],[Product_ID]],products[#All],4,0)</f>
        <v>Chair</v>
      </c>
      <c r="M1849" s="1" t="str">
        <f>VLOOKUP(orders__17[[#This Row],[Order_ID]],returns[#All],2,0)</f>
        <v>No</v>
      </c>
    </row>
    <row r="1850" spans="1:13" x14ac:dyDescent="0.3">
      <c r="A1850" s="1" t="s">
        <v>2156</v>
      </c>
      <c r="B1850" s="2">
        <v>45316</v>
      </c>
      <c r="C1850" s="1" t="s">
        <v>980</v>
      </c>
      <c r="D1850" s="1" t="s">
        <v>86</v>
      </c>
      <c r="E1850">
        <v>4</v>
      </c>
      <c r="F1850" s="4">
        <v>1170.45</v>
      </c>
      <c r="G1850" s="3">
        <v>0</v>
      </c>
      <c r="H1850" s="4">
        <v>335.79</v>
      </c>
      <c r="I1850" t="str">
        <f>VLOOKUP(orders__17[[#This Row],[Customer_ID]],customers__2[#All],3,0)</f>
        <v>South</v>
      </c>
      <c r="J1850" t="str">
        <f>VLOOKUP(orders__17[[#This Row],[Customer_ID]],customers__2[#All],4,0)</f>
        <v>Home Office</v>
      </c>
      <c r="K1850" t="str">
        <f>VLOOKUP(orders__17[[#This Row],[Product_ID]],products[#All],3,0)</f>
        <v>Furniture</v>
      </c>
      <c r="L1850" s="1" t="str">
        <f>VLOOKUP(orders__17[[#This Row],[Product_ID]],products[#All],4,0)</f>
        <v>Table</v>
      </c>
      <c r="M1850" s="1" t="str">
        <f>VLOOKUP(orders__17[[#This Row],[Order_ID]],returns[#All],2,0)</f>
        <v>Yes</v>
      </c>
    </row>
    <row r="1851" spans="1:13" x14ac:dyDescent="0.3">
      <c r="A1851" s="1" t="s">
        <v>2157</v>
      </c>
      <c r="B1851" s="2">
        <v>44839</v>
      </c>
      <c r="C1851" s="1" t="s">
        <v>355</v>
      </c>
      <c r="D1851" s="1" t="s">
        <v>679</v>
      </c>
      <c r="E1851">
        <v>2</v>
      </c>
      <c r="F1851" s="4">
        <v>1286.77</v>
      </c>
      <c r="G1851" s="3">
        <v>0.1</v>
      </c>
      <c r="H1851" s="4">
        <v>311.02999999999997</v>
      </c>
      <c r="I1851" t="str">
        <f>VLOOKUP(orders__17[[#This Row],[Customer_ID]],customers__2[#All],3,0)</f>
        <v>South</v>
      </c>
      <c r="J1851" t="str">
        <f>VLOOKUP(orders__17[[#This Row],[Customer_ID]],customers__2[#All],4,0)</f>
        <v>Home Office</v>
      </c>
      <c r="K1851" t="str">
        <f>VLOOKUP(orders__17[[#This Row],[Product_ID]],products[#All],3,0)</f>
        <v>Office Supplies</v>
      </c>
      <c r="L1851" s="1" t="str">
        <f>VLOOKUP(orders__17[[#This Row],[Product_ID]],products[#All],4,0)</f>
        <v>Paper</v>
      </c>
      <c r="M1851" s="1" t="str">
        <f>VLOOKUP(orders__17[[#This Row],[Order_ID]],returns[#All],2,0)</f>
        <v>No</v>
      </c>
    </row>
    <row r="1852" spans="1:13" x14ac:dyDescent="0.3">
      <c r="A1852" s="1" t="s">
        <v>2158</v>
      </c>
      <c r="B1852" s="2">
        <v>44866</v>
      </c>
      <c r="C1852" s="1" t="s">
        <v>834</v>
      </c>
      <c r="D1852" s="1" t="s">
        <v>141</v>
      </c>
      <c r="E1852">
        <v>2</v>
      </c>
      <c r="F1852" s="4">
        <v>1742.42</v>
      </c>
      <c r="G1852" s="3">
        <v>0.1</v>
      </c>
      <c r="H1852" s="4">
        <v>203.99</v>
      </c>
      <c r="I1852" t="str">
        <f>VLOOKUP(orders__17[[#This Row],[Customer_ID]],customers__2[#All],3,0)</f>
        <v>South</v>
      </c>
      <c r="J1852" t="str">
        <f>VLOOKUP(orders__17[[#This Row],[Customer_ID]],customers__2[#All],4,0)</f>
        <v>Consumer</v>
      </c>
      <c r="K1852" t="str">
        <f>VLOOKUP(orders__17[[#This Row],[Product_ID]],products[#All],3,0)</f>
        <v>Technology</v>
      </c>
      <c r="L1852" s="1" t="str">
        <f>VLOOKUP(orders__17[[#This Row],[Product_ID]],products[#All],4,0)</f>
        <v>Phone</v>
      </c>
      <c r="M1852" s="1" t="str">
        <f>VLOOKUP(orders__17[[#This Row],[Order_ID]],returns[#All],2,0)</f>
        <v>No</v>
      </c>
    </row>
    <row r="1853" spans="1:13" x14ac:dyDescent="0.3">
      <c r="A1853" s="1" t="s">
        <v>2159</v>
      </c>
      <c r="B1853" s="2">
        <v>45211</v>
      </c>
      <c r="C1853" s="1" t="s">
        <v>494</v>
      </c>
      <c r="D1853" s="1" t="s">
        <v>28</v>
      </c>
      <c r="E1853">
        <v>1</v>
      </c>
      <c r="F1853" s="4">
        <v>1215.18</v>
      </c>
      <c r="G1853" s="3">
        <v>0</v>
      </c>
      <c r="H1853" s="4">
        <v>240.24</v>
      </c>
      <c r="I1853" t="str">
        <f>VLOOKUP(orders__17[[#This Row],[Customer_ID]],customers__2[#All],3,0)</f>
        <v>South</v>
      </c>
      <c r="J1853" t="str">
        <f>VLOOKUP(orders__17[[#This Row],[Customer_ID]],customers__2[#All],4,0)</f>
        <v>Home Office</v>
      </c>
      <c r="K1853" t="str">
        <f>VLOOKUP(orders__17[[#This Row],[Product_ID]],products[#All],3,0)</f>
        <v>Office Supplies</v>
      </c>
      <c r="L1853" s="1" t="str">
        <f>VLOOKUP(orders__17[[#This Row],[Product_ID]],products[#All],4,0)</f>
        <v>Storage</v>
      </c>
      <c r="M1853" s="1" t="str">
        <f>VLOOKUP(orders__17[[#This Row],[Order_ID]],returns[#All],2,0)</f>
        <v>Yes</v>
      </c>
    </row>
    <row r="1854" spans="1:13" x14ac:dyDescent="0.3">
      <c r="A1854" s="1" t="s">
        <v>2160</v>
      </c>
      <c r="B1854" s="2">
        <v>44672</v>
      </c>
      <c r="C1854" s="1" t="s">
        <v>265</v>
      </c>
      <c r="D1854" s="1" t="s">
        <v>603</v>
      </c>
      <c r="E1854">
        <v>1</v>
      </c>
      <c r="F1854" s="4">
        <v>1203.81</v>
      </c>
      <c r="G1854" s="3">
        <v>0.1</v>
      </c>
      <c r="H1854" s="4">
        <v>277.31</v>
      </c>
      <c r="I1854" t="str">
        <f>VLOOKUP(orders__17[[#This Row],[Customer_ID]],customers__2[#All],3,0)</f>
        <v>East</v>
      </c>
      <c r="J1854" t="str">
        <f>VLOOKUP(orders__17[[#This Row],[Customer_ID]],customers__2[#All],4,0)</f>
        <v>Consumer</v>
      </c>
      <c r="K1854" t="str">
        <f>VLOOKUP(orders__17[[#This Row],[Product_ID]],products[#All],3,0)</f>
        <v>Technology</v>
      </c>
      <c r="L1854" s="1" t="str">
        <f>VLOOKUP(orders__17[[#This Row],[Product_ID]],products[#All],4,0)</f>
        <v>Accessories</v>
      </c>
      <c r="M1854" s="1" t="str">
        <f>VLOOKUP(orders__17[[#This Row],[Order_ID]],returns[#All],2,0)</f>
        <v>Yes</v>
      </c>
    </row>
    <row r="1855" spans="1:13" x14ac:dyDescent="0.3">
      <c r="A1855" s="1" t="s">
        <v>2161</v>
      </c>
      <c r="B1855" s="2">
        <v>44715</v>
      </c>
      <c r="C1855" s="1" t="s">
        <v>174</v>
      </c>
      <c r="D1855" s="1" t="s">
        <v>378</v>
      </c>
      <c r="E1855">
        <v>1</v>
      </c>
      <c r="F1855" s="4">
        <v>1982.29</v>
      </c>
      <c r="G1855" s="3">
        <v>0.2</v>
      </c>
      <c r="H1855" s="4">
        <v>565.59</v>
      </c>
      <c r="I1855" t="str">
        <f>VLOOKUP(orders__17[[#This Row],[Customer_ID]],customers__2[#All],3,0)</f>
        <v>East</v>
      </c>
      <c r="J1855" t="str">
        <f>VLOOKUP(orders__17[[#This Row],[Customer_ID]],customers__2[#All],4,0)</f>
        <v>Consumer</v>
      </c>
      <c r="K1855" t="str">
        <f>VLOOKUP(orders__17[[#This Row],[Product_ID]],products[#All],3,0)</f>
        <v>Office Supplies</v>
      </c>
      <c r="L1855" s="1" t="str">
        <f>VLOOKUP(orders__17[[#This Row],[Product_ID]],products[#All],4,0)</f>
        <v>Paper</v>
      </c>
      <c r="M1855" s="1" t="str">
        <f>VLOOKUP(orders__17[[#This Row],[Order_ID]],returns[#All],2,0)</f>
        <v>No</v>
      </c>
    </row>
    <row r="1856" spans="1:13" x14ac:dyDescent="0.3">
      <c r="A1856" s="1" t="s">
        <v>2162</v>
      </c>
      <c r="B1856" s="2">
        <v>45161</v>
      </c>
      <c r="C1856" s="1" t="s">
        <v>42</v>
      </c>
      <c r="D1856" s="1" t="s">
        <v>502</v>
      </c>
      <c r="E1856">
        <v>1</v>
      </c>
      <c r="F1856" s="4">
        <v>1537.79</v>
      </c>
      <c r="G1856" s="3">
        <v>0</v>
      </c>
      <c r="H1856" s="4">
        <v>415.83</v>
      </c>
      <c r="I1856" t="str">
        <f>VLOOKUP(orders__17[[#This Row],[Customer_ID]],customers__2[#All],3,0)</f>
        <v>North</v>
      </c>
      <c r="J1856" t="str">
        <f>VLOOKUP(orders__17[[#This Row],[Customer_ID]],customers__2[#All],4,0)</f>
        <v>Corporate</v>
      </c>
      <c r="K1856" t="str">
        <f>VLOOKUP(orders__17[[#This Row],[Product_ID]],products[#All],3,0)</f>
        <v>Furniture</v>
      </c>
      <c r="L1856" s="1" t="str">
        <f>VLOOKUP(orders__17[[#This Row],[Product_ID]],products[#All],4,0)</f>
        <v>Shelf</v>
      </c>
      <c r="M1856" s="1" t="str">
        <f>VLOOKUP(orders__17[[#This Row],[Order_ID]],returns[#All],2,0)</f>
        <v>Yes</v>
      </c>
    </row>
    <row r="1857" spans="1:13" x14ac:dyDescent="0.3">
      <c r="A1857" s="1" t="s">
        <v>2163</v>
      </c>
      <c r="B1857" s="2">
        <v>44755</v>
      </c>
      <c r="C1857" s="1" t="s">
        <v>200</v>
      </c>
      <c r="D1857" s="1" t="s">
        <v>239</v>
      </c>
      <c r="E1857">
        <v>5</v>
      </c>
      <c r="F1857" s="4">
        <v>940.36</v>
      </c>
      <c r="G1857" s="3">
        <v>0</v>
      </c>
      <c r="H1857" s="4">
        <v>168.13</v>
      </c>
      <c r="I1857" t="str">
        <f>VLOOKUP(orders__17[[#This Row],[Customer_ID]],customers__2[#All],3,0)</f>
        <v>East</v>
      </c>
      <c r="J1857" t="str">
        <f>VLOOKUP(orders__17[[#This Row],[Customer_ID]],customers__2[#All],4,0)</f>
        <v>Consumer</v>
      </c>
      <c r="K1857" t="str">
        <f>VLOOKUP(orders__17[[#This Row],[Product_ID]],products[#All],3,0)</f>
        <v>Furniture</v>
      </c>
      <c r="L1857" s="1" t="str">
        <f>VLOOKUP(orders__17[[#This Row],[Product_ID]],products[#All],4,0)</f>
        <v>Shelf</v>
      </c>
      <c r="M1857" s="1" t="str">
        <f>VLOOKUP(orders__17[[#This Row],[Order_ID]],returns[#All],2,0)</f>
        <v>No</v>
      </c>
    </row>
    <row r="1858" spans="1:13" x14ac:dyDescent="0.3">
      <c r="A1858" s="1" t="s">
        <v>2164</v>
      </c>
      <c r="B1858" s="2">
        <v>45225</v>
      </c>
      <c r="C1858" s="1" t="s">
        <v>265</v>
      </c>
      <c r="D1858" s="1" t="s">
        <v>275</v>
      </c>
      <c r="E1858">
        <v>1</v>
      </c>
      <c r="F1858" s="4">
        <v>1444.05</v>
      </c>
      <c r="G1858" s="3">
        <v>0.1</v>
      </c>
      <c r="H1858" s="4">
        <v>351.86</v>
      </c>
      <c r="I1858" t="str">
        <f>VLOOKUP(orders__17[[#This Row],[Customer_ID]],customers__2[#All],3,0)</f>
        <v>East</v>
      </c>
      <c r="J1858" t="str">
        <f>VLOOKUP(orders__17[[#This Row],[Customer_ID]],customers__2[#All],4,0)</f>
        <v>Consumer</v>
      </c>
      <c r="K1858" t="str">
        <f>VLOOKUP(orders__17[[#This Row],[Product_ID]],products[#All],3,0)</f>
        <v>Furniture</v>
      </c>
      <c r="L1858" s="1" t="str">
        <f>VLOOKUP(orders__17[[#This Row],[Product_ID]],products[#All],4,0)</f>
        <v>Table</v>
      </c>
      <c r="M1858" s="1" t="str">
        <f>VLOOKUP(orders__17[[#This Row],[Order_ID]],returns[#All],2,0)</f>
        <v>No</v>
      </c>
    </row>
    <row r="1859" spans="1:13" x14ac:dyDescent="0.3">
      <c r="A1859" s="1" t="s">
        <v>2165</v>
      </c>
      <c r="B1859" s="2">
        <v>45053</v>
      </c>
      <c r="C1859" s="1" t="s">
        <v>96</v>
      </c>
      <c r="D1859" s="1" t="s">
        <v>249</v>
      </c>
      <c r="E1859">
        <v>5</v>
      </c>
      <c r="F1859" s="4">
        <v>839.54</v>
      </c>
      <c r="G1859" s="3">
        <v>0.1</v>
      </c>
      <c r="H1859" s="4">
        <v>159.96</v>
      </c>
      <c r="I1859" t="str">
        <f>VLOOKUP(orders__17[[#This Row],[Customer_ID]],customers__2[#All],3,0)</f>
        <v>West</v>
      </c>
      <c r="J1859" t="str">
        <f>VLOOKUP(orders__17[[#This Row],[Customer_ID]],customers__2[#All],4,0)</f>
        <v>Corporate</v>
      </c>
      <c r="K1859" t="str">
        <f>VLOOKUP(orders__17[[#This Row],[Product_ID]],products[#All],3,0)</f>
        <v>Office Supplies</v>
      </c>
      <c r="L1859" s="1" t="str">
        <f>VLOOKUP(orders__17[[#This Row],[Product_ID]],products[#All],4,0)</f>
        <v>Paper</v>
      </c>
      <c r="M1859" s="1" t="str">
        <f>VLOOKUP(orders__17[[#This Row],[Order_ID]],returns[#All],2,0)</f>
        <v>No</v>
      </c>
    </row>
    <row r="1860" spans="1:13" x14ac:dyDescent="0.3">
      <c r="A1860" s="1" t="s">
        <v>2166</v>
      </c>
      <c r="B1860" s="2">
        <v>44757</v>
      </c>
      <c r="C1860" s="1" t="s">
        <v>18</v>
      </c>
      <c r="D1860" s="1" t="s">
        <v>48</v>
      </c>
      <c r="E1860">
        <v>5</v>
      </c>
      <c r="F1860" s="4">
        <v>534.86</v>
      </c>
      <c r="G1860" s="3">
        <v>0</v>
      </c>
      <c r="H1860" s="4">
        <v>100.65</v>
      </c>
      <c r="I1860" t="str">
        <f>VLOOKUP(orders__17[[#This Row],[Customer_ID]],customers__2[#All],3,0)</f>
        <v>North</v>
      </c>
      <c r="J1860" t="str">
        <f>VLOOKUP(orders__17[[#This Row],[Customer_ID]],customers__2[#All],4,0)</f>
        <v>Home Office</v>
      </c>
      <c r="K1860" t="str">
        <f>VLOOKUP(orders__17[[#This Row],[Product_ID]],products[#All],3,0)</f>
        <v>Office Supplies</v>
      </c>
      <c r="L1860" s="1" t="str">
        <f>VLOOKUP(orders__17[[#This Row],[Product_ID]],products[#All],4,0)</f>
        <v>Pen</v>
      </c>
      <c r="M1860" s="1" t="str">
        <f>VLOOKUP(orders__17[[#This Row],[Order_ID]],returns[#All],2,0)</f>
        <v>No</v>
      </c>
    </row>
    <row r="1861" spans="1:13" x14ac:dyDescent="0.3">
      <c r="A1861" s="1" t="s">
        <v>2167</v>
      </c>
      <c r="B1861" s="2">
        <v>44793</v>
      </c>
      <c r="C1861" s="1" t="s">
        <v>526</v>
      </c>
      <c r="D1861" s="1" t="s">
        <v>400</v>
      </c>
      <c r="E1861">
        <v>1</v>
      </c>
      <c r="F1861" s="4">
        <v>1234.02</v>
      </c>
      <c r="G1861" s="3">
        <v>0.2</v>
      </c>
      <c r="H1861" s="4">
        <v>97.1</v>
      </c>
      <c r="I1861" t="str">
        <f>VLOOKUP(orders__17[[#This Row],[Customer_ID]],customers__2[#All],3,0)</f>
        <v>West</v>
      </c>
      <c r="J1861" t="str">
        <f>VLOOKUP(orders__17[[#This Row],[Customer_ID]],customers__2[#All],4,0)</f>
        <v>Corporate</v>
      </c>
      <c r="K1861" t="str">
        <f>VLOOKUP(orders__17[[#This Row],[Product_ID]],products[#All],3,0)</f>
        <v>Office Supplies</v>
      </c>
      <c r="L1861" s="1" t="str">
        <f>VLOOKUP(orders__17[[#This Row],[Product_ID]],products[#All],4,0)</f>
        <v>Paper</v>
      </c>
      <c r="M1861" s="1" t="str">
        <f>VLOOKUP(orders__17[[#This Row],[Order_ID]],returns[#All],2,0)</f>
        <v>Yes</v>
      </c>
    </row>
    <row r="1862" spans="1:13" x14ac:dyDescent="0.3">
      <c r="A1862" s="1" t="s">
        <v>2168</v>
      </c>
      <c r="B1862" s="2">
        <v>44650</v>
      </c>
      <c r="C1862" s="1" t="s">
        <v>786</v>
      </c>
      <c r="D1862" s="1" t="s">
        <v>97</v>
      </c>
      <c r="E1862">
        <v>3</v>
      </c>
      <c r="F1862" s="4">
        <v>1863.55</v>
      </c>
      <c r="G1862" s="3">
        <v>0.1</v>
      </c>
      <c r="H1862" s="4">
        <v>151.94</v>
      </c>
      <c r="I1862" t="str">
        <f>VLOOKUP(orders__17[[#This Row],[Customer_ID]],customers__2[#All],3,0)</f>
        <v>East</v>
      </c>
      <c r="J1862" t="str">
        <f>VLOOKUP(orders__17[[#This Row],[Customer_ID]],customers__2[#All],4,0)</f>
        <v>Corporate</v>
      </c>
      <c r="K1862" t="str">
        <f>VLOOKUP(orders__17[[#This Row],[Product_ID]],products[#All],3,0)</f>
        <v>Technology</v>
      </c>
      <c r="L1862" s="1" t="str">
        <f>VLOOKUP(orders__17[[#This Row],[Product_ID]],products[#All],4,0)</f>
        <v>Tablet</v>
      </c>
      <c r="M1862" s="1" t="str">
        <f>VLOOKUP(orders__17[[#This Row],[Order_ID]],returns[#All],2,0)</f>
        <v>No</v>
      </c>
    </row>
    <row r="1863" spans="1:13" x14ac:dyDescent="0.3">
      <c r="A1863" s="1" t="s">
        <v>2169</v>
      </c>
      <c r="B1863" s="2">
        <v>45139</v>
      </c>
      <c r="C1863" s="1" t="s">
        <v>468</v>
      </c>
      <c r="D1863" s="1" t="s">
        <v>369</v>
      </c>
      <c r="E1863">
        <v>4</v>
      </c>
      <c r="F1863" s="4">
        <v>1865.37</v>
      </c>
      <c r="G1863" s="3">
        <v>0.1</v>
      </c>
      <c r="H1863" s="4">
        <v>340.21</v>
      </c>
      <c r="I1863" t="str">
        <f>VLOOKUP(orders__17[[#This Row],[Customer_ID]],customers__2[#All],3,0)</f>
        <v>South</v>
      </c>
      <c r="J1863" t="str">
        <f>VLOOKUP(orders__17[[#This Row],[Customer_ID]],customers__2[#All],4,0)</f>
        <v>Consumer</v>
      </c>
      <c r="K1863" t="str">
        <f>VLOOKUP(orders__17[[#This Row],[Product_ID]],products[#All],3,0)</f>
        <v>Technology</v>
      </c>
      <c r="L1863" s="1" t="str">
        <f>VLOOKUP(orders__17[[#This Row],[Product_ID]],products[#All],4,0)</f>
        <v>Phone</v>
      </c>
      <c r="M1863" s="1" t="str">
        <f>VLOOKUP(orders__17[[#This Row],[Order_ID]],returns[#All],2,0)</f>
        <v>No</v>
      </c>
    </row>
    <row r="1864" spans="1:13" x14ac:dyDescent="0.3">
      <c r="A1864" s="1" t="s">
        <v>2170</v>
      </c>
      <c r="B1864" s="2">
        <v>45261</v>
      </c>
      <c r="C1864" s="1" t="s">
        <v>1093</v>
      </c>
      <c r="D1864" s="1" t="s">
        <v>10</v>
      </c>
      <c r="E1864">
        <v>2</v>
      </c>
      <c r="F1864" s="4">
        <v>749.62</v>
      </c>
      <c r="G1864" s="3">
        <v>0.3</v>
      </c>
      <c r="H1864" s="4">
        <v>87.87</v>
      </c>
      <c r="I1864" t="str">
        <f>VLOOKUP(orders__17[[#This Row],[Customer_ID]],customers__2[#All],3,0)</f>
        <v>West</v>
      </c>
      <c r="J1864" t="str">
        <f>VLOOKUP(orders__17[[#This Row],[Customer_ID]],customers__2[#All],4,0)</f>
        <v>Home Office</v>
      </c>
      <c r="K1864" t="str">
        <f>VLOOKUP(orders__17[[#This Row],[Product_ID]],products[#All],3,0)</f>
        <v>Technology</v>
      </c>
      <c r="L1864" s="1" t="str">
        <f>VLOOKUP(orders__17[[#This Row],[Product_ID]],products[#All],4,0)</f>
        <v>Tablet</v>
      </c>
      <c r="M1864" s="1" t="str">
        <f>VLOOKUP(orders__17[[#This Row],[Order_ID]],returns[#All],2,0)</f>
        <v>No</v>
      </c>
    </row>
    <row r="1865" spans="1:13" x14ac:dyDescent="0.3">
      <c r="A1865" s="1" t="s">
        <v>2171</v>
      </c>
      <c r="B1865" s="2">
        <v>44738</v>
      </c>
      <c r="C1865" s="1" t="s">
        <v>27</v>
      </c>
      <c r="D1865" s="1" t="s">
        <v>59</v>
      </c>
      <c r="E1865">
        <v>5</v>
      </c>
      <c r="F1865" s="4">
        <v>1102.5899999999999</v>
      </c>
      <c r="G1865" s="3">
        <v>0.2</v>
      </c>
      <c r="H1865" s="4">
        <v>60.93</v>
      </c>
      <c r="I1865" t="str">
        <f>VLOOKUP(orders__17[[#This Row],[Customer_ID]],customers__2[#All],3,0)</f>
        <v>North</v>
      </c>
      <c r="J1865" t="str">
        <f>VLOOKUP(orders__17[[#This Row],[Customer_ID]],customers__2[#All],4,0)</f>
        <v>Consumer</v>
      </c>
      <c r="K1865" t="str">
        <f>VLOOKUP(orders__17[[#This Row],[Product_ID]],products[#All],3,0)</f>
        <v>Office Supplies</v>
      </c>
      <c r="L1865" s="1" t="str">
        <f>VLOOKUP(orders__17[[#This Row],[Product_ID]],products[#All],4,0)</f>
        <v>Paper</v>
      </c>
      <c r="M1865" s="1" t="str">
        <f>VLOOKUP(orders__17[[#This Row],[Order_ID]],returns[#All],2,0)</f>
        <v>No</v>
      </c>
    </row>
    <row r="1866" spans="1:13" x14ac:dyDescent="0.3">
      <c r="A1866" s="1" t="s">
        <v>2172</v>
      </c>
      <c r="B1866" s="2">
        <v>45268</v>
      </c>
      <c r="C1866" s="1" t="s">
        <v>637</v>
      </c>
      <c r="D1866" s="1" t="s">
        <v>341</v>
      </c>
      <c r="E1866">
        <v>4</v>
      </c>
      <c r="F1866" s="4">
        <v>502.11</v>
      </c>
      <c r="G1866" s="3">
        <v>0.2</v>
      </c>
      <c r="H1866" s="4">
        <v>115.84</v>
      </c>
      <c r="I1866" t="str">
        <f>VLOOKUP(orders__17[[#This Row],[Customer_ID]],customers__2[#All],3,0)</f>
        <v>North</v>
      </c>
      <c r="J1866" t="str">
        <f>VLOOKUP(orders__17[[#This Row],[Customer_ID]],customers__2[#All],4,0)</f>
        <v>Corporate</v>
      </c>
      <c r="K1866" t="str">
        <f>VLOOKUP(orders__17[[#This Row],[Product_ID]],products[#All],3,0)</f>
        <v>Technology</v>
      </c>
      <c r="L1866" s="1" t="str">
        <f>VLOOKUP(orders__17[[#This Row],[Product_ID]],products[#All],4,0)</f>
        <v>Phone</v>
      </c>
      <c r="M1866" s="1" t="str">
        <f>VLOOKUP(orders__17[[#This Row],[Order_ID]],returns[#All],2,0)</f>
        <v>No</v>
      </c>
    </row>
    <row r="1867" spans="1:13" x14ac:dyDescent="0.3">
      <c r="A1867" s="1" t="s">
        <v>2173</v>
      </c>
      <c r="B1867" s="2">
        <v>45090</v>
      </c>
      <c r="C1867" s="1" t="s">
        <v>683</v>
      </c>
      <c r="D1867" s="1" t="s">
        <v>48</v>
      </c>
      <c r="E1867">
        <v>3</v>
      </c>
      <c r="F1867" s="4">
        <v>1991.7</v>
      </c>
      <c r="G1867" s="3">
        <v>0</v>
      </c>
      <c r="H1867" s="4">
        <v>115.76</v>
      </c>
      <c r="I1867" t="str">
        <f>VLOOKUP(orders__17[[#This Row],[Customer_ID]],customers__2[#All],3,0)</f>
        <v>East</v>
      </c>
      <c r="J1867" t="str">
        <f>VLOOKUP(orders__17[[#This Row],[Customer_ID]],customers__2[#All],4,0)</f>
        <v>Corporate</v>
      </c>
      <c r="K1867" t="str">
        <f>VLOOKUP(orders__17[[#This Row],[Product_ID]],products[#All],3,0)</f>
        <v>Office Supplies</v>
      </c>
      <c r="L1867" s="1" t="str">
        <f>VLOOKUP(orders__17[[#This Row],[Product_ID]],products[#All],4,0)</f>
        <v>Pen</v>
      </c>
      <c r="M1867" s="1" t="str">
        <f>VLOOKUP(orders__17[[#This Row],[Order_ID]],returns[#All],2,0)</f>
        <v>No</v>
      </c>
    </row>
    <row r="1868" spans="1:13" x14ac:dyDescent="0.3">
      <c r="A1868" s="1" t="s">
        <v>2174</v>
      </c>
      <c r="B1868" s="2">
        <v>45259</v>
      </c>
      <c r="C1868" s="1" t="s">
        <v>978</v>
      </c>
      <c r="D1868" s="1" t="s">
        <v>19</v>
      </c>
      <c r="E1868">
        <v>2</v>
      </c>
      <c r="F1868" s="4">
        <v>1964.12</v>
      </c>
      <c r="G1868" s="3">
        <v>0.2</v>
      </c>
      <c r="H1868" s="4">
        <v>390.5</v>
      </c>
      <c r="I1868" t="str">
        <f>VLOOKUP(orders__17[[#This Row],[Customer_ID]],customers__2[#All],3,0)</f>
        <v>North</v>
      </c>
      <c r="J1868" t="str">
        <f>VLOOKUP(orders__17[[#This Row],[Customer_ID]],customers__2[#All],4,0)</f>
        <v>Home Office</v>
      </c>
      <c r="K1868" t="str">
        <f>VLOOKUP(orders__17[[#This Row],[Product_ID]],products[#All],3,0)</f>
        <v>Office Supplies</v>
      </c>
      <c r="L1868" s="1" t="str">
        <f>VLOOKUP(orders__17[[#This Row],[Product_ID]],products[#All],4,0)</f>
        <v>Pen</v>
      </c>
      <c r="M1868" s="1" t="str">
        <f>VLOOKUP(orders__17[[#This Row],[Order_ID]],returns[#All],2,0)</f>
        <v>Yes</v>
      </c>
    </row>
    <row r="1869" spans="1:13" x14ac:dyDescent="0.3">
      <c r="A1869" s="1" t="s">
        <v>2175</v>
      </c>
      <c r="B1869" s="2">
        <v>45077</v>
      </c>
      <c r="C1869" s="1" t="s">
        <v>145</v>
      </c>
      <c r="D1869" s="1" t="s">
        <v>234</v>
      </c>
      <c r="E1869">
        <v>2</v>
      </c>
      <c r="F1869" s="4">
        <v>1334.07</v>
      </c>
      <c r="G1869" s="3">
        <v>0</v>
      </c>
      <c r="H1869" s="4">
        <v>246.53</v>
      </c>
      <c r="I1869" t="str">
        <f>VLOOKUP(orders__17[[#This Row],[Customer_ID]],customers__2[#All],3,0)</f>
        <v>West</v>
      </c>
      <c r="J1869" t="str">
        <f>VLOOKUP(orders__17[[#This Row],[Customer_ID]],customers__2[#All],4,0)</f>
        <v>Corporate</v>
      </c>
      <c r="K1869" t="str">
        <f>VLOOKUP(orders__17[[#This Row],[Product_ID]],products[#All],3,0)</f>
        <v>Furniture</v>
      </c>
      <c r="L1869" s="1" t="str">
        <f>VLOOKUP(orders__17[[#This Row],[Product_ID]],products[#All],4,0)</f>
        <v>Shelf</v>
      </c>
      <c r="M1869" s="1" t="str">
        <f>VLOOKUP(orders__17[[#This Row],[Order_ID]],returns[#All],2,0)</f>
        <v>No</v>
      </c>
    </row>
    <row r="1870" spans="1:13" x14ac:dyDescent="0.3">
      <c r="A1870" s="1" t="s">
        <v>2176</v>
      </c>
      <c r="B1870" s="2">
        <v>45110</v>
      </c>
      <c r="C1870" s="1" t="s">
        <v>1043</v>
      </c>
      <c r="D1870" s="1" t="s">
        <v>201</v>
      </c>
      <c r="E1870">
        <v>5</v>
      </c>
      <c r="F1870" s="4">
        <v>1628.39</v>
      </c>
      <c r="G1870" s="3">
        <v>0.3</v>
      </c>
      <c r="H1870" s="4">
        <v>475.82</v>
      </c>
      <c r="I1870" t="str">
        <f>VLOOKUP(orders__17[[#This Row],[Customer_ID]],customers__2[#All],3,0)</f>
        <v>South</v>
      </c>
      <c r="J1870" t="str">
        <f>VLOOKUP(orders__17[[#This Row],[Customer_ID]],customers__2[#All],4,0)</f>
        <v>Corporate</v>
      </c>
      <c r="K1870" t="str">
        <f>VLOOKUP(orders__17[[#This Row],[Product_ID]],products[#All],3,0)</f>
        <v>Office Supplies</v>
      </c>
      <c r="L1870" s="1" t="str">
        <f>VLOOKUP(orders__17[[#This Row],[Product_ID]],products[#All],4,0)</f>
        <v>Paper</v>
      </c>
      <c r="M1870" s="1" t="str">
        <f>VLOOKUP(orders__17[[#This Row],[Order_ID]],returns[#All],2,0)</f>
        <v>No</v>
      </c>
    </row>
    <row r="1871" spans="1:13" x14ac:dyDescent="0.3">
      <c r="A1871" s="1" t="s">
        <v>2177</v>
      </c>
      <c r="B1871" s="2">
        <v>45177</v>
      </c>
      <c r="C1871" s="1" t="s">
        <v>169</v>
      </c>
      <c r="D1871" s="1" t="s">
        <v>59</v>
      </c>
      <c r="E1871">
        <v>1</v>
      </c>
      <c r="F1871" s="4">
        <v>1458.69</v>
      </c>
      <c r="G1871" s="3">
        <v>0.2</v>
      </c>
      <c r="H1871" s="4">
        <v>249.51</v>
      </c>
      <c r="I1871" t="str">
        <f>VLOOKUP(orders__17[[#This Row],[Customer_ID]],customers__2[#All],3,0)</f>
        <v>East</v>
      </c>
      <c r="J1871" t="str">
        <f>VLOOKUP(orders__17[[#This Row],[Customer_ID]],customers__2[#All],4,0)</f>
        <v>Home Office</v>
      </c>
      <c r="K1871" t="str">
        <f>VLOOKUP(orders__17[[#This Row],[Product_ID]],products[#All],3,0)</f>
        <v>Office Supplies</v>
      </c>
      <c r="L1871" s="1" t="str">
        <f>VLOOKUP(orders__17[[#This Row],[Product_ID]],products[#All],4,0)</f>
        <v>Paper</v>
      </c>
      <c r="M1871" s="1" t="str">
        <f>VLOOKUP(orders__17[[#This Row],[Order_ID]],returns[#All],2,0)</f>
        <v>No</v>
      </c>
    </row>
    <row r="1872" spans="1:13" x14ac:dyDescent="0.3">
      <c r="A1872" s="1" t="s">
        <v>2178</v>
      </c>
      <c r="B1872" s="2">
        <v>44779</v>
      </c>
      <c r="C1872" s="1" t="s">
        <v>21</v>
      </c>
      <c r="D1872" s="1" t="s">
        <v>122</v>
      </c>
      <c r="E1872">
        <v>3</v>
      </c>
      <c r="F1872" s="4">
        <v>1227</v>
      </c>
      <c r="G1872" s="3">
        <v>0.1</v>
      </c>
      <c r="H1872" s="4">
        <v>80.86</v>
      </c>
      <c r="I1872" t="str">
        <f>VLOOKUP(orders__17[[#This Row],[Customer_ID]],customers__2[#All],3,0)</f>
        <v>West</v>
      </c>
      <c r="J1872" t="str">
        <f>VLOOKUP(orders__17[[#This Row],[Customer_ID]],customers__2[#All],4,0)</f>
        <v>Corporate</v>
      </c>
      <c r="K1872" t="str">
        <f>VLOOKUP(orders__17[[#This Row],[Product_ID]],products[#All],3,0)</f>
        <v>Office Supplies</v>
      </c>
      <c r="L1872" s="1" t="str">
        <f>VLOOKUP(orders__17[[#This Row],[Product_ID]],products[#All],4,0)</f>
        <v>Storage</v>
      </c>
      <c r="M1872" s="1" t="str">
        <f>VLOOKUP(orders__17[[#This Row],[Order_ID]],returns[#All],2,0)</f>
        <v>Yes</v>
      </c>
    </row>
    <row r="1873" spans="1:13" x14ac:dyDescent="0.3">
      <c r="A1873" s="1" t="s">
        <v>2179</v>
      </c>
      <c r="B1873" s="2">
        <v>44751</v>
      </c>
      <c r="C1873" s="1" t="s">
        <v>217</v>
      </c>
      <c r="D1873" s="1" t="s">
        <v>660</v>
      </c>
      <c r="E1873">
        <v>5</v>
      </c>
      <c r="F1873" s="4">
        <v>201.36</v>
      </c>
      <c r="G1873" s="3">
        <v>0.3</v>
      </c>
      <c r="H1873" s="4">
        <v>37.840000000000003</v>
      </c>
      <c r="I1873" t="str">
        <f>VLOOKUP(orders__17[[#This Row],[Customer_ID]],customers__2[#All],3,0)</f>
        <v>East</v>
      </c>
      <c r="J1873" t="str">
        <f>VLOOKUP(orders__17[[#This Row],[Customer_ID]],customers__2[#All],4,0)</f>
        <v>Corporate</v>
      </c>
      <c r="K1873" t="str">
        <f>VLOOKUP(orders__17[[#This Row],[Product_ID]],products[#All],3,0)</f>
        <v>Office Supplies</v>
      </c>
      <c r="L1873" s="1" t="str">
        <f>VLOOKUP(orders__17[[#This Row],[Product_ID]],products[#All],4,0)</f>
        <v>Storage</v>
      </c>
      <c r="M1873" s="1" t="str">
        <f>VLOOKUP(orders__17[[#This Row],[Order_ID]],returns[#All],2,0)</f>
        <v>No</v>
      </c>
    </row>
    <row r="1874" spans="1:13" x14ac:dyDescent="0.3">
      <c r="A1874" s="1" t="s">
        <v>2180</v>
      </c>
      <c r="B1874" s="2">
        <v>44634</v>
      </c>
      <c r="C1874" s="1" t="s">
        <v>233</v>
      </c>
      <c r="D1874" s="1" t="s">
        <v>221</v>
      </c>
      <c r="E1874">
        <v>3</v>
      </c>
      <c r="F1874" s="4">
        <v>964.05</v>
      </c>
      <c r="G1874" s="3">
        <v>0</v>
      </c>
      <c r="H1874" s="4">
        <v>250.92</v>
      </c>
      <c r="I1874" t="str">
        <f>VLOOKUP(orders__17[[#This Row],[Customer_ID]],customers__2[#All],3,0)</f>
        <v>South</v>
      </c>
      <c r="J1874" t="str">
        <f>VLOOKUP(orders__17[[#This Row],[Customer_ID]],customers__2[#All],4,0)</f>
        <v>Home Office</v>
      </c>
      <c r="K1874" t="str">
        <f>VLOOKUP(orders__17[[#This Row],[Product_ID]],products[#All],3,0)</f>
        <v>Technology</v>
      </c>
      <c r="L1874" s="1" t="str">
        <f>VLOOKUP(orders__17[[#This Row],[Product_ID]],products[#All],4,0)</f>
        <v>Laptop</v>
      </c>
      <c r="M1874" s="1" t="str">
        <f>VLOOKUP(orders__17[[#This Row],[Order_ID]],returns[#All],2,0)</f>
        <v>No</v>
      </c>
    </row>
    <row r="1875" spans="1:13" x14ac:dyDescent="0.3">
      <c r="A1875" s="1" t="s">
        <v>2181</v>
      </c>
      <c r="B1875" s="2">
        <v>45079</v>
      </c>
      <c r="C1875" s="1" t="s">
        <v>647</v>
      </c>
      <c r="D1875" s="1" t="s">
        <v>451</v>
      </c>
      <c r="E1875">
        <v>1</v>
      </c>
      <c r="F1875" s="4">
        <v>1382.09</v>
      </c>
      <c r="G1875" s="3">
        <v>0.3</v>
      </c>
      <c r="H1875" s="4">
        <v>413.54</v>
      </c>
      <c r="I1875" t="str">
        <f>VLOOKUP(orders__17[[#This Row],[Customer_ID]],customers__2[#All],3,0)</f>
        <v>South</v>
      </c>
      <c r="J1875" t="str">
        <f>VLOOKUP(orders__17[[#This Row],[Customer_ID]],customers__2[#All],4,0)</f>
        <v>Consumer</v>
      </c>
      <c r="K1875" t="str">
        <f>VLOOKUP(orders__17[[#This Row],[Product_ID]],products[#All],3,0)</f>
        <v>Technology</v>
      </c>
      <c r="L1875" s="1" t="str">
        <f>VLOOKUP(orders__17[[#This Row],[Product_ID]],products[#All],4,0)</f>
        <v>Laptop</v>
      </c>
      <c r="M1875" s="1" t="str">
        <f>VLOOKUP(orders__17[[#This Row],[Order_ID]],returns[#All],2,0)</f>
        <v>Yes</v>
      </c>
    </row>
    <row r="1876" spans="1:13" x14ac:dyDescent="0.3">
      <c r="A1876" s="1" t="s">
        <v>2182</v>
      </c>
      <c r="B1876" s="2">
        <v>44629</v>
      </c>
      <c r="C1876" s="1" t="s">
        <v>233</v>
      </c>
      <c r="D1876" s="1" t="s">
        <v>195</v>
      </c>
      <c r="E1876">
        <v>1</v>
      </c>
      <c r="F1876" s="4">
        <v>1387.31</v>
      </c>
      <c r="G1876" s="3">
        <v>0</v>
      </c>
      <c r="H1876" s="4">
        <v>218.62</v>
      </c>
      <c r="I1876" t="str">
        <f>VLOOKUP(orders__17[[#This Row],[Customer_ID]],customers__2[#All],3,0)</f>
        <v>South</v>
      </c>
      <c r="J1876" t="str">
        <f>VLOOKUP(orders__17[[#This Row],[Customer_ID]],customers__2[#All],4,0)</f>
        <v>Home Office</v>
      </c>
      <c r="K1876" t="str">
        <f>VLOOKUP(orders__17[[#This Row],[Product_ID]],products[#All],3,0)</f>
        <v>Furniture</v>
      </c>
      <c r="L1876" s="1" t="str">
        <f>VLOOKUP(orders__17[[#This Row],[Product_ID]],products[#All],4,0)</f>
        <v>Chair</v>
      </c>
      <c r="M1876" s="1" t="str">
        <f>VLOOKUP(orders__17[[#This Row],[Order_ID]],returns[#All],2,0)</f>
        <v>No</v>
      </c>
    </row>
    <row r="1877" spans="1:13" x14ac:dyDescent="0.3">
      <c r="A1877" s="1" t="s">
        <v>2183</v>
      </c>
      <c r="B1877" s="2">
        <v>45209</v>
      </c>
      <c r="C1877" s="1" t="s">
        <v>927</v>
      </c>
      <c r="D1877" s="1" t="s">
        <v>143</v>
      </c>
      <c r="E1877">
        <v>5</v>
      </c>
      <c r="F1877" s="4">
        <v>808.93</v>
      </c>
      <c r="G1877" s="3">
        <v>0.3</v>
      </c>
      <c r="H1877" s="4">
        <v>105.22</v>
      </c>
      <c r="I1877" t="str">
        <f>VLOOKUP(orders__17[[#This Row],[Customer_ID]],customers__2[#All],3,0)</f>
        <v>South</v>
      </c>
      <c r="J1877" t="str">
        <f>VLOOKUP(orders__17[[#This Row],[Customer_ID]],customers__2[#All],4,0)</f>
        <v>Corporate</v>
      </c>
      <c r="K1877" t="str">
        <f>VLOOKUP(orders__17[[#This Row],[Product_ID]],products[#All],3,0)</f>
        <v>Furniture</v>
      </c>
      <c r="L1877" s="1" t="str">
        <f>VLOOKUP(orders__17[[#This Row],[Product_ID]],products[#All],4,0)</f>
        <v>Shelf</v>
      </c>
      <c r="M1877" s="1" t="str">
        <f>VLOOKUP(orders__17[[#This Row],[Order_ID]],returns[#All],2,0)</f>
        <v>No</v>
      </c>
    </row>
    <row r="1878" spans="1:13" x14ac:dyDescent="0.3">
      <c r="A1878" s="1" t="s">
        <v>2184</v>
      </c>
      <c r="B1878" s="2">
        <v>44860</v>
      </c>
      <c r="C1878" s="1" t="s">
        <v>420</v>
      </c>
      <c r="D1878" s="1" t="s">
        <v>64</v>
      </c>
      <c r="E1878">
        <v>1</v>
      </c>
      <c r="F1878" s="4">
        <v>1889.21</v>
      </c>
      <c r="G1878" s="3">
        <v>0</v>
      </c>
      <c r="H1878" s="4">
        <v>522.67999999999995</v>
      </c>
      <c r="I1878" t="str">
        <f>VLOOKUP(orders__17[[#This Row],[Customer_ID]],customers__2[#All],3,0)</f>
        <v>West</v>
      </c>
      <c r="J1878" t="str">
        <f>VLOOKUP(orders__17[[#This Row],[Customer_ID]],customers__2[#All],4,0)</f>
        <v>Home Office</v>
      </c>
      <c r="K1878" t="str">
        <f>VLOOKUP(orders__17[[#This Row],[Product_ID]],products[#All],3,0)</f>
        <v>Office Supplies</v>
      </c>
      <c r="L1878" s="1" t="str">
        <f>VLOOKUP(orders__17[[#This Row],[Product_ID]],products[#All],4,0)</f>
        <v>Storage</v>
      </c>
      <c r="M1878" s="1" t="str">
        <f>VLOOKUP(orders__17[[#This Row],[Order_ID]],returns[#All],2,0)</f>
        <v>No</v>
      </c>
    </row>
    <row r="1879" spans="1:13" x14ac:dyDescent="0.3">
      <c r="A1879" s="1" t="s">
        <v>2185</v>
      </c>
      <c r="B1879" s="2">
        <v>45416</v>
      </c>
      <c r="C1879" s="1" t="s">
        <v>198</v>
      </c>
      <c r="D1879" s="1" t="s">
        <v>275</v>
      </c>
      <c r="E1879">
        <v>4</v>
      </c>
      <c r="F1879" s="4">
        <v>417.98</v>
      </c>
      <c r="G1879" s="3">
        <v>0.2</v>
      </c>
      <c r="H1879" s="4">
        <v>40.880000000000003</v>
      </c>
      <c r="I1879" t="str">
        <f>VLOOKUP(orders__17[[#This Row],[Customer_ID]],customers__2[#All],3,0)</f>
        <v>North</v>
      </c>
      <c r="J1879" t="str">
        <f>VLOOKUP(orders__17[[#This Row],[Customer_ID]],customers__2[#All],4,0)</f>
        <v>Consumer</v>
      </c>
      <c r="K1879" t="str">
        <f>VLOOKUP(orders__17[[#This Row],[Product_ID]],products[#All],3,0)</f>
        <v>Furniture</v>
      </c>
      <c r="L1879" s="1" t="str">
        <f>VLOOKUP(orders__17[[#This Row],[Product_ID]],products[#All],4,0)</f>
        <v>Table</v>
      </c>
      <c r="M1879" s="1" t="str">
        <f>VLOOKUP(orders__17[[#This Row],[Order_ID]],returns[#All],2,0)</f>
        <v>Yes</v>
      </c>
    </row>
    <row r="1880" spans="1:13" x14ac:dyDescent="0.3">
      <c r="A1880" s="1" t="s">
        <v>2186</v>
      </c>
      <c r="B1880" s="2">
        <v>44871</v>
      </c>
      <c r="C1880" s="1" t="s">
        <v>77</v>
      </c>
      <c r="D1880" s="1" t="s">
        <v>234</v>
      </c>
      <c r="E1880">
        <v>2</v>
      </c>
      <c r="F1880" s="4">
        <v>1050.68</v>
      </c>
      <c r="G1880" s="3">
        <v>0.1</v>
      </c>
      <c r="H1880" s="4">
        <v>214.19</v>
      </c>
      <c r="I1880" t="str">
        <f>VLOOKUP(orders__17[[#This Row],[Customer_ID]],customers__2[#All],3,0)</f>
        <v>West</v>
      </c>
      <c r="J1880" t="str">
        <f>VLOOKUP(orders__17[[#This Row],[Customer_ID]],customers__2[#All],4,0)</f>
        <v>Consumer</v>
      </c>
      <c r="K1880" t="str">
        <f>VLOOKUP(orders__17[[#This Row],[Product_ID]],products[#All],3,0)</f>
        <v>Furniture</v>
      </c>
      <c r="L1880" s="1" t="str">
        <f>VLOOKUP(orders__17[[#This Row],[Product_ID]],products[#All],4,0)</f>
        <v>Shelf</v>
      </c>
      <c r="M1880" s="1" t="str">
        <f>VLOOKUP(orders__17[[#This Row],[Order_ID]],returns[#All],2,0)</f>
        <v>No</v>
      </c>
    </row>
    <row r="1881" spans="1:13" x14ac:dyDescent="0.3">
      <c r="A1881" s="1" t="s">
        <v>2187</v>
      </c>
      <c r="B1881" s="2">
        <v>45333</v>
      </c>
      <c r="C1881" s="1" t="s">
        <v>380</v>
      </c>
      <c r="D1881" s="1" t="s">
        <v>43</v>
      </c>
      <c r="E1881">
        <v>5</v>
      </c>
      <c r="F1881" s="4">
        <v>1412.68</v>
      </c>
      <c r="G1881" s="3">
        <v>0</v>
      </c>
      <c r="H1881" s="4">
        <v>213.92</v>
      </c>
      <c r="I1881" t="str">
        <f>VLOOKUP(orders__17[[#This Row],[Customer_ID]],customers__2[#All],3,0)</f>
        <v>South</v>
      </c>
      <c r="J1881" t="str">
        <f>VLOOKUP(orders__17[[#This Row],[Customer_ID]],customers__2[#All],4,0)</f>
        <v>Home Office</v>
      </c>
      <c r="K1881" t="str">
        <f>VLOOKUP(orders__17[[#This Row],[Product_ID]],products[#All],3,0)</f>
        <v>Technology</v>
      </c>
      <c r="L1881" s="1" t="str">
        <f>VLOOKUP(orders__17[[#This Row],[Product_ID]],products[#All],4,0)</f>
        <v>Tablet</v>
      </c>
      <c r="M1881" s="1" t="str">
        <f>VLOOKUP(orders__17[[#This Row],[Order_ID]],returns[#All],2,0)</f>
        <v>No</v>
      </c>
    </row>
    <row r="1882" spans="1:13" x14ac:dyDescent="0.3">
      <c r="A1882" s="1" t="s">
        <v>2188</v>
      </c>
      <c r="B1882" s="2">
        <v>45033</v>
      </c>
      <c r="C1882" s="1" t="s">
        <v>475</v>
      </c>
      <c r="D1882" s="1" t="s">
        <v>61</v>
      </c>
      <c r="E1882">
        <v>3</v>
      </c>
      <c r="F1882" s="4">
        <v>1424.56</v>
      </c>
      <c r="G1882" s="3">
        <v>0.3</v>
      </c>
      <c r="H1882" s="4">
        <v>85.86</v>
      </c>
      <c r="I1882" t="str">
        <f>VLOOKUP(orders__17[[#This Row],[Customer_ID]],customers__2[#All],3,0)</f>
        <v>South</v>
      </c>
      <c r="J1882" t="str">
        <f>VLOOKUP(orders__17[[#This Row],[Customer_ID]],customers__2[#All],4,0)</f>
        <v>Corporate</v>
      </c>
      <c r="K1882" t="str">
        <f>VLOOKUP(orders__17[[#This Row],[Product_ID]],products[#All],3,0)</f>
        <v>Office Supplies</v>
      </c>
      <c r="L1882" s="1" t="str">
        <f>VLOOKUP(orders__17[[#This Row],[Product_ID]],products[#All],4,0)</f>
        <v>Binder</v>
      </c>
      <c r="M1882" s="1" t="str">
        <f>VLOOKUP(orders__17[[#This Row],[Order_ID]],returns[#All],2,0)</f>
        <v>No</v>
      </c>
    </row>
    <row r="1883" spans="1:13" x14ac:dyDescent="0.3">
      <c r="A1883" s="1" t="s">
        <v>2189</v>
      </c>
      <c r="B1883" s="2">
        <v>45184</v>
      </c>
      <c r="C1883" s="1" t="s">
        <v>208</v>
      </c>
      <c r="D1883" s="1" t="s">
        <v>458</v>
      </c>
      <c r="E1883">
        <v>4</v>
      </c>
      <c r="F1883" s="4">
        <v>1332.41</v>
      </c>
      <c r="G1883" s="3">
        <v>0</v>
      </c>
      <c r="H1883" s="4">
        <v>182.3</v>
      </c>
      <c r="I1883" t="str">
        <f>VLOOKUP(orders__17[[#This Row],[Customer_ID]],customers__2[#All],3,0)</f>
        <v>North</v>
      </c>
      <c r="J1883" t="str">
        <f>VLOOKUP(orders__17[[#This Row],[Customer_ID]],customers__2[#All],4,0)</f>
        <v>Home Office</v>
      </c>
      <c r="K1883" t="str">
        <f>VLOOKUP(orders__17[[#This Row],[Product_ID]],products[#All],3,0)</f>
        <v>Technology</v>
      </c>
      <c r="L1883" s="1" t="str">
        <f>VLOOKUP(orders__17[[#This Row],[Product_ID]],products[#All],4,0)</f>
        <v>Phone</v>
      </c>
      <c r="M1883" s="1" t="str">
        <f>VLOOKUP(orders__17[[#This Row],[Order_ID]],returns[#All],2,0)</f>
        <v>No</v>
      </c>
    </row>
    <row r="1884" spans="1:13" x14ac:dyDescent="0.3">
      <c r="A1884" s="1" t="s">
        <v>2190</v>
      </c>
      <c r="B1884" s="2">
        <v>45001</v>
      </c>
      <c r="C1884" s="1" t="s">
        <v>287</v>
      </c>
      <c r="D1884" s="1" t="s">
        <v>19</v>
      </c>
      <c r="E1884">
        <v>5</v>
      </c>
      <c r="F1884" s="4">
        <v>623.04999999999995</v>
      </c>
      <c r="G1884" s="3">
        <v>0</v>
      </c>
      <c r="H1884" s="4">
        <v>72.47</v>
      </c>
      <c r="I1884" t="str">
        <f>VLOOKUP(orders__17[[#This Row],[Customer_ID]],customers__2[#All],3,0)</f>
        <v>South</v>
      </c>
      <c r="J1884" t="str">
        <f>VLOOKUP(orders__17[[#This Row],[Customer_ID]],customers__2[#All],4,0)</f>
        <v>Consumer</v>
      </c>
      <c r="K1884" t="str">
        <f>VLOOKUP(orders__17[[#This Row],[Product_ID]],products[#All],3,0)</f>
        <v>Office Supplies</v>
      </c>
      <c r="L1884" s="1" t="str">
        <f>VLOOKUP(orders__17[[#This Row],[Product_ID]],products[#All],4,0)</f>
        <v>Pen</v>
      </c>
      <c r="M1884" s="1" t="str">
        <f>VLOOKUP(orders__17[[#This Row],[Order_ID]],returns[#All],2,0)</f>
        <v>No</v>
      </c>
    </row>
    <row r="1885" spans="1:13" x14ac:dyDescent="0.3">
      <c r="A1885" s="1" t="s">
        <v>2191</v>
      </c>
      <c r="B1885" s="2">
        <v>44664</v>
      </c>
      <c r="C1885" s="1" t="s">
        <v>533</v>
      </c>
      <c r="D1885" s="1" t="s">
        <v>19</v>
      </c>
      <c r="E1885">
        <v>1</v>
      </c>
      <c r="F1885" s="4">
        <v>396.79</v>
      </c>
      <c r="G1885" s="3">
        <v>0</v>
      </c>
      <c r="H1885" s="4">
        <v>87.9</v>
      </c>
      <c r="I1885" t="str">
        <f>VLOOKUP(orders__17[[#This Row],[Customer_ID]],customers__2[#All],3,0)</f>
        <v>West</v>
      </c>
      <c r="J1885" t="str">
        <f>VLOOKUP(orders__17[[#This Row],[Customer_ID]],customers__2[#All],4,0)</f>
        <v>Consumer</v>
      </c>
      <c r="K1885" t="str">
        <f>VLOOKUP(orders__17[[#This Row],[Product_ID]],products[#All],3,0)</f>
        <v>Office Supplies</v>
      </c>
      <c r="L1885" s="1" t="str">
        <f>VLOOKUP(orders__17[[#This Row],[Product_ID]],products[#All],4,0)</f>
        <v>Pen</v>
      </c>
      <c r="M1885" s="1" t="str">
        <f>VLOOKUP(orders__17[[#This Row],[Order_ID]],returns[#All],2,0)</f>
        <v>No</v>
      </c>
    </row>
    <row r="1886" spans="1:13" x14ac:dyDescent="0.3">
      <c r="A1886" s="1" t="s">
        <v>2192</v>
      </c>
      <c r="B1886" s="2">
        <v>44570</v>
      </c>
      <c r="C1886" s="1" t="s">
        <v>520</v>
      </c>
      <c r="D1886" s="1" t="s">
        <v>54</v>
      </c>
      <c r="E1886">
        <v>1</v>
      </c>
      <c r="F1886" s="4">
        <v>1308.29</v>
      </c>
      <c r="G1886" s="3">
        <v>0.3</v>
      </c>
      <c r="H1886" s="4">
        <v>375.74</v>
      </c>
      <c r="I1886" t="str">
        <f>VLOOKUP(orders__17[[#This Row],[Customer_ID]],customers__2[#All],3,0)</f>
        <v>West</v>
      </c>
      <c r="J1886" t="str">
        <f>VLOOKUP(orders__17[[#This Row],[Customer_ID]],customers__2[#All],4,0)</f>
        <v>Consumer</v>
      </c>
      <c r="K1886" t="str">
        <f>VLOOKUP(orders__17[[#This Row],[Product_ID]],products[#All],3,0)</f>
        <v>Office Supplies</v>
      </c>
      <c r="L1886" s="1" t="str">
        <f>VLOOKUP(orders__17[[#This Row],[Product_ID]],products[#All],4,0)</f>
        <v>Binder</v>
      </c>
      <c r="M1886" s="1" t="str">
        <f>VLOOKUP(orders__17[[#This Row],[Order_ID]],returns[#All],2,0)</f>
        <v>No</v>
      </c>
    </row>
    <row r="1887" spans="1:13" x14ac:dyDescent="0.3">
      <c r="A1887" s="1" t="s">
        <v>2193</v>
      </c>
      <c r="B1887" s="2">
        <v>44760</v>
      </c>
      <c r="C1887" s="1" t="s">
        <v>205</v>
      </c>
      <c r="D1887" s="1" t="s">
        <v>170</v>
      </c>
      <c r="E1887">
        <v>1</v>
      </c>
      <c r="F1887" s="4">
        <v>1238.67</v>
      </c>
      <c r="G1887" s="3">
        <v>0.1</v>
      </c>
      <c r="H1887" s="4">
        <v>144.94</v>
      </c>
      <c r="I1887" t="str">
        <f>VLOOKUP(orders__17[[#This Row],[Customer_ID]],customers__2[#All],3,0)</f>
        <v>North</v>
      </c>
      <c r="J1887" t="str">
        <f>VLOOKUP(orders__17[[#This Row],[Customer_ID]],customers__2[#All],4,0)</f>
        <v>Consumer</v>
      </c>
      <c r="K1887" t="str">
        <f>VLOOKUP(orders__17[[#This Row],[Product_ID]],products[#All],3,0)</f>
        <v>Furniture</v>
      </c>
      <c r="L1887" s="1" t="str">
        <f>VLOOKUP(orders__17[[#This Row],[Product_ID]],products[#All],4,0)</f>
        <v>Shelf</v>
      </c>
      <c r="M1887" s="1" t="str">
        <f>VLOOKUP(orders__17[[#This Row],[Order_ID]],returns[#All],2,0)</f>
        <v>No</v>
      </c>
    </row>
    <row r="1888" spans="1:13" x14ac:dyDescent="0.3">
      <c r="A1888" s="1" t="s">
        <v>2194</v>
      </c>
      <c r="B1888" s="2">
        <v>45285</v>
      </c>
      <c r="C1888" s="1" t="s">
        <v>739</v>
      </c>
      <c r="D1888" s="1" t="s">
        <v>132</v>
      </c>
      <c r="E1888">
        <v>1</v>
      </c>
      <c r="F1888" s="4">
        <v>440.78</v>
      </c>
      <c r="G1888" s="3">
        <v>0.2</v>
      </c>
      <c r="H1888" s="4">
        <v>111.46</v>
      </c>
      <c r="I1888" t="str">
        <f>VLOOKUP(orders__17[[#This Row],[Customer_ID]],customers__2[#All],3,0)</f>
        <v>North</v>
      </c>
      <c r="J1888" t="str">
        <f>VLOOKUP(orders__17[[#This Row],[Customer_ID]],customers__2[#All],4,0)</f>
        <v>Consumer</v>
      </c>
      <c r="K1888" t="str">
        <f>VLOOKUP(orders__17[[#This Row],[Product_ID]],products[#All],3,0)</f>
        <v>Furniture</v>
      </c>
      <c r="L1888" s="1" t="str">
        <f>VLOOKUP(orders__17[[#This Row],[Product_ID]],products[#All],4,0)</f>
        <v>Shelf</v>
      </c>
      <c r="M1888" s="1" t="str">
        <f>VLOOKUP(orders__17[[#This Row],[Order_ID]],returns[#All],2,0)</f>
        <v>No</v>
      </c>
    </row>
    <row r="1889" spans="1:13" x14ac:dyDescent="0.3">
      <c r="A1889" s="1" t="s">
        <v>2195</v>
      </c>
      <c r="B1889" s="2">
        <v>44685</v>
      </c>
      <c r="C1889" s="1" t="s">
        <v>520</v>
      </c>
      <c r="D1889" s="1" t="s">
        <v>25</v>
      </c>
      <c r="E1889">
        <v>3</v>
      </c>
      <c r="F1889" s="4">
        <v>1439.76</v>
      </c>
      <c r="G1889" s="3">
        <v>0.1</v>
      </c>
      <c r="H1889" s="4">
        <v>91.91</v>
      </c>
      <c r="I1889" t="str">
        <f>VLOOKUP(orders__17[[#This Row],[Customer_ID]],customers__2[#All],3,0)</f>
        <v>West</v>
      </c>
      <c r="J1889" t="str">
        <f>VLOOKUP(orders__17[[#This Row],[Customer_ID]],customers__2[#All],4,0)</f>
        <v>Consumer</v>
      </c>
      <c r="K1889" t="str">
        <f>VLOOKUP(orders__17[[#This Row],[Product_ID]],products[#All],3,0)</f>
        <v>Office Supplies</v>
      </c>
      <c r="L1889" s="1" t="str">
        <f>VLOOKUP(orders__17[[#This Row],[Product_ID]],products[#All],4,0)</f>
        <v>Paper</v>
      </c>
      <c r="M1889" s="1" t="str">
        <f>VLOOKUP(orders__17[[#This Row],[Order_ID]],returns[#All],2,0)</f>
        <v>No</v>
      </c>
    </row>
    <row r="1890" spans="1:13" x14ac:dyDescent="0.3">
      <c r="A1890" s="1" t="s">
        <v>2196</v>
      </c>
      <c r="B1890" s="2">
        <v>44687</v>
      </c>
      <c r="C1890" s="1" t="s">
        <v>325</v>
      </c>
      <c r="D1890" s="1" t="s">
        <v>13</v>
      </c>
      <c r="E1890">
        <v>4</v>
      </c>
      <c r="F1890" s="4">
        <v>964.83</v>
      </c>
      <c r="G1890" s="3">
        <v>0</v>
      </c>
      <c r="H1890" s="4">
        <v>178.04</v>
      </c>
      <c r="I1890" t="str">
        <f>VLOOKUP(orders__17[[#This Row],[Customer_ID]],customers__2[#All],3,0)</f>
        <v>North</v>
      </c>
      <c r="J1890" t="str">
        <f>VLOOKUP(orders__17[[#This Row],[Customer_ID]],customers__2[#All],4,0)</f>
        <v>Corporate</v>
      </c>
      <c r="K1890" t="str">
        <f>VLOOKUP(orders__17[[#This Row],[Product_ID]],products[#All],3,0)</f>
        <v>Furniture</v>
      </c>
      <c r="L1890" s="1" t="str">
        <f>VLOOKUP(orders__17[[#This Row],[Product_ID]],products[#All],4,0)</f>
        <v>Desk</v>
      </c>
      <c r="M1890" s="1" t="str">
        <f>VLOOKUP(orders__17[[#This Row],[Order_ID]],returns[#All],2,0)</f>
        <v>No</v>
      </c>
    </row>
    <row r="1891" spans="1:13" x14ac:dyDescent="0.3">
      <c r="A1891" s="1" t="s">
        <v>2197</v>
      </c>
      <c r="B1891" s="2">
        <v>44996</v>
      </c>
      <c r="C1891" s="1" t="s">
        <v>350</v>
      </c>
      <c r="D1891" s="1" t="s">
        <v>278</v>
      </c>
      <c r="E1891">
        <v>2</v>
      </c>
      <c r="F1891" s="4">
        <v>1368.75</v>
      </c>
      <c r="G1891" s="3">
        <v>0.3</v>
      </c>
      <c r="H1891" s="4">
        <v>92.58</v>
      </c>
      <c r="I1891" t="str">
        <f>VLOOKUP(orders__17[[#This Row],[Customer_ID]],customers__2[#All],3,0)</f>
        <v>West</v>
      </c>
      <c r="J1891" t="str">
        <f>VLOOKUP(orders__17[[#This Row],[Customer_ID]],customers__2[#All],4,0)</f>
        <v>Corporate</v>
      </c>
      <c r="K1891" t="str">
        <f>VLOOKUP(orders__17[[#This Row],[Product_ID]],products[#All],3,0)</f>
        <v>Office Supplies</v>
      </c>
      <c r="L1891" s="1" t="str">
        <f>VLOOKUP(orders__17[[#This Row],[Product_ID]],products[#All],4,0)</f>
        <v>Pen</v>
      </c>
      <c r="M1891" s="1" t="str">
        <f>VLOOKUP(orders__17[[#This Row],[Order_ID]],returns[#All],2,0)</f>
        <v>No</v>
      </c>
    </row>
    <row r="1892" spans="1:13" x14ac:dyDescent="0.3">
      <c r="A1892" s="1" t="s">
        <v>2198</v>
      </c>
      <c r="B1892" s="2">
        <v>45350</v>
      </c>
      <c r="C1892" s="1" t="s">
        <v>325</v>
      </c>
      <c r="D1892" s="1" t="s">
        <v>256</v>
      </c>
      <c r="E1892">
        <v>3</v>
      </c>
      <c r="F1892" s="4">
        <v>1691</v>
      </c>
      <c r="G1892" s="3">
        <v>0.1</v>
      </c>
      <c r="H1892" s="4">
        <v>479.41</v>
      </c>
      <c r="I1892" t="str">
        <f>VLOOKUP(orders__17[[#This Row],[Customer_ID]],customers__2[#All],3,0)</f>
        <v>North</v>
      </c>
      <c r="J1892" t="str">
        <f>VLOOKUP(orders__17[[#This Row],[Customer_ID]],customers__2[#All],4,0)</f>
        <v>Corporate</v>
      </c>
      <c r="K1892" t="str">
        <f>VLOOKUP(orders__17[[#This Row],[Product_ID]],products[#All],3,0)</f>
        <v>Office Supplies</v>
      </c>
      <c r="L1892" s="1" t="str">
        <f>VLOOKUP(orders__17[[#This Row],[Product_ID]],products[#All],4,0)</f>
        <v>Pen</v>
      </c>
      <c r="M1892" s="1" t="str">
        <f>VLOOKUP(orders__17[[#This Row],[Order_ID]],returns[#All],2,0)</f>
        <v>No</v>
      </c>
    </row>
    <row r="1893" spans="1:13" x14ac:dyDescent="0.3">
      <c r="A1893" s="1" t="s">
        <v>2199</v>
      </c>
      <c r="B1893" s="2">
        <v>45129</v>
      </c>
      <c r="C1893" s="1" t="s">
        <v>422</v>
      </c>
      <c r="D1893" s="1" t="s">
        <v>397</v>
      </c>
      <c r="E1893">
        <v>3</v>
      </c>
      <c r="F1893" s="4">
        <v>422.48</v>
      </c>
      <c r="G1893" s="3">
        <v>0</v>
      </c>
      <c r="H1893" s="4">
        <v>102.07</v>
      </c>
      <c r="I1893" t="str">
        <f>VLOOKUP(orders__17[[#This Row],[Customer_ID]],customers__2[#All],3,0)</f>
        <v>East</v>
      </c>
      <c r="J1893" t="str">
        <f>VLOOKUP(orders__17[[#This Row],[Customer_ID]],customers__2[#All],4,0)</f>
        <v>Home Office</v>
      </c>
      <c r="K1893" t="str">
        <f>VLOOKUP(orders__17[[#This Row],[Product_ID]],products[#All],3,0)</f>
        <v>Office Supplies</v>
      </c>
      <c r="L1893" s="1" t="str">
        <f>VLOOKUP(orders__17[[#This Row],[Product_ID]],products[#All],4,0)</f>
        <v>Pen</v>
      </c>
      <c r="M1893" s="1" t="str">
        <f>VLOOKUP(orders__17[[#This Row],[Order_ID]],returns[#All],2,0)</f>
        <v>Yes</v>
      </c>
    </row>
    <row r="1894" spans="1:13" x14ac:dyDescent="0.3">
      <c r="A1894" s="1" t="s">
        <v>2200</v>
      </c>
      <c r="B1894" s="2">
        <v>44787</v>
      </c>
      <c r="C1894" s="1" t="s">
        <v>598</v>
      </c>
      <c r="D1894" s="1" t="s">
        <v>122</v>
      </c>
      <c r="E1894">
        <v>2</v>
      </c>
      <c r="F1894" s="4">
        <v>136.38</v>
      </c>
      <c r="G1894" s="3">
        <v>0.2</v>
      </c>
      <c r="H1894" s="4">
        <v>29.25</v>
      </c>
      <c r="I1894" t="str">
        <f>VLOOKUP(orders__17[[#This Row],[Customer_ID]],customers__2[#All],3,0)</f>
        <v>South</v>
      </c>
      <c r="J1894" t="str">
        <f>VLOOKUP(orders__17[[#This Row],[Customer_ID]],customers__2[#All],4,0)</f>
        <v>Home Office</v>
      </c>
      <c r="K1894" t="str">
        <f>VLOOKUP(orders__17[[#This Row],[Product_ID]],products[#All],3,0)</f>
        <v>Office Supplies</v>
      </c>
      <c r="L1894" s="1" t="str">
        <f>VLOOKUP(orders__17[[#This Row],[Product_ID]],products[#All],4,0)</f>
        <v>Storage</v>
      </c>
      <c r="M1894" s="1" t="str">
        <f>VLOOKUP(orders__17[[#This Row],[Order_ID]],returns[#All],2,0)</f>
        <v>No</v>
      </c>
    </row>
    <row r="1895" spans="1:13" x14ac:dyDescent="0.3">
      <c r="A1895" s="1" t="s">
        <v>2201</v>
      </c>
      <c r="B1895" s="2">
        <v>45071</v>
      </c>
      <c r="C1895" s="1" t="s">
        <v>292</v>
      </c>
      <c r="D1895" s="1" t="s">
        <v>28</v>
      </c>
      <c r="E1895">
        <v>2</v>
      </c>
      <c r="F1895" s="4">
        <v>1580.29</v>
      </c>
      <c r="G1895" s="3">
        <v>0.2</v>
      </c>
      <c r="H1895" s="4">
        <v>404.51</v>
      </c>
      <c r="I1895" t="str">
        <f>VLOOKUP(orders__17[[#This Row],[Customer_ID]],customers__2[#All],3,0)</f>
        <v>North</v>
      </c>
      <c r="J1895" t="str">
        <f>VLOOKUP(orders__17[[#This Row],[Customer_ID]],customers__2[#All],4,0)</f>
        <v>Consumer</v>
      </c>
      <c r="K1895" t="str">
        <f>VLOOKUP(orders__17[[#This Row],[Product_ID]],products[#All],3,0)</f>
        <v>Office Supplies</v>
      </c>
      <c r="L1895" s="1" t="str">
        <f>VLOOKUP(orders__17[[#This Row],[Product_ID]],products[#All],4,0)</f>
        <v>Storage</v>
      </c>
      <c r="M1895" s="1" t="str">
        <f>VLOOKUP(orders__17[[#This Row],[Order_ID]],returns[#All],2,0)</f>
        <v>No</v>
      </c>
    </row>
    <row r="1896" spans="1:13" x14ac:dyDescent="0.3">
      <c r="A1896" s="1" t="s">
        <v>2202</v>
      </c>
      <c r="B1896" s="2">
        <v>45130</v>
      </c>
      <c r="C1896" s="1" t="s">
        <v>321</v>
      </c>
      <c r="D1896" s="1" t="s">
        <v>455</v>
      </c>
      <c r="E1896">
        <v>1</v>
      </c>
      <c r="F1896" s="4">
        <v>1258.43</v>
      </c>
      <c r="G1896" s="3">
        <v>0.2</v>
      </c>
      <c r="H1896" s="4">
        <v>266.64</v>
      </c>
      <c r="I1896" t="str">
        <f>VLOOKUP(orders__17[[#This Row],[Customer_ID]],customers__2[#All],3,0)</f>
        <v>South</v>
      </c>
      <c r="J1896" t="str">
        <f>VLOOKUP(orders__17[[#This Row],[Customer_ID]],customers__2[#All],4,0)</f>
        <v>Corporate</v>
      </c>
      <c r="K1896" t="str">
        <f>VLOOKUP(orders__17[[#This Row],[Product_ID]],products[#All],3,0)</f>
        <v>Furniture</v>
      </c>
      <c r="L1896" s="1" t="str">
        <f>VLOOKUP(orders__17[[#This Row],[Product_ID]],products[#All],4,0)</f>
        <v>Shelf</v>
      </c>
      <c r="M1896" s="1" t="str">
        <f>VLOOKUP(orders__17[[#This Row],[Order_ID]],returns[#All],2,0)</f>
        <v>No</v>
      </c>
    </row>
    <row r="1897" spans="1:13" x14ac:dyDescent="0.3">
      <c r="A1897" s="1" t="s">
        <v>2203</v>
      </c>
      <c r="B1897" s="2">
        <v>44941</v>
      </c>
      <c r="C1897" s="1" t="s">
        <v>332</v>
      </c>
      <c r="D1897" s="1" t="s">
        <v>451</v>
      </c>
      <c r="E1897">
        <v>3</v>
      </c>
      <c r="F1897" s="4">
        <v>1429.32</v>
      </c>
      <c r="G1897" s="3">
        <v>0</v>
      </c>
      <c r="H1897" s="4">
        <v>417.7</v>
      </c>
      <c r="I1897" t="str">
        <f>VLOOKUP(orders__17[[#This Row],[Customer_ID]],customers__2[#All],3,0)</f>
        <v>North</v>
      </c>
      <c r="J1897" t="str">
        <f>VLOOKUP(orders__17[[#This Row],[Customer_ID]],customers__2[#All],4,0)</f>
        <v>Home Office</v>
      </c>
      <c r="K1897" t="str">
        <f>VLOOKUP(orders__17[[#This Row],[Product_ID]],products[#All],3,0)</f>
        <v>Technology</v>
      </c>
      <c r="L1897" s="1" t="str">
        <f>VLOOKUP(orders__17[[#This Row],[Product_ID]],products[#All],4,0)</f>
        <v>Laptop</v>
      </c>
      <c r="M1897" s="1" t="str">
        <f>VLOOKUP(orders__17[[#This Row],[Order_ID]],returns[#All],2,0)</f>
        <v>Yes</v>
      </c>
    </row>
    <row r="1898" spans="1:13" x14ac:dyDescent="0.3">
      <c r="A1898" s="1" t="s">
        <v>2204</v>
      </c>
      <c r="B1898" s="2">
        <v>45094</v>
      </c>
      <c r="C1898" s="1" t="s">
        <v>371</v>
      </c>
      <c r="D1898" s="1" t="s">
        <v>139</v>
      </c>
      <c r="E1898">
        <v>5</v>
      </c>
      <c r="F1898" s="4">
        <v>1692.49</v>
      </c>
      <c r="G1898" s="3">
        <v>0.3</v>
      </c>
      <c r="H1898" s="4">
        <v>386.72</v>
      </c>
      <c r="I1898" t="str">
        <f>VLOOKUP(orders__17[[#This Row],[Customer_ID]],customers__2[#All],3,0)</f>
        <v>East</v>
      </c>
      <c r="J1898" t="str">
        <f>VLOOKUP(orders__17[[#This Row],[Customer_ID]],customers__2[#All],4,0)</f>
        <v>Corporate</v>
      </c>
      <c r="K1898" t="str">
        <f>VLOOKUP(orders__17[[#This Row],[Product_ID]],products[#All],3,0)</f>
        <v>Furniture</v>
      </c>
      <c r="L1898" s="1" t="str">
        <f>VLOOKUP(orders__17[[#This Row],[Product_ID]],products[#All],4,0)</f>
        <v>Table</v>
      </c>
      <c r="M1898" s="1" t="str">
        <f>VLOOKUP(orders__17[[#This Row],[Order_ID]],returns[#All],2,0)</f>
        <v>No</v>
      </c>
    </row>
    <row r="1899" spans="1:13" x14ac:dyDescent="0.3">
      <c r="A1899" s="1" t="s">
        <v>2205</v>
      </c>
      <c r="B1899" s="2">
        <v>44955</v>
      </c>
      <c r="C1899" s="1" t="s">
        <v>231</v>
      </c>
      <c r="D1899" s="1" t="s">
        <v>301</v>
      </c>
      <c r="E1899">
        <v>2</v>
      </c>
      <c r="F1899" s="4">
        <v>1625.34</v>
      </c>
      <c r="G1899" s="3">
        <v>0.1</v>
      </c>
      <c r="H1899" s="4">
        <v>456.99</v>
      </c>
      <c r="I1899" t="str">
        <f>VLOOKUP(orders__17[[#This Row],[Customer_ID]],customers__2[#All],3,0)</f>
        <v>South</v>
      </c>
      <c r="J1899" t="str">
        <f>VLOOKUP(orders__17[[#This Row],[Customer_ID]],customers__2[#All],4,0)</f>
        <v>Consumer</v>
      </c>
      <c r="K1899" t="str">
        <f>VLOOKUP(orders__17[[#This Row],[Product_ID]],products[#All],3,0)</f>
        <v>Furniture</v>
      </c>
      <c r="L1899" s="1" t="str">
        <f>VLOOKUP(orders__17[[#This Row],[Product_ID]],products[#All],4,0)</f>
        <v>Table</v>
      </c>
      <c r="M1899" s="1" t="str">
        <f>VLOOKUP(orders__17[[#This Row],[Order_ID]],returns[#All],2,0)</f>
        <v>No</v>
      </c>
    </row>
    <row r="1900" spans="1:13" x14ac:dyDescent="0.3">
      <c r="A1900" s="1" t="s">
        <v>2206</v>
      </c>
      <c r="B1900" s="2">
        <v>45249</v>
      </c>
      <c r="C1900" s="1" t="s">
        <v>691</v>
      </c>
      <c r="D1900" s="1" t="s">
        <v>48</v>
      </c>
      <c r="E1900">
        <v>2</v>
      </c>
      <c r="F1900" s="4">
        <v>1925.75</v>
      </c>
      <c r="G1900" s="3">
        <v>0.2</v>
      </c>
      <c r="H1900" s="4">
        <v>345.25</v>
      </c>
      <c r="I1900" t="str">
        <f>VLOOKUP(orders__17[[#This Row],[Customer_ID]],customers__2[#All],3,0)</f>
        <v>West</v>
      </c>
      <c r="J1900" t="str">
        <f>VLOOKUP(orders__17[[#This Row],[Customer_ID]],customers__2[#All],4,0)</f>
        <v>Corporate</v>
      </c>
      <c r="K1900" t="str">
        <f>VLOOKUP(orders__17[[#This Row],[Product_ID]],products[#All],3,0)</f>
        <v>Office Supplies</v>
      </c>
      <c r="L1900" s="1" t="str">
        <f>VLOOKUP(orders__17[[#This Row],[Product_ID]],products[#All],4,0)</f>
        <v>Pen</v>
      </c>
      <c r="M1900" s="1" t="str">
        <f>VLOOKUP(orders__17[[#This Row],[Order_ID]],returns[#All],2,0)</f>
        <v>Yes</v>
      </c>
    </row>
    <row r="1901" spans="1:13" x14ac:dyDescent="0.3">
      <c r="A1901" s="1" t="s">
        <v>2207</v>
      </c>
      <c r="B1901" s="2">
        <v>44959</v>
      </c>
      <c r="C1901" s="1" t="s">
        <v>637</v>
      </c>
      <c r="D1901" s="1" t="s">
        <v>242</v>
      </c>
      <c r="E1901">
        <v>4</v>
      </c>
      <c r="F1901" s="4">
        <v>1118.28</v>
      </c>
      <c r="G1901" s="3">
        <v>0</v>
      </c>
      <c r="H1901" s="4">
        <v>88.64</v>
      </c>
      <c r="I1901" t="str">
        <f>VLOOKUP(orders__17[[#This Row],[Customer_ID]],customers__2[#All],3,0)</f>
        <v>North</v>
      </c>
      <c r="J1901" t="str">
        <f>VLOOKUP(orders__17[[#This Row],[Customer_ID]],customers__2[#All],4,0)</f>
        <v>Corporate</v>
      </c>
      <c r="K1901" t="str">
        <f>VLOOKUP(orders__17[[#This Row],[Product_ID]],products[#All],3,0)</f>
        <v>Technology</v>
      </c>
      <c r="L1901" s="1" t="str">
        <f>VLOOKUP(orders__17[[#This Row],[Product_ID]],products[#All],4,0)</f>
        <v>Phone</v>
      </c>
      <c r="M1901" s="1" t="str">
        <f>VLOOKUP(orders__17[[#This Row],[Order_ID]],returns[#All],2,0)</f>
        <v>No</v>
      </c>
    </row>
    <row r="1902" spans="1:13" x14ac:dyDescent="0.3">
      <c r="A1902" s="1" t="s">
        <v>2208</v>
      </c>
      <c r="B1902" s="2">
        <v>44700</v>
      </c>
      <c r="C1902" s="1" t="s">
        <v>425</v>
      </c>
      <c r="D1902" s="1" t="s">
        <v>603</v>
      </c>
      <c r="E1902">
        <v>5</v>
      </c>
      <c r="F1902" s="4">
        <v>1028.1400000000001</v>
      </c>
      <c r="G1902" s="3">
        <v>0</v>
      </c>
      <c r="H1902" s="4">
        <v>187.17</v>
      </c>
      <c r="I1902" t="str">
        <f>VLOOKUP(orders__17[[#This Row],[Customer_ID]],customers__2[#All],3,0)</f>
        <v>East</v>
      </c>
      <c r="J1902" t="str">
        <f>VLOOKUP(orders__17[[#This Row],[Customer_ID]],customers__2[#All],4,0)</f>
        <v>Home Office</v>
      </c>
      <c r="K1902" t="str">
        <f>VLOOKUP(orders__17[[#This Row],[Product_ID]],products[#All],3,0)</f>
        <v>Technology</v>
      </c>
      <c r="L1902" s="1" t="str">
        <f>VLOOKUP(orders__17[[#This Row],[Product_ID]],products[#All],4,0)</f>
        <v>Accessories</v>
      </c>
      <c r="M1902" s="1" t="str">
        <f>VLOOKUP(orders__17[[#This Row],[Order_ID]],returns[#All],2,0)</f>
        <v>No</v>
      </c>
    </row>
    <row r="1903" spans="1:13" x14ac:dyDescent="0.3">
      <c r="A1903" s="1" t="s">
        <v>2209</v>
      </c>
      <c r="B1903" s="2">
        <v>45279</v>
      </c>
      <c r="C1903" s="1" t="s">
        <v>231</v>
      </c>
      <c r="D1903" s="1" t="s">
        <v>341</v>
      </c>
      <c r="E1903">
        <v>5</v>
      </c>
      <c r="F1903" s="4">
        <v>863.59</v>
      </c>
      <c r="G1903" s="3">
        <v>0.1</v>
      </c>
      <c r="H1903" s="4">
        <v>70.569999999999993</v>
      </c>
      <c r="I1903" t="str">
        <f>VLOOKUP(orders__17[[#This Row],[Customer_ID]],customers__2[#All],3,0)</f>
        <v>South</v>
      </c>
      <c r="J1903" t="str">
        <f>VLOOKUP(orders__17[[#This Row],[Customer_ID]],customers__2[#All],4,0)</f>
        <v>Consumer</v>
      </c>
      <c r="K1903" t="str">
        <f>VLOOKUP(orders__17[[#This Row],[Product_ID]],products[#All],3,0)</f>
        <v>Technology</v>
      </c>
      <c r="L1903" s="1" t="str">
        <f>VLOOKUP(orders__17[[#This Row],[Product_ID]],products[#All],4,0)</f>
        <v>Phone</v>
      </c>
      <c r="M1903" s="1" t="str">
        <f>VLOOKUP(orders__17[[#This Row],[Order_ID]],returns[#All],2,0)</f>
        <v>No</v>
      </c>
    </row>
    <row r="1904" spans="1:13" x14ac:dyDescent="0.3">
      <c r="A1904" s="1" t="s">
        <v>2210</v>
      </c>
      <c r="B1904" s="2">
        <v>45173</v>
      </c>
      <c r="C1904" s="1" t="s">
        <v>491</v>
      </c>
      <c r="D1904" s="1" t="s">
        <v>40</v>
      </c>
      <c r="E1904">
        <v>2</v>
      </c>
      <c r="F1904" s="4">
        <v>392.01</v>
      </c>
      <c r="G1904" s="3">
        <v>0.2</v>
      </c>
      <c r="H1904" s="4">
        <v>77.67</v>
      </c>
      <c r="I1904" t="str">
        <f>VLOOKUP(orders__17[[#This Row],[Customer_ID]],customers__2[#All],3,0)</f>
        <v>West</v>
      </c>
      <c r="J1904" t="str">
        <f>VLOOKUP(orders__17[[#This Row],[Customer_ID]],customers__2[#All],4,0)</f>
        <v>Corporate</v>
      </c>
      <c r="K1904" t="str">
        <f>VLOOKUP(orders__17[[#This Row],[Product_ID]],products[#All],3,0)</f>
        <v>Office Supplies</v>
      </c>
      <c r="L1904" s="1" t="str">
        <f>VLOOKUP(orders__17[[#This Row],[Product_ID]],products[#All],4,0)</f>
        <v>Storage</v>
      </c>
      <c r="M1904" s="1" t="str">
        <f>VLOOKUP(orders__17[[#This Row],[Order_ID]],returns[#All],2,0)</f>
        <v>Yes</v>
      </c>
    </row>
    <row r="1905" spans="1:13" x14ac:dyDescent="0.3">
      <c r="A1905" s="1" t="s">
        <v>2211</v>
      </c>
      <c r="B1905" s="2">
        <v>45024</v>
      </c>
      <c r="C1905" s="1" t="s">
        <v>464</v>
      </c>
      <c r="D1905" s="1" t="s">
        <v>89</v>
      </c>
      <c r="E1905">
        <v>1</v>
      </c>
      <c r="F1905" s="4">
        <v>1187.95</v>
      </c>
      <c r="G1905" s="3">
        <v>0</v>
      </c>
      <c r="H1905" s="4">
        <v>202.69</v>
      </c>
      <c r="I1905" t="str">
        <f>VLOOKUP(orders__17[[#This Row],[Customer_ID]],customers__2[#All],3,0)</f>
        <v>West</v>
      </c>
      <c r="J1905" t="str">
        <f>VLOOKUP(orders__17[[#This Row],[Customer_ID]],customers__2[#All],4,0)</f>
        <v>Corporate</v>
      </c>
      <c r="K1905" t="str">
        <f>VLOOKUP(orders__17[[#This Row],[Product_ID]],products[#All],3,0)</f>
        <v>Technology</v>
      </c>
      <c r="L1905" s="1" t="str">
        <f>VLOOKUP(orders__17[[#This Row],[Product_ID]],products[#All],4,0)</f>
        <v>Phone</v>
      </c>
      <c r="M1905" s="1" t="str">
        <f>VLOOKUP(orders__17[[#This Row],[Order_ID]],returns[#All],2,0)</f>
        <v>No</v>
      </c>
    </row>
    <row r="1906" spans="1:13" x14ac:dyDescent="0.3">
      <c r="A1906" s="1" t="s">
        <v>2212</v>
      </c>
      <c r="B1906" s="2">
        <v>44600</v>
      </c>
      <c r="C1906" s="1" t="s">
        <v>709</v>
      </c>
      <c r="D1906" s="1" t="s">
        <v>660</v>
      </c>
      <c r="E1906">
        <v>4</v>
      </c>
      <c r="F1906" s="4">
        <v>626.32000000000005</v>
      </c>
      <c r="G1906" s="3">
        <v>0.1</v>
      </c>
      <c r="H1906" s="4">
        <v>128.80000000000001</v>
      </c>
      <c r="I1906" t="str">
        <f>VLOOKUP(orders__17[[#This Row],[Customer_ID]],customers__2[#All],3,0)</f>
        <v>East</v>
      </c>
      <c r="J1906" t="str">
        <f>VLOOKUP(orders__17[[#This Row],[Customer_ID]],customers__2[#All],4,0)</f>
        <v>Home Office</v>
      </c>
      <c r="K1906" t="str">
        <f>VLOOKUP(orders__17[[#This Row],[Product_ID]],products[#All],3,0)</f>
        <v>Office Supplies</v>
      </c>
      <c r="L1906" s="1" t="str">
        <f>VLOOKUP(orders__17[[#This Row],[Product_ID]],products[#All],4,0)</f>
        <v>Storage</v>
      </c>
      <c r="M1906" s="1" t="str">
        <f>VLOOKUP(orders__17[[#This Row],[Order_ID]],returns[#All],2,0)</f>
        <v>No</v>
      </c>
    </row>
    <row r="1907" spans="1:13" x14ac:dyDescent="0.3">
      <c r="A1907" s="1" t="s">
        <v>2213</v>
      </c>
      <c r="B1907" s="2">
        <v>45443</v>
      </c>
      <c r="C1907" s="1" t="s">
        <v>505</v>
      </c>
      <c r="D1907" s="1" t="s">
        <v>263</v>
      </c>
      <c r="E1907">
        <v>5</v>
      </c>
      <c r="F1907" s="4">
        <v>1850.48</v>
      </c>
      <c r="G1907" s="3">
        <v>0.3</v>
      </c>
      <c r="H1907" s="4">
        <v>97.17</v>
      </c>
      <c r="I1907" t="str">
        <f>VLOOKUP(orders__17[[#This Row],[Customer_ID]],customers__2[#All],3,0)</f>
        <v>North</v>
      </c>
      <c r="J1907" t="str">
        <f>VLOOKUP(orders__17[[#This Row],[Customer_ID]],customers__2[#All],4,0)</f>
        <v>Consumer</v>
      </c>
      <c r="K1907" t="str">
        <f>VLOOKUP(orders__17[[#This Row],[Product_ID]],products[#All],3,0)</f>
        <v>Office Supplies</v>
      </c>
      <c r="L1907" s="1" t="str">
        <f>VLOOKUP(orders__17[[#This Row],[Product_ID]],products[#All],4,0)</f>
        <v>Storage</v>
      </c>
      <c r="M1907" s="1" t="str">
        <f>VLOOKUP(orders__17[[#This Row],[Order_ID]],returns[#All],2,0)</f>
        <v>No</v>
      </c>
    </row>
    <row r="1908" spans="1:13" x14ac:dyDescent="0.3">
      <c r="A1908" s="1" t="s">
        <v>2214</v>
      </c>
      <c r="B1908" s="2">
        <v>44760</v>
      </c>
      <c r="C1908" s="1" t="s">
        <v>1061</v>
      </c>
      <c r="D1908" s="1" t="s">
        <v>180</v>
      </c>
      <c r="E1908">
        <v>2</v>
      </c>
      <c r="F1908" s="4">
        <v>1208.06</v>
      </c>
      <c r="G1908" s="3">
        <v>0.3</v>
      </c>
      <c r="H1908" s="4">
        <v>119.25</v>
      </c>
      <c r="I1908" t="str">
        <f>VLOOKUP(orders__17[[#This Row],[Customer_ID]],customers__2[#All],3,0)</f>
        <v>East</v>
      </c>
      <c r="J1908" t="str">
        <f>VLOOKUP(orders__17[[#This Row],[Customer_ID]],customers__2[#All],4,0)</f>
        <v>Consumer</v>
      </c>
      <c r="K1908" t="str">
        <f>VLOOKUP(orders__17[[#This Row],[Product_ID]],products[#All],3,0)</f>
        <v>Furniture</v>
      </c>
      <c r="L1908" s="1" t="str">
        <f>VLOOKUP(orders__17[[#This Row],[Product_ID]],products[#All],4,0)</f>
        <v>Chair</v>
      </c>
      <c r="M1908" s="1" t="str">
        <f>VLOOKUP(orders__17[[#This Row],[Order_ID]],returns[#All],2,0)</f>
        <v>No</v>
      </c>
    </row>
    <row r="1909" spans="1:13" x14ac:dyDescent="0.3">
      <c r="A1909" s="1" t="s">
        <v>2215</v>
      </c>
      <c r="B1909" s="2">
        <v>45287</v>
      </c>
      <c r="C1909" s="1" t="s">
        <v>657</v>
      </c>
      <c r="D1909" s="1" t="s">
        <v>22</v>
      </c>
      <c r="E1909">
        <v>5</v>
      </c>
      <c r="F1909" s="4">
        <v>1226.4000000000001</v>
      </c>
      <c r="G1909" s="3">
        <v>0.3</v>
      </c>
      <c r="H1909" s="4">
        <v>211.96</v>
      </c>
      <c r="I1909" t="str">
        <f>VLOOKUP(orders__17[[#This Row],[Customer_ID]],customers__2[#All],3,0)</f>
        <v>East</v>
      </c>
      <c r="J1909" t="str">
        <f>VLOOKUP(orders__17[[#This Row],[Customer_ID]],customers__2[#All],4,0)</f>
        <v>Corporate</v>
      </c>
      <c r="K1909" t="str">
        <f>VLOOKUP(orders__17[[#This Row],[Product_ID]],products[#All],3,0)</f>
        <v>Furniture</v>
      </c>
      <c r="L1909" s="1" t="str">
        <f>VLOOKUP(orders__17[[#This Row],[Product_ID]],products[#All],4,0)</f>
        <v>Chair</v>
      </c>
      <c r="M1909" s="1" t="str">
        <f>VLOOKUP(orders__17[[#This Row],[Order_ID]],returns[#All],2,0)</f>
        <v>No</v>
      </c>
    </row>
    <row r="1910" spans="1:13" x14ac:dyDescent="0.3">
      <c r="A1910" s="1" t="s">
        <v>2216</v>
      </c>
      <c r="B1910" s="2">
        <v>45044</v>
      </c>
      <c r="C1910" s="1" t="s">
        <v>9</v>
      </c>
      <c r="D1910" s="1" t="s">
        <v>100</v>
      </c>
      <c r="E1910">
        <v>4</v>
      </c>
      <c r="F1910" s="4">
        <v>774.36</v>
      </c>
      <c r="G1910" s="3">
        <v>0.2</v>
      </c>
      <c r="H1910" s="4">
        <v>222.73</v>
      </c>
      <c r="I1910" t="str">
        <f>VLOOKUP(orders__17[[#This Row],[Customer_ID]],customers__2[#All],3,0)</f>
        <v>East</v>
      </c>
      <c r="J1910" t="str">
        <f>VLOOKUP(orders__17[[#This Row],[Customer_ID]],customers__2[#All],4,0)</f>
        <v>Consumer</v>
      </c>
      <c r="K1910" t="str">
        <f>VLOOKUP(orders__17[[#This Row],[Product_ID]],products[#All],3,0)</f>
        <v>Technology</v>
      </c>
      <c r="L1910" s="1" t="str">
        <f>VLOOKUP(orders__17[[#This Row],[Product_ID]],products[#All],4,0)</f>
        <v>Laptop</v>
      </c>
      <c r="M1910" s="1" t="str">
        <f>VLOOKUP(orders__17[[#This Row],[Order_ID]],returns[#All],2,0)</f>
        <v>Yes</v>
      </c>
    </row>
    <row r="1911" spans="1:13" x14ac:dyDescent="0.3">
      <c r="A1911" s="1" t="s">
        <v>2217</v>
      </c>
      <c r="B1911" s="2">
        <v>44877</v>
      </c>
      <c r="C1911" s="1" t="s">
        <v>425</v>
      </c>
      <c r="D1911" s="1" t="s">
        <v>253</v>
      </c>
      <c r="E1911">
        <v>4</v>
      </c>
      <c r="F1911" s="4">
        <v>198.78</v>
      </c>
      <c r="G1911" s="3">
        <v>0.1</v>
      </c>
      <c r="H1911" s="4">
        <v>29</v>
      </c>
      <c r="I1911" t="str">
        <f>VLOOKUP(orders__17[[#This Row],[Customer_ID]],customers__2[#All],3,0)</f>
        <v>East</v>
      </c>
      <c r="J1911" t="str">
        <f>VLOOKUP(orders__17[[#This Row],[Customer_ID]],customers__2[#All],4,0)</f>
        <v>Home Office</v>
      </c>
      <c r="K1911" t="str">
        <f>VLOOKUP(orders__17[[#This Row],[Product_ID]],products[#All],3,0)</f>
        <v>Technology</v>
      </c>
      <c r="L1911" s="1" t="str">
        <f>VLOOKUP(orders__17[[#This Row],[Product_ID]],products[#All],4,0)</f>
        <v>Accessories</v>
      </c>
      <c r="M1911" s="1" t="str">
        <f>VLOOKUP(orders__17[[#This Row],[Order_ID]],returns[#All],2,0)</f>
        <v>No</v>
      </c>
    </row>
    <row r="1912" spans="1:13" x14ac:dyDescent="0.3">
      <c r="A1912" s="1" t="s">
        <v>2218</v>
      </c>
      <c r="B1912" s="2">
        <v>45440</v>
      </c>
      <c r="C1912" s="1" t="s">
        <v>360</v>
      </c>
      <c r="D1912" s="1" t="s">
        <v>156</v>
      </c>
      <c r="E1912">
        <v>3</v>
      </c>
      <c r="F1912" s="4">
        <v>160.31</v>
      </c>
      <c r="G1912" s="3">
        <v>0.1</v>
      </c>
      <c r="H1912" s="4">
        <v>25.02</v>
      </c>
      <c r="I1912" t="str">
        <f>VLOOKUP(orders__17[[#This Row],[Customer_ID]],customers__2[#All],3,0)</f>
        <v>South</v>
      </c>
      <c r="J1912" t="str">
        <f>VLOOKUP(orders__17[[#This Row],[Customer_ID]],customers__2[#All],4,0)</f>
        <v>Home Office</v>
      </c>
      <c r="K1912" t="str">
        <f>VLOOKUP(orders__17[[#This Row],[Product_ID]],products[#All],3,0)</f>
        <v>Furniture</v>
      </c>
      <c r="L1912" s="1" t="str">
        <f>VLOOKUP(orders__17[[#This Row],[Product_ID]],products[#All],4,0)</f>
        <v>Desk</v>
      </c>
      <c r="M1912" s="1" t="str">
        <f>VLOOKUP(orders__17[[#This Row],[Order_ID]],returns[#All],2,0)</f>
        <v>No</v>
      </c>
    </row>
    <row r="1913" spans="1:13" x14ac:dyDescent="0.3">
      <c r="A1913" s="1" t="s">
        <v>2219</v>
      </c>
      <c r="B1913" s="2">
        <v>44788</v>
      </c>
      <c r="C1913" s="1" t="s">
        <v>723</v>
      </c>
      <c r="D1913" s="1" t="s">
        <v>75</v>
      </c>
      <c r="E1913">
        <v>2</v>
      </c>
      <c r="F1913" s="4">
        <v>904.34</v>
      </c>
      <c r="G1913" s="3">
        <v>0</v>
      </c>
      <c r="H1913" s="4">
        <v>206.8</v>
      </c>
      <c r="I1913" t="str">
        <f>VLOOKUP(orders__17[[#This Row],[Customer_ID]],customers__2[#All],3,0)</f>
        <v>North</v>
      </c>
      <c r="J1913" t="str">
        <f>VLOOKUP(orders__17[[#This Row],[Customer_ID]],customers__2[#All],4,0)</f>
        <v>Home Office</v>
      </c>
      <c r="K1913" t="str">
        <f>VLOOKUP(orders__17[[#This Row],[Product_ID]],products[#All],3,0)</f>
        <v>Technology</v>
      </c>
      <c r="L1913" s="1" t="str">
        <f>VLOOKUP(orders__17[[#This Row],[Product_ID]],products[#All],4,0)</f>
        <v>Tablet</v>
      </c>
      <c r="M1913" s="1" t="str">
        <f>VLOOKUP(orders__17[[#This Row],[Order_ID]],returns[#All],2,0)</f>
        <v>Yes</v>
      </c>
    </row>
    <row r="1914" spans="1:13" x14ac:dyDescent="0.3">
      <c r="A1914" s="1" t="s">
        <v>2220</v>
      </c>
      <c r="B1914" s="2">
        <v>44963</v>
      </c>
      <c r="C1914" s="1" t="s">
        <v>27</v>
      </c>
      <c r="D1914" s="1" t="s">
        <v>147</v>
      </c>
      <c r="E1914">
        <v>4</v>
      </c>
      <c r="F1914" s="4">
        <v>260.67</v>
      </c>
      <c r="G1914" s="3">
        <v>0</v>
      </c>
      <c r="H1914" s="4">
        <v>52.38</v>
      </c>
      <c r="I1914" t="str">
        <f>VLOOKUP(orders__17[[#This Row],[Customer_ID]],customers__2[#All],3,0)</f>
        <v>North</v>
      </c>
      <c r="J1914" t="str">
        <f>VLOOKUP(orders__17[[#This Row],[Customer_ID]],customers__2[#All],4,0)</f>
        <v>Consumer</v>
      </c>
      <c r="K1914" t="str">
        <f>VLOOKUP(orders__17[[#This Row],[Product_ID]],products[#All],3,0)</f>
        <v>Technology</v>
      </c>
      <c r="L1914" s="1" t="str">
        <f>VLOOKUP(orders__17[[#This Row],[Product_ID]],products[#All],4,0)</f>
        <v>Laptop</v>
      </c>
      <c r="M1914" s="1" t="str">
        <f>VLOOKUP(orders__17[[#This Row],[Order_ID]],returns[#All],2,0)</f>
        <v>No</v>
      </c>
    </row>
    <row r="1915" spans="1:13" x14ac:dyDescent="0.3">
      <c r="A1915" s="1" t="s">
        <v>2221</v>
      </c>
      <c r="B1915" s="2">
        <v>45157</v>
      </c>
      <c r="C1915" s="1" t="s">
        <v>328</v>
      </c>
      <c r="D1915" s="1" t="s">
        <v>37</v>
      </c>
      <c r="E1915">
        <v>3</v>
      </c>
      <c r="F1915" s="4">
        <v>1253.01</v>
      </c>
      <c r="G1915" s="3">
        <v>0</v>
      </c>
      <c r="H1915" s="4">
        <v>156.29</v>
      </c>
      <c r="I1915" t="str">
        <f>VLOOKUP(orders__17[[#This Row],[Customer_ID]],customers__2[#All],3,0)</f>
        <v>South</v>
      </c>
      <c r="J1915" t="str">
        <f>VLOOKUP(orders__17[[#This Row],[Customer_ID]],customers__2[#All],4,0)</f>
        <v>Corporate</v>
      </c>
      <c r="K1915" t="str">
        <f>VLOOKUP(orders__17[[#This Row],[Product_ID]],products[#All],3,0)</f>
        <v>Furniture</v>
      </c>
      <c r="L1915" s="1" t="str">
        <f>VLOOKUP(orders__17[[#This Row],[Product_ID]],products[#All],4,0)</f>
        <v>Desk</v>
      </c>
      <c r="M1915" s="1" t="str">
        <f>VLOOKUP(orders__17[[#This Row],[Order_ID]],returns[#All],2,0)</f>
        <v>Yes</v>
      </c>
    </row>
    <row r="1916" spans="1:13" x14ac:dyDescent="0.3">
      <c r="A1916" s="1" t="s">
        <v>2222</v>
      </c>
      <c r="B1916" s="2">
        <v>45431</v>
      </c>
      <c r="C1916" s="1" t="s">
        <v>464</v>
      </c>
      <c r="D1916" s="1" t="s">
        <v>249</v>
      </c>
      <c r="E1916">
        <v>3</v>
      </c>
      <c r="F1916" s="4">
        <v>1773.85</v>
      </c>
      <c r="G1916" s="3">
        <v>0.1</v>
      </c>
      <c r="H1916" s="4">
        <v>270.87</v>
      </c>
      <c r="I1916" t="str">
        <f>VLOOKUP(orders__17[[#This Row],[Customer_ID]],customers__2[#All],3,0)</f>
        <v>West</v>
      </c>
      <c r="J1916" t="str">
        <f>VLOOKUP(orders__17[[#This Row],[Customer_ID]],customers__2[#All],4,0)</f>
        <v>Corporate</v>
      </c>
      <c r="K1916" t="str">
        <f>VLOOKUP(orders__17[[#This Row],[Product_ID]],products[#All],3,0)</f>
        <v>Office Supplies</v>
      </c>
      <c r="L1916" s="1" t="str">
        <f>VLOOKUP(orders__17[[#This Row],[Product_ID]],products[#All],4,0)</f>
        <v>Paper</v>
      </c>
      <c r="M1916" s="1" t="str">
        <f>VLOOKUP(orders__17[[#This Row],[Order_ID]],returns[#All],2,0)</f>
        <v>No</v>
      </c>
    </row>
    <row r="1917" spans="1:13" x14ac:dyDescent="0.3">
      <c r="A1917" s="1" t="s">
        <v>2223</v>
      </c>
      <c r="B1917" s="2">
        <v>44739</v>
      </c>
      <c r="C1917" s="1" t="s">
        <v>231</v>
      </c>
      <c r="D1917" s="1" t="s">
        <v>369</v>
      </c>
      <c r="E1917">
        <v>5</v>
      </c>
      <c r="F1917" s="4">
        <v>1777.54</v>
      </c>
      <c r="G1917" s="3">
        <v>0</v>
      </c>
      <c r="H1917" s="4">
        <v>185.62</v>
      </c>
      <c r="I1917" t="str">
        <f>VLOOKUP(orders__17[[#This Row],[Customer_ID]],customers__2[#All],3,0)</f>
        <v>South</v>
      </c>
      <c r="J1917" t="str">
        <f>VLOOKUP(orders__17[[#This Row],[Customer_ID]],customers__2[#All],4,0)</f>
        <v>Consumer</v>
      </c>
      <c r="K1917" t="str">
        <f>VLOOKUP(orders__17[[#This Row],[Product_ID]],products[#All],3,0)</f>
        <v>Technology</v>
      </c>
      <c r="L1917" s="1" t="str">
        <f>VLOOKUP(orders__17[[#This Row],[Product_ID]],products[#All],4,0)</f>
        <v>Phone</v>
      </c>
      <c r="M1917" s="1" t="str">
        <f>VLOOKUP(orders__17[[#This Row],[Order_ID]],returns[#All],2,0)</f>
        <v>No</v>
      </c>
    </row>
    <row r="1918" spans="1:13" x14ac:dyDescent="0.3">
      <c r="A1918" s="1" t="s">
        <v>2224</v>
      </c>
      <c r="B1918" s="2">
        <v>45032</v>
      </c>
      <c r="C1918" s="1" t="s">
        <v>33</v>
      </c>
      <c r="D1918" s="1" t="s">
        <v>97</v>
      </c>
      <c r="E1918">
        <v>5</v>
      </c>
      <c r="F1918" s="4">
        <v>1352.19</v>
      </c>
      <c r="G1918" s="3">
        <v>0.1</v>
      </c>
      <c r="H1918" s="4">
        <v>394.17</v>
      </c>
      <c r="I1918" t="str">
        <f>VLOOKUP(orders__17[[#This Row],[Customer_ID]],customers__2[#All],3,0)</f>
        <v>East</v>
      </c>
      <c r="J1918" t="str">
        <f>VLOOKUP(orders__17[[#This Row],[Customer_ID]],customers__2[#All],4,0)</f>
        <v>Home Office</v>
      </c>
      <c r="K1918" t="str">
        <f>VLOOKUP(orders__17[[#This Row],[Product_ID]],products[#All],3,0)</f>
        <v>Technology</v>
      </c>
      <c r="L1918" s="1" t="str">
        <f>VLOOKUP(orders__17[[#This Row],[Product_ID]],products[#All],4,0)</f>
        <v>Tablet</v>
      </c>
      <c r="M1918" s="1" t="str">
        <f>VLOOKUP(orders__17[[#This Row],[Order_ID]],returns[#All],2,0)</f>
        <v>Yes</v>
      </c>
    </row>
    <row r="1919" spans="1:13" x14ac:dyDescent="0.3">
      <c r="A1919" s="1" t="s">
        <v>2225</v>
      </c>
      <c r="B1919" s="2">
        <v>44989</v>
      </c>
      <c r="C1919" s="1" t="s">
        <v>404</v>
      </c>
      <c r="D1919" s="1" t="s">
        <v>83</v>
      </c>
      <c r="E1919">
        <v>3</v>
      </c>
      <c r="F1919" s="4">
        <v>501.34</v>
      </c>
      <c r="G1919" s="3">
        <v>0.1</v>
      </c>
      <c r="H1919" s="4">
        <v>41.44</v>
      </c>
      <c r="I1919" t="str">
        <f>VLOOKUP(orders__17[[#This Row],[Customer_ID]],customers__2[#All],3,0)</f>
        <v>West</v>
      </c>
      <c r="J1919" t="str">
        <f>VLOOKUP(orders__17[[#This Row],[Customer_ID]],customers__2[#All],4,0)</f>
        <v>Home Office</v>
      </c>
      <c r="K1919" t="str">
        <f>VLOOKUP(orders__17[[#This Row],[Product_ID]],products[#All],3,0)</f>
        <v>Furniture</v>
      </c>
      <c r="L1919" s="1" t="str">
        <f>VLOOKUP(orders__17[[#This Row],[Product_ID]],products[#All],4,0)</f>
        <v>Table</v>
      </c>
      <c r="M1919" s="1" t="str">
        <f>VLOOKUP(orders__17[[#This Row],[Order_ID]],returns[#All],2,0)</f>
        <v>No</v>
      </c>
    </row>
    <row r="1920" spans="1:13" x14ac:dyDescent="0.3">
      <c r="A1920" s="1" t="s">
        <v>2226</v>
      </c>
      <c r="B1920" s="2">
        <v>44885</v>
      </c>
      <c r="C1920" s="1" t="s">
        <v>205</v>
      </c>
      <c r="D1920" s="1" t="s">
        <v>67</v>
      </c>
      <c r="E1920">
        <v>5</v>
      </c>
      <c r="F1920" s="4">
        <v>1739.69</v>
      </c>
      <c r="G1920" s="3">
        <v>0.3</v>
      </c>
      <c r="H1920" s="4">
        <v>248.7</v>
      </c>
      <c r="I1920" t="str">
        <f>VLOOKUP(orders__17[[#This Row],[Customer_ID]],customers__2[#All],3,0)</f>
        <v>North</v>
      </c>
      <c r="J1920" t="str">
        <f>VLOOKUP(orders__17[[#This Row],[Customer_ID]],customers__2[#All],4,0)</f>
        <v>Consumer</v>
      </c>
      <c r="K1920" t="str">
        <f>VLOOKUP(orders__17[[#This Row],[Product_ID]],products[#All],3,0)</f>
        <v>Furniture</v>
      </c>
      <c r="L1920" s="1" t="str">
        <f>VLOOKUP(orders__17[[#This Row],[Product_ID]],products[#All],4,0)</f>
        <v>Chair</v>
      </c>
      <c r="M1920" s="1" t="str">
        <f>VLOOKUP(orders__17[[#This Row],[Order_ID]],returns[#All],2,0)</f>
        <v>No</v>
      </c>
    </row>
    <row r="1921" spans="1:13" x14ac:dyDescent="0.3">
      <c r="A1921" s="1" t="s">
        <v>2227</v>
      </c>
      <c r="B1921" s="2">
        <v>44895</v>
      </c>
      <c r="C1921" s="1" t="s">
        <v>607</v>
      </c>
      <c r="D1921" s="1" t="s">
        <v>669</v>
      </c>
      <c r="E1921">
        <v>4</v>
      </c>
      <c r="F1921" s="4">
        <v>1783.58</v>
      </c>
      <c r="G1921" s="3">
        <v>0</v>
      </c>
      <c r="H1921" s="4">
        <v>100.7</v>
      </c>
      <c r="I1921" t="str">
        <f>VLOOKUP(orders__17[[#This Row],[Customer_ID]],customers__2[#All],3,0)</f>
        <v>East</v>
      </c>
      <c r="J1921" t="str">
        <f>VLOOKUP(orders__17[[#This Row],[Customer_ID]],customers__2[#All],4,0)</f>
        <v>Consumer</v>
      </c>
      <c r="K1921" t="str">
        <f>VLOOKUP(orders__17[[#This Row],[Product_ID]],products[#All],3,0)</f>
        <v>Office Supplies</v>
      </c>
      <c r="L1921" s="1" t="str">
        <f>VLOOKUP(orders__17[[#This Row],[Product_ID]],products[#All],4,0)</f>
        <v>Pen</v>
      </c>
      <c r="M1921" s="1" t="str">
        <f>VLOOKUP(orders__17[[#This Row],[Order_ID]],returns[#All],2,0)</f>
        <v>No</v>
      </c>
    </row>
    <row r="1922" spans="1:13" x14ac:dyDescent="0.3">
      <c r="A1922" s="1" t="s">
        <v>2228</v>
      </c>
      <c r="B1922" s="2">
        <v>45107</v>
      </c>
      <c r="C1922" s="1" t="s">
        <v>569</v>
      </c>
      <c r="D1922" s="1" t="s">
        <v>31</v>
      </c>
      <c r="E1922">
        <v>1</v>
      </c>
      <c r="F1922" s="4">
        <v>473.64</v>
      </c>
      <c r="G1922" s="3">
        <v>0.3</v>
      </c>
      <c r="H1922" s="4">
        <v>49.94</v>
      </c>
      <c r="I1922" t="str">
        <f>VLOOKUP(orders__17[[#This Row],[Customer_ID]],customers__2[#All],3,0)</f>
        <v>West</v>
      </c>
      <c r="J1922" t="str">
        <f>VLOOKUP(orders__17[[#This Row],[Customer_ID]],customers__2[#All],4,0)</f>
        <v>Consumer</v>
      </c>
      <c r="K1922" t="str">
        <f>VLOOKUP(orders__17[[#This Row],[Product_ID]],products[#All],3,0)</f>
        <v>Furniture</v>
      </c>
      <c r="L1922" s="1" t="str">
        <f>VLOOKUP(orders__17[[#This Row],[Product_ID]],products[#All],4,0)</f>
        <v>Chair</v>
      </c>
      <c r="M1922" s="1" t="str">
        <f>VLOOKUP(orders__17[[#This Row],[Order_ID]],returns[#All],2,0)</f>
        <v>Yes</v>
      </c>
    </row>
    <row r="1923" spans="1:13" x14ac:dyDescent="0.3">
      <c r="A1923" s="1" t="s">
        <v>2229</v>
      </c>
      <c r="B1923" s="2">
        <v>45290</v>
      </c>
      <c r="C1923" s="1" t="s">
        <v>344</v>
      </c>
      <c r="D1923" s="1" t="s">
        <v>323</v>
      </c>
      <c r="E1923">
        <v>4</v>
      </c>
      <c r="F1923" s="4">
        <v>1501.11</v>
      </c>
      <c r="G1923" s="3">
        <v>0.2</v>
      </c>
      <c r="H1923" s="4">
        <v>367.95</v>
      </c>
      <c r="I1923" t="str">
        <f>VLOOKUP(orders__17[[#This Row],[Customer_ID]],customers__2[#All],3,0)</f>
        <v>North</v>
      </c>
      <c r="J1923" t="str">
        <f>VLOOKUP(orders__17[[#This Row],[Customer_ID]],customers__2[#All],4,0)</f>
        <v>Home Office</v>
      </c>
      <c r="K1923" t="str">
        <f>VLOOKUP(orders__17[[#This Row],[Product_ID]],products[#All],3,0)</f>
        <v>Technology</v>
      </c>
      <c r="L1923" s="1" t="str">
        <f>VLOOKUP(orders__17[[#This Row],[Product_ID]],products[#All],4,0)</f>
        <v>Tablet</v>
      </c>
      <c r="M1923" s="1" t="str">
        <f>VLOOKUP(orders__17[[#This Row],[Order_ID]],returns[#All],2,0)</f>
        <v>No</v>
      </c>
    </row>
    <row r="1924" spans="1:13" x14ac:dyDescent="0.3">
      <c r="A1924" s="1" t="s">
        <v>2230</v>
      </c>
      <c r="B1924" s="2">
        <v>45362</v>
      </c>
      <c r="C1924" s="1" t="s">
        <v>262</v>
      </c>
      <c r="D1924" s="1" t="s">
        <v>163</v>
      </c>
      <c r="E1924">
        <v>3</v>
      </c>
      <c r="F1924" s="4">
        <v>644.39</v>
      </c>
      <c r="G1924" s="3">
        <v>0.2</v>
      </c>
      <c r="H1924" s="4">
        <v>64.63</v>
      </c>
      <c r="I1924" t="str">
        <f>VLOOKUP(orders__17[[#This Row],[Customer_ID]],customers__2[#All],3,0)</f>
        <v>South</v>
      </c>
      <c r="J1924" t="str">
        <f>VLOOKUP(orders__17[[#This Row],[Customer_ID]],customers__2[#All],4,0)</f>
        <v>Corporate</v>
      </c>
      <c r="K1924" t="str">
        <f>VLOOKUP(orders__17[[#This Row],[Product_ID]],products[#All],3,0)</f>
        <v>Furniture</v>
      </c>
      <c r="L1924" s="1" t="str">
        <f>VLOOKUP(orders__17[[#This Row],[Product_ID]],products[#All],4,0)</f>
        <v>Table</v>
      </c>
      <c r="M1924" s="1" t="str">
        <f>VLOOKUP(orders__17[[#This Row],[Order_ID]],returns[#All],2,0)</f>
        <v>No</v>
      </c>
    </row>
    <row r="1925" spans="1:13" x14ac:dyDescent="0.3">
      <c r="A1925" s="1" t="s">
        <v>2231</v>
      </c>
      <c r="B1925" s="2">
        <v>44655</v>
      </c>
      <c r="C1925" s="1" t="s">
        <v>24</v>
      </c>
      <c r="D1925" s="1" t="s">
        <v>301</v>
      </c>
      <c r="E1925">
        <v>3</v>
      </c>
      <c r="F1925" s="4">
        <v>1625.02</v>
      </c>
      <c r="G1925" s="3">
        <v>0.2</v>
      </c>
      <c r="H1925" s="4">
        <v>113.78</v>
      </c>
      <c r="I1925" t="str">
        <f>VLOOKUP(orders__17[[#This Row],[Customer_ID]],customers__2[#All],3,0)</f>
        <v>North</v>
      </c>
      <c r="J1925" t="str">
        <f>VLOOKUP(orders__17[[#This Row],[Customer_ID]],customers__2[#All],4,0)</f>
        <v>Consumer</v>
      </c>
      <c r="K1925" t="str">
        <f>VLOOKUP(orders__17[[#This Row],[Product_ID]],products[#All],3,0)</f>
        <v>Furniture</v>
      </c>
      <c r="L1925" s="1" t="str">
        <f>VLOOKUP(orders__17[[#This Row],[Product_ID]],products[#All],4,0)</f>
        <v>Table</v>
      </c>
      <c r="M1925" s="1" t="str">
        <f>VLOOKUP(orders__17[[#This Row],[Order_ID]],returns[#All],2,0)</f>
        <v>No</v>
      </c>
    </row>
    <row r="1926" spans="1:13" x14ac:dyDescent="0.3">
      <c r="A1926" s="1" t="s">
        <v>2232</v>
      </c>
      <c r="B1926" s="2">
        <v>44578</v>
      </c>
      <c r="C1926" s="1" t="s">
        <v>194</v>
      </c>
      <c r="D1926" s="1" t="s">
        <v>180</v>
      </c>
      <c r="E1926">
        <v>4</v>
      </c>
      <c r="F1926" s="4">
        <v>1994.75</v>
      </c>
      <c r="G1926" s="3">
        <v>0.1</v>
      </c>
      <c r="H1926" s="4">
        <v>336.34</v>
      </c>
      <c r="I1926" t="str">
        <f>VLOOKUP(orders__17[[#This Row],[Customer_ID]],customers__2[#All],3,0)</f>
        <v>North</v>
      </c>
      <c r="J1926" t="str">
        <f>VLOOKUP(orders__17[[#This Row],[Customer_ID]],customers__2[#All],4,0)</f>
        <v>Home Office</v>
      </c>
      <c r="K1926" t="str">
        <f>VLOOKUP(orders__17[[#This Row],[Product_ID]],products[#All],3,0)</f>
        <v>Furniture</v>
      </c>
      <c r="L1926" s="1" t="str">
        <f>VLOOKUP(orders__17[[#This Row],[Product_ID]],products[#All],4,0)</f>
        <v>Chair</v>
      </c>
      <c r="M1926" s="1" t="str">
        <f>VLOOKUP(orders__17[[#This Row],[Order_ID]],returns[#All],2,0)</f>
        <v>No</v>
      </c>
    </row>
    <row r="1927" spans="1:13" x14ac:dyDescent="0.3">
      <c r="A1927" s="1" t="s">
        <v>2233</v>
      </c>
      <c r="B1927" s="2">
        <v>45019</v>
      </c>
      <c r="C1927" s="1" t="s">
        <v>165</v>
      </c>
      <c r="D1927" s="1" t="s">
        <v>147</v>
      </c>
      <c r="E1927">
        <v>5</v>
      </c>
      <c r="F1927" s="4">
        <v>157.05000000000001</v>
      </c>
      <c r="G1927" s="3">
        <v>0.1</v>
      </c>
      <c r="H1927" s="4">
        <v>8.24</v>
      </c>
      <c r="I1927" t="str">
        <f>VLOOKUP(orders__17[[#This Row],[Customer_ID]],customers__2[#All],3,0)</f>
        <v>West</v>
      </c>
      <c r="J1927" t="str">
        <f>VLOOKUP(orders__17[[#This Row],[Customer_ID]],customers__2[#All],4,0)</f>
        <v>Corporate</v>
      </c>
      <c r="K1927" t="str">
        <f>VLOOKUP(orders__17[[#This Row],[Product_ID]],products[#All],3,0)</f>
        <v>Technology</v>
      </c>
      <c r="L1927" s="1" t="str">
        <f>VLOOKUP(orders__17[[#This Row],[Product_ID]],products[#All],4,0)</f>
        <v>Laptop</v>
      </c>
      <c r="M1927" s="1" t="str">
        <f>VLOOKUP(orders__17[[#This Row],[Order_ID]],returns[#All],2,0)</f>
        <v>No</v>
      </c>
    </row>
    <row r="1928" spans="1:13" x14ac:dyDescent="0.3">
      <c r="A1928" s="1" t="s">
        <v>2234</v>
      </c>
      <c r="B1928" s="2">
        <v>44698</v>
      </c>
      <c r="C1928" s="1" t="s">
        <v>18</v>
      </c>
      <c r="D1928" s="1" t="s">
        <v>64</v>
      </c>
      <c r="E1928">
        <v>5</v>
      </c>
      <c r="F1928" s="4">
        <v>1805</v>
      </c>
      <c r="G1928" s="3">
        <v>0.1</v>
      </c>
      <c r="H1928" s="4">
        <v>128.5</v>
      </c>
      <c r="I1928" t="str">
        <f>VLOOKUP(orders__17[[#This Row],[Customer_ID]],customers__2[#All],3,0)</f>
        <v>North</v>
      </c>
      <c r="J1928" t="str">
        <f>VLOOKUP(orders__17[[#This Row],[Customer_ID]],customers__2[#All],4,0)</f>
        <v>Home Office</v>
      </c>
      <c r="K1928" t="str">
        <f>VLOOKUP(orders__17[[#This Row],[Product_ID]],products[#All],3,0)</f>
        <v>Office Supplies</v>
      </c>
      <c r="L1928" s="1" t="str">
        <f>VLOOKUP(orders__17[[#This Row],[Product_ID]],products[#All],4,0)</f>
        <v>Storage</v>
      </c>
      <c r="M1928" s="1" t="str">
        <f>VLOOKUP(orders__17[[#This Row],[Order_ID]],returns[#All],2,0)</f>
        <v>Yes</v>
      </c>
    </row>
    <row r="1929" spans="1:13" x14ac:dyDescent="0.3">
      <c r="A1929" s="1" t="s">
        <v>2235</v>
      </c>
      <c r="B1929" s="2">
        <v>45073</v>
      </c>
      <c r="C1929" s="1" t="s">
        <v>729</v>
      </c>
      <c r="D1929" s="1" t="s">
        <v>156</v>
      </c>
      <c r="E1929">
        <v>3</v>
      </c>
      <c r="F1929" s="4">
        <v>1283</v>
      </c>
      <c r="G1929" s="3">
        <v>0</v>
      </c>
      <c r="H1929" s="4">
        <v>323.2</v>
      </c>
      <c r="I1929" t="str">
        <f>VLOOKUP(orders__17[[#This Row],[Customer_ID]],customers__2[#All],3,0)</f>
        <v>North</v>
      </c>
      <c r="J1929" t="str">
        <f>VLOOKUP(orders__17[[#This Row],[Customer_ID]],customers__2[#All],4,0)</f>
        <v>Home Office</v>
      </c>
      <c r="K1929" t="str">
        <f>VLOOKUP(orders__17[[#This Row],[Product_ID]],products[#All],3,0)</f>
        <v>Furniture</v>
      </c>
      <c r="L1929" s="1" t="str">
        <f>VLOOKUP(orders__17[[#This Row],[Product_ID]],products[#All],4,0)</f>
        <v>Desk</v>
      </c>
      <c r="M1929" s="1" t="str">
        <f>VLOOKUP(orders__17[[#This Row],[Order_ID]],returns[#All],2,0)</f>
        <v>No</v>
      </c>
    </row>
    <row r="1930" spans="1:13" x14ac:dyDescent="0.3">
      <c r="A1930" s="1" t="s">
        <v>2236</v>
      </c>
      <c r="B1930" s="2">
        <v>44741</v>
      </c>
      <c r="C1930" s="1" t="s">
        <v>160</v>
      </c>
      <c r="D1930" s="1" t="s">
        <v>61</v>
      </c>
      <c r="E1930">
        <v>2</v>
      </c>
      <c r="F1930" s="4">
        <v>1949.43</v>
      </c>
      <c r="G1930" s="3">
        <v>0.3</v>
      </c>
      <c r="H1930" s="4">
        <v>473.45</v>
      </c>
      <c r="I1930" t="str">
        <f>VLOOKUP(orders__17[[#This Row],[Customer_ID]],customers__2[#All],3,0)</f>
        <v>East</v>
      </c>
      <c r="J1930" t="str">
        <f>VLOOKUP(orders__17[[#This Row],[Customer_ID]],customers__2[#All],4,0)</f>
        <v>Corporate</v>
      </c>
      <c r="K1930" t="str">
        <f>VLOOKUP(orders__17[[#This Row],[Product_ID]],products[#All],3,0)</f>
        <v>Office Supplies</v>
      </c>
      <c r="L1930" s="1" t="str">
        <f>VLOOKUP(orders__17[[#This Row],[Product_ID]],products[#All],4,0)</f>
        <v>Binder</v>
      </c>
      <c r="M1930" s="1" t="str">
        <f>VLOOKUP(orders__17[[#This Row],[Order_ID]],returns[#All],2,0)</f>
        <v>Yes</v>
      </c>
    </row>
    <row r="1931" spans="1:13" x14ac:dyDescent="0.3">
      <c r="A1931" s="1" t="s">
        <v>2237</v>
      </c>
      <c r="B1931" s="2">
        <v>45414</v>
      </c>
      <c r="C1931" s="1" t="s">
        <v>547</v>
      </c>
      <c r="D1931" s="1" t="s">
        <v>239</v>
      </c>
      <c r="E1931">
        <v>5</v>
      </c>
      <c r="F1931" s="4">
        <v>983.52</v>
      </c>
      <c r="G1931" s="3">
        <v>0.1</v>
      </c>
      <c r="H1931" s="4">
        <v>274.19</v>
      </c>
      <c r="I1931" t="str">
        <f>VLOOKUP(orders__17[[#This Row],[Customer_ID]],customers__2[#All],3,0)</f>
        <v>West</v>
      </c>
      <c r="J1931" t="str">
        <f>VLOOKUP(orders__17[[#This Row],[Customer_ID]],customers__2[#All],4,0)</f>
        <v>Corporate</v>
      </c>
      <c r="K1931" t="str">
        <f>VLOOKUP(orders__17[[#This Row],[Product_ID]],products[#All],3,0)</f>
        <v>Furniture</v>
      </c>
      <c r="L1931" s="1" t="str">
        <f>VLOOKUP(orders__17[[#This Row],[Product_ID]],products[#All],4,0)</f>
        <v>Shelf</v>
      </c>
      <c r="M1931" s="1" t="str">
        <f>VLOOKUP(orders__17[[#This Row],[Order_ID]],returns[#All],2,0)</f>
        <v>No</v>
      </c>
    </row>
    <row r="1932" spans="1:13" x14ac:dyDescent="0.3">
      <c r="A1932" s="1" t="s">
        <v>2238</v>
      </c>
      <c r="B1932" s="2">
        <v>44839</v>
      </c>
      <c r="C1932" s="1" t="s">
        <v>102</v>
      </c>
      <c r="D1932" s="1" t="s">
        <v>263</v>
      </c>
      <c r="E1932">
        <v>4</v>
      </c>
      <c r="F1932" s="4">
        <v>1710.04</v>
      </c>
      <c r="G1932" s="3">
        <v>0.3</v>
      </c>
      <c r="H1932" s="4">
        <v>450.82</v>
      </c>
      <c r="I1932" t="str">
        <f>VLOOKUP(orders__17[[#This Row],[Customer_ID]],customers__2[#All],3,0)</f>
        <v>West</v>
      </c>
      <c r="J1932" t="str">
        <f>VLOOKUP(orders__17[[#This Row],[Customer_ID]],customers__2[#All],4,0)</f>
        <v>Corporate</v>
      </c>
      <c r="K1932" t="str">
        <f>VLOOKUP(orders__17[[#This Row],[Product_ID]],products[#All],3,0)</f>
        <v>Office Supplies</v>
      </c>
      <c r="L1932" s="1" t="str">
        <f>VLOOKUP(orders__17[[#This Row],[Product_ID]],products[#All],4,0)</f>
        <v>Storage</v>
      </c>
      <c r="M1932" s="1" t="str">
        <f>VLOOKUP(orders__17[[#This Row],[Order_ID]],returns[#All],2,0)</f>
        <v>No</v>
      </c>
    </row>
    <row r="1933" spans="1:13" x14ac:dyDescent="0.3">
      <c r="A1933" s="1" t="s">
        <v>2239</v>
      </c>
      <c r="B1933" s="2">
        <v>44817</v>
      </c>
      <c r="C1933" s="1" t="s">
        <v>334</v>
      </c>
      <c r="D1933" s="1" t="s">
        <v>40</v>
      </c>
      <c r="E1933">
        <v>5</v>
      </c>
      <c r="F1933" s="4">
        <v>218.55</v>
      </c>
      <c r="G1933" s="3">
        <v>0.3</v>
      </c>
      <c r="H1933" s="4">
        <v>48.25</v>
      </c>
      <c r="I1933" t="str">
        <f>VLOOKUP(orders__17[[#This Row],[Customer_ID]],customers__2[#All],3,0)</f>
        <v>East</v>
      </c>
      <c r="J1933" t="str">
        <f>VLOOKUP(orders__17[[#This Row],[Customer_ID]],customers__2[#All],4,0)</f>
        <v>Consumer</v>
      </c>
      <c r="K1933" t="str">
        <f>VLOOKUP(orders__17[[#This Row],[Product_ID]],products[#All],3,0)</f>
        <v>Office Supplies</v>
      </c>
      <c r="L1933" s="1" t="str">
        <f>VLOOKUP(orders__17[[#This Row],[Product_ID]],products[#All],4,0)</f>
        <v>Storage</v>
      </c>
      <c r="M1933" s="1" t="str">
        <f>VLOOKUP(orders__17[[#This Row],[Order_ID]],returns[#All],2,0)</f>
        <v>No</v>
      </c>
    </row>
    <row r="1934" spans="1:13" x14ac:dyDescent="0.3">
      <c r="A1934" s="1" t="s">
        <v>2240</v>
      </c>
      <c r="B1934" s="2">
        <v>45272</v>
      </c>
      <c r="C1934" s="1" t="s">
        <v>739</v>
      </c>
      <c r="D1934" s="1" t="s">
        <v>177</v>
      </c>
      <c r="E1934">
        <v>4</v>
      </c>
      <c r="F1934" s="4">
        <v>737.03</v>
      </c>
      <c r="G1934" s="3">
        <v>0.3</v>
      </c>
      <c r="H1934" s="4">
        <v>46.49</v>
      </c>
      <c r="I1934" t="str">
        <f>VLOOKUP(orders__17[[#This Row],[Customer_ID]],customers__2[#All],3,0)</f>
        <v>North</v>
      </c>
      <c r="J1934" t="str">
        <f>VLOOKUP(orders__17[[#This Row],[Customer_ID]],customers__2[#All],4,0)</f>
        <v>Consumer</v>
      </c>
      <c r="K1934" t="str">
        <f>VLOOKUP(orders__17[[#This Row],[Product_ID]],products[#All],3,0)</f>
        <v>Furniture</v>
      </c>
      <c r="L1934" s="1" t="str">
        <f>VLOOKUP(orders__17[[#This Row],[Product_ID]],products[#All],4,0)</f>
        <v>Table</v>
      </c>
      <c r="M1934" s="1" t="str">
        <f>VLOOKUP(orders__17[[#This Row],[Order_ID]],returns[#All],2,0)</f>
        <v>Yes</v>
      </c>
    </row>
    <row r="1935" spans="1:13" x14ac:dyDescent="0.3">
      <c r="A1935" s="1" t="s">
        <v>2241</v>
      </c>
      <c r="B1935" s="2">
        <v>45123</v>
      </c>
      <c r="C1935" s="1" t="s">
        <v>265</v>
      </c>
      <c r="D1935" s="1" t="s">
        <v>455</v>
      </c>
      <c r="E1935">
        <v>3</v>
      </c>
      <c r="F1935" s="4">
        <v>227.33</v>
      </c>
      <c r="G1935" s="3">
        <v>0</v>
      </c>
      <c r="H1935" s="4">
        <v>55.86</v>
      </c>
      <c r="I1935" t="str">
        <f>VLOOKUP(orders__17[[#This Row],[Customer_ID]],customers__2[#All],3,0)</f>
        <v>East</v>
      </c>
      <c r="J1935" t="str">
        <f>VLOOKUP(orders__17[[#This Row],[Customer_ID]],customers__2[#All],4,0)</f>
        <v>Consumer</v>
      </c>
      <c r="K1935" t="str">
        <f>VLOOKUP(orders__17[[#This Row],[Product_ID]],products[#All],3,0)</f>
        <v>Furniture</v>
      </c>
      <c r="L1935" s="1" t="str">
        <f>VLOOKUP(orders__17[[#This Row],[Product_ID]],products[#All],4,0)</f>
        <v>Shelf</v>
      </c>
      <c r="M1935" s="1" t="str">
        <f>VLOOKUP(orders__17[[#This Row],[Order_ID]],returns[#All],2,0)</f>
        <v>No</v>
      </c>
    </row>
    <row r="1936" spans="1:13" x14ac:dyDescent="0.3">
      <c r="A1936" s="1" t="s">
        <v>2242</v>
      </c>
      <c r="B1936" s="2">
        <v>44747</v>
      </c>
      <c r="C1936" s="1" t="s">
        <v>380</v>
      </c>
      <c r="D1936" s="1" t="s">
        <v>603</v>
      </c>
      <c r="E1936">
        <v>5</v>
      </c>
      <c r="F1936" s="4">
        <v>1953.15</v>
      </c>
      <c r="G1936" s="3">
        <v>0</v>
      </c>
      <c r="H1936" s="4">
        <v>510.51</v>
      </c>
      <c r="I1936" t="str">
        <f>VLOOKUP(orders__17[[#This Row],[Customer_ID]],customers__2[#All],3,0)</f>
        <v>South</v>
      </c>
      <c r="J1936" t="str">
        <f>VLOOKUP(orders__17[[#This Row],[Customer_ID]],customers__2[#All],4,0)</f>
        <v>Home Office</v>
      </c>
      <c r="K1936" t="str">
        <f>VLOOKUP(orders__17[[#This Row],[Product_ID]],products[#All],3,0)</f>
        <v>Technology</v>
      </c>
      <c r="L1936" s="1" t="str">
        <f>VLOOKUP(orders__17[[#This Row],[Product_ID]],products[#All],4,0)</f>
        <v>Accessories</v>
      </c>
      <c r="M1936" s="1" t="str">
        <f>VLOOKUP(orders__17[[#This Row],[Order_ID]],returns[#All],2,0)</f>
        <v>No</v>
      </c>
    </row>
    <row r="1937" spans="1:13" x14ac:dyDescent="0.3">
      <c r="A1937" s="1" t="s">
        <v>2243</v>
      </c>
      <c r="B1937" s="2">
        <v>45432</v>
      </c>
      <c r="C1937" s="1" t="s">
        <v>306</v>
      </c>
      <c r="D1937" s="1" t="s">
        <v>119</v>
      </c>
      <c r="E1937">
        <v>4</v>
      </c>
      <c r="F1937" s="4">
        <v>1652.25</v>
      </c>
      <c r="G1937" s="3">
        <v>0.2</v>
      </c>
      <c r="H1937" s="4">
        <v>412.68</v>
      </c>
      <c r="I1937" t="str">
        <f>VLOOKUP(orders__17[[#This Row],[Customer_ID]],customers__2[#All],3,0)</f>
        <v>North</v>
      </c>
      <c r="J1937" t="str">
        <f>VLOOKUP(orders__17[[#This Row],[Customer_ID]],customers__2[#All],4,0)</f>
        <v>Consumer</v>
      </c>
      <c r="K1937" t="str">
        <f>VLOOKUP(orders__17[[#This Row],[Product_ID]],products[#All],3,0)</f>
        <v>Technology</v>
      </c>
      <c r="L1937" s="1" t="str">
        <f>VLOOKUP(orders__17[[#This Row],[Product_ID]],products[#All],4,0)</f>
        <v>Tablet</v>
      </c>
      <c r="M1937" s="1" t="str">
        <f>VLOOKUP(orders__17[[#This Row],[Order_ID]],returns[#All],2,0)</f>
        <v>No</v>
      </c>
    </row>
    <row r="1938" spans="1:13" x14ac:dyDescent="0.3">
      <c r="A1938" s="1" t="s">
        <v>2244</v>
      </c>
      <c r="B1938" s="2">
        <v>44964</v>
      </c>
      <c r="C1938" s="1" t="s">
        <v>290</v>
      </c>
      <c r="D1938" s="1" t="s">
        <v>111</v>
      </c>
      <c r="E1938">
        <v>3</v>
      </c>
      <c r="F1938" s="4">
        <v>1719.84</v>
      </c>
      <c r="G1938" s="3">
        <v>0.2</v>
      </c>
      <c r="H1938" s="4">
        <v>304.62</v>
      </c>
      <c r="I1938" t="str">
        <f>VLOOKUP(orders__17[[#This Row],[Customer_ID]],customers__2[#All],3,0)</f>
        <v>East</v>
      </c>
      <c r="J1938" t="str">
        <f>VLOOKUP(orders__17[[#This Row],[Customer_ID]],customers__2[#All],4,0)</f>
        <v>Home Office</v>
      </c>
      <c r="K1938" t="str">
        <f>VLOOKUP(orders__17[[#This Row],[Product_ID]],products[#All],3,0)</f>
        <v>Technology</v>
      </c>
      <c r="L1938" s="1" t="str">
        <f>VLOOKUP(orders__17[[#This Row],[Product_ID]],products[#All],4,0)</f>
        <v>Accessories</v>
      </c>
      <c r="M1938" s="1" t="str">
        <f>VLOOKUP(orders__17[[#This Row],[Order_ID]],returns[#All],2,0)</f>
        <v>No</v>
      </c>
    </row>
    <row r="1939" spans="1:13" x14ac:dyDescent="0.3">
      <c r="A1939" s="1" t="s">
        <v>2245</v>
      </c>
      <c r="B1939" s="2">
        <v>44938</v>
      </c>
      <c r="C1939" s="1" t="s">
        <v>53</v>
      </c>
      <c r="D1939" s="1" t="s">
        <v>215</v>
      </c>
      <c r="E1939">
        <v>2</v>
      </c>
      <c r="F1939" s="4">
        <v>1882.13</v>
      </c>
      <c r="G1939" s="3">
        <v>0.3</v>
      </c>
      <c r="H1939" s="4">
        <v>203.69</v>
      </c>
      <c r="I1939" t="str">
        <f>VLOOKUP(orders__17[[#This Row],[Customer_ID]],customers__2[#All],3,0)</f>
        <v>West</v>
      </c>
      <c r="J1939" t="str">
        <f>VLOOKUP(orders__17[[#This Row],[Customer_ID]],customers__2[#All],4,0)</f>
        <v>Home Office</v>
      </c>
      <c r="K1939" t="str">
        <f>VLOOKUP(orders__17[[#This Row],[Product_ID]],products[#All],3,0)</f>
        <v>Furniture</v>
      </c>
      <c r="L1939" s="1" t="str">
        <f>VLOOKUP(orders__17[[#This Row],[Product_ID]],products[#All],4,0)</f>
        <v>Table</v>
      </c>
      <c r="M1939" s="1" t="str">
        <f>VLOOKUP(orders__17[[#This Row],[Order_ID]],returns[#All],2,0)</f>
        <v>No</v>
      </c>
    </row>
    <row r="1940" spans="1:13" x14ac:dyDescent="0.3">
      <c r="A1940" s="1" t="s">
        <v>2246</v>
      </c>
      <c r="B1940" s="2">
        <v>45178</v>
      </c>
      <c r="C1940" s="1" t="s">
        <v>277</v>
      </c>
      <c r="D1940" s="1" t="s">
        <v>28</v>
      </c>
      <c r="E1940">
        <v>4</v>
      </c>
      <c r="F1940" s="4">
        <v>261.7</v>
      </c>
      <c r="G1940" s="3">
        <v>0.2</v>
      </c>
      <c r="H1940" s="4">
        <v>68.39</v>
      </c>
      <c r="I1940" t="str">
        <f>VLOOKUP(orders__17[[#This Row],[Customer_ID]],customers__2[#All],3,0)</f>
        <v>North</v>
      </c>
      <c r="J1940" t="str">
        <f>VLOOKUP(orders__17[[#This Row],[Customer_ID]],customers__2[#All],4,0)</f>
        <v>Corporate</v>
      </c>
      <c r="K1940" t="str">
        <f>VLOOKUP(orders__17[[#This Row],[Product_ID]],products[#All],3,0)</f>
        <v>Office Supplies</v>
      </c>
      <c r="L1940" s="1" t="str">
        <f>VLOOKUP(orders__17[[#This Row],[Product_ID]],products[#All],4,0)</f>
        <v>Storage</v>
      </c>
      <c r="M1940" s="1" t="str">
        <f>VLOOKUP(orders__17[[#This Row],[Order_ID]],returns[#All],2,0)</f>
        <v>No</v>
      </c>
    </row>
    <row r="1941" spans="1:13" x14ac:dyDescent="0.3">
      <c r="A1941" s="1" t="s">
        <v>2247</v>
      </c>
      <c r="B1941" s="2">
        <v>44666</v>
      </c>
      <c r="C1941" s="1" t="s">
        <v>300</v>
      </c>
      <c r="D1941" s="1" t="s">
        <v>770</v>
      </c>
      <c r="E1941">
        <v>2</v>
      </c>
      <c r="F1941" s="4">
        <v>832.64</v>
      </c>
      <c r="G1941" s="3">
        <v>0.3</v>
      </c>
      <c r="H1941" s="4">
        <v>193</v>
      </c>
      <c r="I1941" t="str">
        <f>VLOOKUP(orders__17[[#This Row],[Customer_ID]],customers__2[#All],3,0)</f>
        <v>East</v>
      </c>
      <c r="J1941" t="str">
        <f>VLOOKUP(orders__17[[#This Row],[Customer_ID]],customers__2[#All],4,0)</f>
        <v>Home Office</v>
      </c>
      <c r="K1941" t="str">
        <f>VLOOKUP(orders__17[[#This Row],[Product_ID]],products[#All],3,0)</f>
        <v>Technology</v>
      </c>
      <c r="L1941" s="1" t="str">
        <f>VLOOKUP(orders__17[[#This Row],[Product_ID]],products[#All],4,0)</f>
        <v>Accessories</v>
      </c>
      <c r="M1941" s="1" t="str">
        <f>VLOOKUP(orders__17[[#This Row],[Order_ID]],returns[#All],2,0)</f>
        <v>No</v>
      </c>
    </row>
    <row r="1942" spans="1:13" x14ac:dyDescent="0.3">
      <c r="A1942" s="1" t="s">
        <v>2248</v>
      </c>
      <c r="B1942" s="2">
        <v>45413</v>
      </c>
      <c r="C1942" s="1" t="s">
        <v>285</v>
      </c>
      <c r="D1942" s="1" t="s">
        <v>122</v>
      </c>
      <c r="E1942">
        <v>2</v>
      </c>
      <c r="F1942" s="4">
        <v>234.97</v>
      </c>
      <c r="G1942" s="3">
        <v>0</v>
      </c>
      <c r="H1942" s="4">
        <v>69.36</v>
      </c>
      <c r="I1942" t="str">
        <f>VLOOKUP(orders__17[[#This Row],[Customer_ID]],customers__2[#All],3,0)</f>
        <v>South</v>
      </c>
      <c r="J1942" t="str">
        <f>VLOOKUP(orders__17[[#This Row],[Customer_ID]],customers__2[#All],4,0)</f>
        <v>Corporate</v>
      </c>
      <c r="K1942" t="str">
        <f>VLOOKUP(orders__17[[#This Row],[Product_ID]],products[#All],3,0)</f>
        <v>Office Supplies</v>
      </c>
      <c r="L1942" s="1" t="str">
        <f>VLOOKUP(orders__17[[#This Row],[Product_ID]],products[#All],4,0)</f>
        <v>Storage</v>
      </c>
      <c r="M1942" s="1" t="str">
        <f>VLOOKUP(orders__17[[#This Row],[Order_ID]],returns[#All],2,0)</f>
        <v>No</v>
      </c>
    </row>
    <row r="1943" spans="1:13" x14ac:dyDescent="0.3">
      <c r="A1943" s="1" t="s">
        <v>2249</v>
      </c>
      <c r="B1943" s="2">
        <v>44811</v>
      </c>
      <c r="C1943" s="1" t="s">
        <v>744</v>
      </c>
      <c r="D1943" s="1" t="s">
        <v>369</v>
      </c>
      <c r="E1943">
        <v>1</v>
      </c>
      <c r="F1943" s="4">
        <v>500.51</v>
      </c>
      <c r="G1943" s="3">
        <v>0</v>
      </c>
      <c r="H1943" s="4">
        <v>44.51</v>
      </c>
      <c r="I1943" t="str">
        <f>VLOOKUP(orders__17[[#This Row],[Customer_ID]],customers__2[#All],3,0)</f>
        <v>East</v>
      </c>
      <c r="J1943" t="str">
        <f>VLOOKUP(orders__17[[#This Row],[Customer_ID]],customers__2[#All],4,0)</f>
        <v>Consumer</v>
      </c>
      <c r="K1943" t="str">
        <f>VLOOKUP(orders__17[[#This Row],[Product_ID]],products[#All],3,0)</f>
        <v>Technology</v>
      </c>
      <c r="L1943" s="1" t="str">
        <f>VLOOKUP(orders__17[[#This Row],[Product_ID]],products[#All],4,0)</f>
        <v>Phone</v>
      </c>
      <c r="M1943" s="1" t="str">
        <f>VLOOKUP(orders__17[[#This Row],[Order_ID]],returns[#All],2,0)</f>
        <v>No</v>
      </c>
    </row>
    <row r="1944" spans="1:13" x14ac:dyDescent="0.3">
      <c r="A1944" s="1" t="s">
        <v>2250</v>
      </c>
      <c r="B1944" s="2">
        <v>44745</v>
      </c>
      <c r="C1944" s="1" t="s">
        <v>475</v>
      </c>
      <c r="D1944" s="1" t="s">
        <v>48</v>
      </c>
      <c r="E1944">
        <v>5</v>
      </c>
      <c r="F1944" s="4">
        <v>535.79</v>
      </c>
      <c r="G1944" s="3">
        <v>0</v>
      </c>
      <c r="H1944" s="4">
        <v>57.02</v>
      </c>
      <c r="I1944" t="str">
        <f>VLOOKUP(orders__17[[#This Row],[Customer_ID]],customers__2[#All],3,0)</f>
        <v>South</v>
      </c>
      <c r="J1944" t="str">
        <f>VLOOKUP(orders__17[[#This Row],[Customer_ID]],customers__2[#All],4,0)</f>
        <v>Corporate</v>
      </c>
      <c r="K1944" t="str">
        <f>VLOOKUP(orders__17[[#This Row],[Product_ID]],products[#All],3,0)</f>
        <v>Office Supplies</v>
      </c>
      <c r="L1944" s="1" t="str">
        <f>VLOOKUP(orders__17[[#This Row],[Product_ID]],products[#All],4,0)</f>
        <v>Pen</v>
      </c>
      <c r="M1944" s="1" t="str">
        <f>VLOOKUP(orders__17[[#This Row],[Order_ID]],returns[#All],2,0)</f>
        <v>No</v>
      </c>
    </row>
    <row r="1945" spans="1:13" x14ac:dyDescent="0.3">
      <c r="A1945" s="1" t="s">
        <v>2251</v>
      </c>
      <c r="B1945" s="2">
        <v>44634</v>
      </c>
      <c r="C1945" s="1" t="s">
        <v>662</v>
      </c>
      <c r="D1945" s="1" t="s">
        <v>392</v>
      </c>
      <c r="E1945">
        <v>4</v>
      </c>
      <c r="F1945" s="4">
        <v>991.3</v>
      </c>
      <c r="G1945" s="3">
        <v>0.1</v>
      </c>
      <c r="H1945" s="4">
        <v>102.05</v>
      </c>
      <c r="I1945" t="str">
        <f>VLOOKUP(orders__17[[#This Row],[Customer_ID]],customers__2[#All],3,0)</f>
        <v>North</v>
      </c>
      <c r="J1945" t="str">
        <f>VLOOKUP(orders__17[[#This Row],[Customer_ID]],customers__2[#All],4,0)</f>
        <v>Corporate</v>
      </c>
      <c r="K1945" t="str">
        <f>VLOOKUP(orders__17[[#This Row],[Product_ID]],products[#All],3,0)</f>
        <v>Furniture</v>
      </c>
      <c r="L1945" s="1" t="str">
        <f>VLOOKUP(orders__17[[#This Row],[Product_ID]],products[#All],4,0)</f>
        <v>Desk</v>
      </c>
      <c r="M1945" s="1" t="str">
        <f>VLOOKUP(orders__17[[#This Row],[Order_ID]],returns[#All],2,0)</f>
        <v>No</v>
      </c>
    </row>
    <row r="1946" spans="1:13" x14ac:dyDescent="0.3">
      <c r="A1946" s="1" t="s">
        <v>2252</v>
      </c>
      <c r="B1946" s="2">
        <v>44709</v>
      </c>
      <c r="C1946" s="1" t="s">
        <v>102</v>
      </c>
      <c r="D1946" s="1" t="s">
        <v>757</v>
      </c>
      <c r="E1946">
        <v>2</v>
      </c>
      <c r="F1946" s="4">
        <v>610.27</v>
      </c>
      <c r="G1946" s="3">
        <v>0.3</v>
      </c>
      <c r="H1946" s="4">
        <v>151.43</v>
      </c>
      <c r="I1946" t="str">
        <f>VLOOKUP(orders__17[[#This Row],[Customer_ID]],customers__2[#All],3,0)</f>
        <v>West</v>
      </c>
      <c r="J1946" t="str">
        <f>VLOOKUP(orders__17[[#This Row],[Customer_ID]],customers__2[#All],4,0)</f>
        <v>Corporate</v>
      </c>
      <c r="K1946" t="str">
        <f>VLOOKUP(orders__17[[#This Row],[Product_ID]],products[#All],3,0)</f>
        <v>Office Supplies</v>
      </c>
      <c r="L1946" s="1" t="str">
        <f>VLOOKUP(orders__17[[#This Row],[Product_ID]],products[#All],4,0)</f>
        <v>Pen</v>
      </c>
      <c r="M1946" s="1" t="str">
        <f>VLOOKUP(orders__17[[#This Row],[Order_ID]],returns[#All],2,0)</f>
        <v>Yes</v>
      </c>
    </row>
    <row r="1947" spans="1:13" x14ac:dyDescent="0.3">
      <c r="A1947" s="1" t="s">
        <v>2253</v>
      </c>
      <c r="B1947" s="2">
        <v>45143</v>
      </c>
      <c r="C1947" s="1" t="s">
        <v>208</v>
      </c>
      <c r="D1947" s="1" t="s">
        <v>59</v>
      </c>
      <c r="E1947">
        <v>1</v>
      </c>
      <c r="F1947" s="4">
        <v>291.86</v>
      </c>
      <c r="G1947" s="3">
        <v>0</v>
      </c>
      <c r="H1947" s="4">
        <v>28.23</v>
      </c>
      <c r="I1947" t="str">
        <f>VLOOKUP(orders__17[[#This Row],[Customer_ID]],customers__2[#All],3,0)</f>
        <v>North</v>
      </c>
      <c r="J1947" t="str">
        <f>VLOOKUP(orders__17[[#This Row],[Customer_ID]],customers__2[#All],4,0)</f>
        <v>Home Office</v>
      </c>
      <c r="K1947" t="str">
        <f>VLOOKUP(orders__17[[#This Row],[Product_ID]],products[#All],3,0)</f>
        <v>Office Supplies</v>
      </c>
      <c r="L1947" s="1" t="str">
        <f>VLOOKUP(orders__17[[#This Row],[Product_ID]],products[#All],4,0)</f>
        <v>Paper</v>
      </c>
      <c r="M1947" s="1" t="str">
        <f>VLOOKUP(orders__17[[#This Row],[Order_ID]],returns[#All],2,0)</f>
        <v>No</v>
      </c>
    </row>
    <row r="1948" spans="1:13" x14ac:dyDescent="0.3">
      <c r="A1948" s="1" t="s">
        <v>2254</v>
      </c>
      <c r="B1948" s="2">
        <v>44922</v>
      </c>
      <c r="C1948" s="1" t="s">
        <v>27</v>
      </c>
      <c r="D1948" s="1" t="s">
        <v>392</v>
      </c>
      <c r="E1948">
        <v>3</v>
      </c>
      <c r="F1948" s="4">
        <v>418.23</v>
      </c>
      <c r="G1948" s="3">
        <v>0.3</v>
      </c>
      <c r="H1948" s="4">
        <v>27.88</v>
      </c>
      <c r="I1948" t="str">
        <f>VLOOKUP(orders__17[[#This Row],[Customer_ID]],customers__2[#All],3,0)</f>
        <v>North</v>
      </c>
      <c r="J1948" t="str">
        <f>VLOOKUP(orders__17[[#This Row],[Customer_ID]],customers__2[#All],4,0)</f>
        <v>Consumer</v>
      </c>
      <c r="K1948" t="str">
        <f>VLOOKUP(orders__17[[#This Row],[Product_ID]],products[#All],3,0)</f>
        <v>Furniture</v>
      </c>
      <c r="L1948" s="1" t="str">
        <f>VLOOKUP(orders__17[[#This Row],[Product_ID]],products[#All],4,0)</f>
        <v>Desk</v>
      </c>
      <c r="M1948" s="1" t="str">
        <f>VLOOKUP(orders__17[[#This Row],[Order_ID]],returns[#All],2,0)</f>
        <v>No</v>
      </c>
    </row>
    <row r="1949" spans="1:13" x14ac:dyDescent="0.3">
      <c r="A1949" s="1" t="s">
        <v>2255</v>
      </c>
      <c r="B1949" s="2">
        <v>45128</v>
      </c>
      <c r="C1949" s="1" t="s">
        <v>24</v>
      </c>
      <c r="D1949" s="1" t="s">
        <v>51</v>
      </c>
      <c r="E1949">
        <v>4</v>
      </c>
      <c r="F1949" s="4">
        <v>379.82</v>
      </c>
      <c r="G1949" s="3">
        <v>0.2</v>
      </c>
      <c r="H1949" s="4">
        <v>113.81</v>
      </c>
      <c r="I1949" t="str">
        <f>VLOOKUP(orders__17[[#This Row],[Customer_ID]],customers__2[#All],3,0)</f>
        <v>North</v>
      </c>
      <c r="J1949" t="str">
        <f>VLOOKUP(orders__17[[#This Row],[Customer_ID]],customers__2[#All],4,0)</f>
        <v>Consumer</v>
      </c>
      <c r="K1949" t="str">
        <f>VLOOKUP(orders__17[[#This Row],[Product_ID]],products[#All],3,0)</f>
        <v>Office Supplies</v>
      </c>
      <c r="L1949" s="1" t="str">
        <f>VLOOKUP(orders__17[[#This Row],[Product_ID]],products[#All],4,0)</f>
        <v>Pen</v>
      </c>
      <c r="M1949" s="1" t="str">
        <f>VLOOKUP(orders__17[[#This Row],[Order_ID]],returns[#All],2,0)</f>
        <v>Yes</v>
      </c>
    </row>
    <row r="1950" spans="1:13" x14ac:dyDescent="0.3">
      <c r="A1950" s="1" t="s">
        <v>2256</v>
      </c>
      <c r="B1950" s="2">
        <v>45192</v>
      </c>
      <c r="C1950" s="1" t="s">
        <v>843</v>
      </c>
      <c r="D1950" s="1" t="s">
        <v>218</v>
      </c>
      <c r="E1950">
        <v>2</v>
      </c>
      <c r="F1950" s="4">
        <v>1948.85</v>
      </c>
      <c r="G1950" s="3">
        <v>0.2</v>
      </c>
      <c r="H1950" s="4">
        <v>109.53</v>
      </c>
      <c r="I1950" t="str">
        <f>VLOOKUP(orders__17[[#This Row],[Customer_ID]],customers__2[#All],3,0)</f>
        <v>North</v>
      </c>
      <c r="J1950" t="str">
        <f>VLOOKUP(orders__17[[#This Row],[Customer_ID]],customers__2[#All],4,0)</f>
        <v>Consumer</v>
      </c>
      <c r="K1950" t="str">
        <f>VLOOKUP(orders__17[[#This Row],[Product_ID]],products[#All],3,0)</f>
        <v>Office Supplies</v>
      </c>
      <c r="L1950" s="1" t="str">
        <f>VLOOKUP(orders__17[[#This Row],[Product_ID]],products[#All],4,0)</f>
        <v>Storage</v>
      </c>
      <c r="M1950" s="1" t="str">
        <f>VLOOKUP(orders__17[[#This Row],[Order_ID]],returns[#All],2,0)</f>
        <v>No</v>
      </c>
    </row>
    <row r="1951" spans="1:13" x14ac:dyDescent="0.3">
      <c r="A1951" s="1" t="s">
        <v>2257</v>
      </c>
      <c r="B1951" s="2">
        <v>45375</v>
      </c>
      <c r="C1951" s="1" t="s">
        <v>113</v>
      </c>
      <c r="D1951" s="1" t="s">
        <v>188</v>
      </c>
      <c r="E1951">
        <v>5</v>
      </c>
      <c r="F1951" s="4">
        <v>1542.66</v>
      </c>
      <c r="G1951" s="3">
        <v>0</v>
      </c>
      <c r="H1951" s="4">
        <v>399.26</v>
      </c>
      <c r="I1951" t="str">
        <f>VLOOKUP(orders__17[[#This Row],[Customer_ID]],customers__2[#All],3,0)</f>
        <v>West</v>
      </c>
      <c r="J1951" t="str">
        <f>VLOOKUP(orders__17[[#This Row],[Customer_ID]],customers__2[#All],4,0)</f>
        <v>Consumer</v>
      </c>
      <c r="K1951" t="str">
        <f>VLOOKUP(orders__17[[#This Row],[Product_ID]],products[#All],3,0)</f>
        <v>Technology</v>
      </c>
      <c r="L1951" s="1" t="str">
        <f>VLOOKUP(orders__17[[#This Row],[Product_ID]],products[#All],4,0)</f>
        <v>Laptop</v>
      </c>
      <c r="M1951" s="1" t="str">
        <f>VLOOKUP(orders__17[[#This Row],[Order_ID]],returns[#All],2,0)</f>
        <v>No</v>
      </c>
    </row>
    <row r="1952" spans="1:13" x14ac:dyDescent="0.3">
      <c r="A1952" s="1" t="s">
        <v>2258</v>
      </c>
      <c r="B1952" s="2">
        <v>44902</v>
      </c>
      <c r="C1952" s="1" t="s">
        <v>282</v>
      </c>
      <c r="D1952" s="1" t="s">
        <v>132</v>
      </c>
      <c r="E1952">
        <v>1</v>
      </c>
      <c r="F1952" s="4">
        <v>1938.75</v>
      </c>
      <c r="G1952" s="3">
        <v>0.3</v>
      </c>
      <c r="H1952" s="4">
        <v>274.02999999999997</v>
      </c>
      <c r="I1952" t="str">
        <f>VLOOKUP(orders__17[[#This Row],[Customer_ID]],customers__2[#All],3,0)</f>
        <v>South</v>
      </c>
      <c r="J1952" t="str">
        <f>VLOOKUP(orders__17[[#This Row],[Customer_ID]],customers__2[#All],4,0)</f>
        <v>Home Office</v>
      </c>
      <c r="K1952" t="str">
        <f>VLOOKUP(orders__17[[#This Row],[Product_ID]],products[#All],3,0)</f>
        <v>Furniture</v>
      </c>
      <c r="L1952" s="1" t="str">
        <f>VLOOKUP(orders__17[[#This Row],[Product_ID]],products[#All],4,0)</f>
        <v>Shelf</v>
      </c>
      <c r="M1952" s="1" t="str">
        <f>VLOOKUP(orders__17[[#This Row],[Order_ID]],returns[#All],2,0)</f>
        <v>No</v>
      </c>
    </row>
    <row r="1953" spans="1:13" x14ac:dyDescent="0.3">
      <c r="A1953" s="1" t="s">
        <v>2259</v>
      </c>
      <c r="B1953" s="2">
        <v>45425</v>
      </c>
      <c r="C1953" s="1" t="s">
        <v>336</v>
      </c>
      <c r="D1953" s="1" t="s">
        <v>727</v>
      </c>
      <c r="E1953">
        <v>2</v>
      </c>
      <c r="F1953" s="4">
        <v>935.51</v>
      </c>
      <c r="G1953" s="3">
        <v>0</v>
      </c>
      <c r="H1953" s="4">
        <v>243.61</v>
      </c>
      <c r="I1953" t="str">
        <f>VLOOKUP(orders__17[[#This Row],[Customer_ID]],customers__2[#All],3,0)</f>
        <v>South</v>
      </c>
      <c r="J1953" t="str">
        <f>VLOOKUP(orders__17[[#This Row],[Customer_ID]],customers__2[#All],4,0)</f>
        <v>Consumer</v>
      </c>
      <c r="K1953" t="str">
        <f>VLOOKUP(orders__17[[#This Row],[Product_ID]],products[#All],3,0)</f>
        <v>Furniture</v>
      </c>
      <c r="L1953" s="1" t="str">
        <f>VLOOKUP(orders__17[[#This Row],[Product_ID]],products[#All],4,0)</f>
        <v>Chair</v>
      </c>
      <c r="M1953" s="1" t="str">
        <f>VLOOKUP(orders__17[[#This Row],[Order_ID]],returns[#All],2,0)</f>
        <v>No</v>
      </c>
    </row>
    <row r="1954" spans="1:13" x14ac:dyDescent="0.3">
      <c r="A1954" s="1" t="s">
        <v>2260</v>
      </c>
      <c r="B1954" s="2">
        <v>45113</v>
      </c>
      <c r="C1954" s="1" t="s">
        <v>136</v>
      </c>
      <c r="D1954" s="1" t="s">
        <v>163</v>
      </c>
      <c r="E1954">
        <v>5</v>
      </c>
      <c r="F1954" s="4">
        <v>628.9</v>
      </c>
      <c r="G1954" s="3">
        <v>0.2</v>
      </c>
      <c r="H1954" s="4">
        <v>118.65</v>
      </c>
      <c r="I1954" t="str">
        <f>VLOOKUP(orders__17[[#This Row],[Customer_ID]],customers__2[#All],3,0)</f>
        <v>West</v>
      </c>
      <c r="J1954" t="str">
        <f>VLOOKUP(orders__17[[#This Row],[Customer_ID]],customers__2[#All],4,0)</f>
        <v>Consumer</v>
      </c>
      <c r="K1954" t="str">
        <f>VLOOKUP(orders__17[[#This Row],[Product_ID]],products[#All],3,0)</f>
        <v>Furniture</v>
      </c>
      <c r="L1954" s="1" t="str">
        <f>VLOOKUP(orders__17[[#This Row],[Product_ID]],products[#All],4,0)</f>
        <v>Table</v>
      </c>
      <c r="M1954" s="1" t="str">
        <f>VLOOKUP(orders__17[[#This Row],[Order_ID]],returns[#All],2,0)</f>
        <v>No</v>
      </c>
    </row>
    <row r="1955" spans="1:13" x14ac:dyDescent="0.3">
      <c r="A1955" s="1" t="s">
        <v>2261</v>
      </c>
      <c r="B1955" s="2">
        <v>45443</v>
      </c>
      <c r="C1955" s="1" t="s">
        <v>12</v>
      </c>
      <c r="D1955" s="1" t="s">
        <v>147</v>
      </c>
      <c r="E1955">
        <v>2</v>
      </c>
      <c r="F1955" s="4">
        <v>1616.76</v>
      </c>
      <c r="G1955" s="3">
        <v>0</v>
      </c>
      <c r="H1955" s="4">
        <v>445.27</v>
      </c>
      <c r="I1955" t="str">
        <f>VLOOKUP(orders__17[[#This Row],[Customer_ID]],customers__2[#All],3,0)</f>
        <v>West</v>
      </c>
      <c r="J1955" t="str">
        <f>VLOOKUP(orders__17[[#This Row],[Customer_ID]],customers__2[#All],4,0)</f>
        <v>Home Office</v>
      </c>
      <c r="K1955" t="str">
        <f>VLOOKUP(orders__17[[#This Row],[Product_ID]],products[#All],3,0)</f>
        <v>Technology</v>
      </c>
      <c r="L1955" s="1" t="str">
        <f>VLOOKUP(orders__17[[#This Row],[Product_ID]],products[#All],4,0)</f>
        <v>Laptop</v>
      </c>
      <c r="M1955" s="1" t="str">
        <f>VLOOKUP(orders__17[[#This Row],[Order_ID]],returns[#All],2,0)</f>
        <v>Yes</v>
      </c>
    </row>
    <row r="1956" spans="1:13" x14ac:dyDescent="0.3">
      <c r="A1956" s="1" t="s">
        <v>2262</v>
      </c>
      <c r="B1956" s="2">
        <v>45457</v>
      </c>
      <c r="C1956" s="1" t="s">
        <v>482</v>
      </c>
      <c r="D1956" s="1" t="s">
        <v>100</v>
      </c>
      <c r="E1956">
        <v>4</v>
      </c>
      <c r="F1956" s="4">
        <v>719.88</v>
      </c>
      <c r="G1956" s="3">
        <v>0.3</v>
      </c>
      <c r="H1956" s="4">
        <v>202.68</v>
      </c>
      <c r="I1956" t="str">
        <f>VLOOKUP(orders__17[[#This Row],[Customer_ID]],customers__2[#All],3,0)</f>
        <v>North</v>
      </c>
      <c r="J1956" t="str">
        <f>VLOOKUP(orders__17[[#This Row],[Customer_ID]],customers__2[#All],4,0)</f>
        <v>Consumer</v>
      </c>
      <c r="K1956" t="str">
        <f>VLOOKUP(orders__17[[#This Row],[Product_ID]],products[#All],3,0)</f>
        <v>Technology</v>
      </c>
      <c r="L1956" s="1" t="str">
        <f>VLOOKUP(orders__17[[#This Row],[Product_ID]],products[#All],4,0)</f>
        <v>Laptop</v>
      </c>
      <c r="M1956" s="1" t="str">
        <f>VLOOKUP(orders__17[[#This Row],[Order_ID]],returns[#All],2,0)</f>
        <v>No</v>
      </c>
    </row>
    <row r="1957" spans="1:13" x14ac:dyDescent="0.3">
      <c r="A1957" s="1" t="s">
        <v>2263</v>
      </c>
      <c r="B1957" s="2">
        <v>45203</v>
      </c>
      <c r="C1957" s="1" t="s">
        <v>82</v>
      </c>
      <c r="D1957" s="1" t="s">
        <v>45</v>
      </c>
      <c r="E1957">
        <v>4</v>
      </c>
      <c r="F1957" s="4">
        <v>668.83</v>
      </c>
      <c r="G1957" s="3">
        <v>0.2</v>
      </c>
      <c r="H1957" s="4">
        <v>34.96</v>
      </c>
      <c r="I1957" t="str">
        <f>VLOOKUP(orders__17[[#This Row],[Customer_ID]],customers__2[#All],3,0)</f>
        <v>East</v>
      </c>
      <c r="J1957" t="str">
        <f>VLOOKUP(orders__17[[#This Row],[Customer_ID]],customers__2[#All],4,0)</f>
        <v>Corporate</v>
      </c>
      <c r="K1957" t="str">
        <f>VLOOKUP(orders__17[[#This Row],[Product_ID]],products[#All],3,0)</f>
        <v>Office Supplies</v>
      </c>
      <c r="L1957" s="1" t="str">
        <f>VLOOKUP(orders__17[[#This Row],[Product_ID]],products[#All],4,0)</f>
        <v>Pen</v>
      </c>
      <c r="M1957" s="1" t="str">
        <f>VLOOKUP(orders__17[[#This Row],[Order_ID]],returns[#All],2,0)</f>
        <v>No</v>
      </c>
    </row>
    <row r="1958" spans="1:13" x14ac:dyDescent="0.3">
      <c r="A1958" s="1" t="s">
        <v>2264</v>
      </c>
      <c r="B1958" s="2">
        <v>44589</v>
      </c>
      <c r="C1958" s="1" t="s">
        <v>355</v>
      </c>
      <c r="D1958" s="1" t="s">
        <v>141</v>
      </c>
      <c r="E1958">
        <v>4</v>
      </c>
      <c r="F1958" s="4">
        <v>541.76</v>
      </c>
      <c r="G1958" s="3">
        <v>0.1</v>
      </c>
      <c r="H1958" s="4">
        <v>37.299999999999997</v>
      </c>
      <c r="I1958" t="str">
        <f>VLOOKUP(orders__17[[#This Row],[Customer_ID]],customers__2[#All],3,0)</f>
        <v>South</v>
      </c>
      <c r="J1958" t="str">
        <f>VLOOKUP(orders__17[[#This Row],[Customer_ID]],customers__2[#All],4,0)</f>
        <v>Home Office</v>
      </c>
      <c r="K1958" t="str">
        <f>VLOOKUP(orders__17[[#This Row],[Product_ID]],products[#All],3,0)</f>
        <v>Technology</v>
      </c>
      <c r="L1958" s="1" t="str">
        <f>VLOOKUP(orders__17[[#This Row],[Product_ID]],products[#All],4,0)</f>
        <v>Phone</v>
      </c>
      <c r="M1958" s="1" t="str">
        <f>VLOOKUP(orders__17[[#This Row],[Order_ID]],returns[#All],2,0)</f>
        <v>No</v>
      </c>
    </row>
    <row r="1959" spans="1:13" x14ac:dyDescent="0.3">
      <c r="A1959" s="1" t="s">
        <v>2265</v>
      </c>
      <c r="B1959" s="2">
        <v>45216</v>
      </c>
      <c r="C1959" s="1" t="s">
        <v>537</v>
      </c>
      <c r="D1959" s="1" t="s">
        <v>301</v>
      </c>
      <c r="E1959">
        <v>1</v>
      </c>
      <c r="F1959" s="4">
        <v>346.39</v>
      </c>
      <c r="G1959" s="3">
        <v>0.2</v>
      </c>
      <c r="H1959" s="4">
        <v>39</v>
      </c>
      <c r="I1959" t="str">
        <f>VLOOKUP(orders__17[[#This Row],[Customer_ID]],customers__2[#All],3,0)</f>
        <v>West</v>
      </c>
      <c r="J1959" t="str">
        <f>VLOOKUP(orders__17[[#This Row],[Customer_ID]],customers__2[#All],4,0)</f>
        <v>Consumer</v>
      </c>
      <c r="K1959" t="str">
        <f>VLOOKUP(orders__17[[#This Row],[Product_ID]],products[#All],3,0)</f>
        <v>Furniture</v>
      </c>
      <c r="L1959" s="1" t="str">
        <f>VLOOKUP(orders__17[[#This Row],[Product_ID]],products[#All],4,0)</f>
        <v>Table</v>
      </c>
      <c r="M1959" s="1" t="str">
        <f>VLOOKUP(orders__17[[#This Row],[Order_ID]],returns[#All],2,0)</f>
        <v>No</v>
      </c>
    </row>
    <row r="1960" spans="1:13" x14ac:dyDescent="0.3">
      <c r="A1960" s="1" t="s">
        <v>2266</v>
      </c>
      <c r="B1960" s="2">
        <v>45358</v>
      </c>
      <c r="C1960" s="1" t="s">
        <v>36</v>
      </c>
      <c r="D1960" s="1" t="s">
        <v>372</v>
      </c>
      <c r="E1960">
        <v>4</v>
      </c>
      <c r="F1960" s="4">
        <v>587.28</v>
      </c>
      <c r="G1960" s="3">
        <v>0.1</v>
      </c>
      <c r="H1960" s="4">
        <v>127.63</v>
      </c>
      <c r="I1960" t="str">
        <f>VLOOKUP(orders__17[[#This Row],[Customer_ID]],customers__2[#All],3,0)</f>
        <v>North</v>
      </c>
      <c r="J1960" t="str">
        <f>VLOOKUP(orders__17[[#This Row],[Customer_ID]],customers__2[#All],4,0)</f>
        <v>Consumer</v>
      </c>
      <c r="K1960" t="str">
        <f>VLOOKUP(orders__17[[#This Row],[Product_ID]],products[#All],3,0)</f>
        <v>Furniture</v>
      </c>
      <c r="L1960" s="1" t="str">
        <f>VLOOKUP(orders__17[[#This Row],[Product_ID]],products[#All],4,0)</f>
        <v>Shelf</v>
      </c>
      <c r="M1960" s="1" t="str">
        <f>VLOOKUP(orders__17[[#This Row],[Order_ID]],returns[#All],2,0)</f>
        <v>Yes</v>
      </c>
    </row>
    <row r="1961" spans="1:13" x14ac:dyDescent="0.3">
      <c r="A1961" s="1" t="s">
        <v>2267</v>
      </c>
      <c r="B1961" s="2">
        <v>45150</v>
      </c>
      <c r="C1961" s="1" t="s">
        <v>252</v>
      </c>
      <c r="D1961" s="1" t="s">
        <v>392</v>
      </c>
      <c r="E1961">
        <v>5</v>
      </c>
      <c r="F1961" s="4">
        <v>775.11</v>
      </c>
      <c r="G1961" s="3">
        <v>0</v>
      </c>
      <c r="H1961" s="4">
        <v>210.88</v>
      </c>
      <c r="I1961" t="str">
        <f>VLOOKUP(orders__17[[#This Row],[Customer_ID]],customers__2[#All],3,0)</f>
        <v>North</v>
      </c>
      <c r="J1961" t="str">
        <f>VLOOKUP(orders__17[[#This Row],[Customer_ID]],customers__2[#All],4,0)</f>
        <v>Home Office</v>
      </c>
      <c r="K1961" t="str">
        <f>VLOOKUP(orders__17[[#This Row],[Product_ID]],products[#All],3,0)</f>
        <v>Furniture</v>
      </c>
      <c r="L1961" s="1" t="str">
        <f>VLOOKUP(orders__17[[#This Row],[Product_ID]],products[#All],4,0)</f>
        <v>Desk</v>
      </c>
      <c r="M1961" s="1" t="str">
        <f>VLOOKUP(orders__17[[#This Row],[Order_ID]],returns[#All],2,0)</f>
        <v>No</v>
      </c>
    </row>
    <row r="1962" spans="1:13" x14ac:dyDescent="0.3">
      <c r="A1962" s="1" t="s">
        <v>2268</v>
      </c>
      <c r="B1962" s="2">
        <v>45311</v>
      </c>
      <c r="C1962" s="1" t="s">
        <v>217</v>
      </c>
      <c r="D1962" s="1" t="s">
        <v>156</v>
      </c>
      <c r="E1962">
        <v>2</v>
      </c>
      <c r="F1962" s="4">
        <v>1380.59</v>
      </c>
      <c r="G1962" s="3">
        <v>0</v>
      </c>
      <c r="H1962" s="4">
        <v>227.78</v>
      </c>
      <c r="I1962" t="str">
        <f>VLOOKUP(orders__17[[#This Row],[Customer_ID]],customers__2[#All],3,0)</f>
        <v>East</v>
      </c>
      <c r="J1962" t="str">
        <f>VLOOKUP(orders__17[[#This Row],[Customer_ID]],customers__2[#All],4,0)</f>
        <v>Corporate</v>
      </c>
      <c r="K1962" t="str">
        <f>VLOOKUP(orders__17[[#This Row],[Product_ID]],products[#All],3,0)</f>
        <v>Furniture</v>
      </c>
      <c r="L1962" s="1" t="str">
        <f>VLOOKUP(orders__17[[#This Row],[Product_ID]],products[#All],4,0)</f>
        <v>Desk</v>
      </c>
      <c r="M1962" s="1" t="str">
        <f>VLOOKUP(orders__17[[#This Row],[Order_ID]],returns[#All],2,0)</f>
        <v>No</v>
      </c>
    </row>
    <row r="1963" spans="1:13" x14ac:dyDescent="0.3">
      <c r="A1963" s="1" t="s">
        <v>2269</v>
      </c>
      <c r="B1963" s="2">
        <v>45138</v>
      </c>
      <c r="C1963" s="1" t="s">
        <v>526</v>
      </c>
      <c r="D1963" s="1" t="s">
        <v>304</v>
      </c>
      <c r="E1963">
        <v>3</v>
      </c>
      <c r="F1963" s="4">
        <v>218.87</v>
      </c>
      <c r="G1963" s="3">
        <v>0.3</v>
      </c>
      <c r="H1963" s="4">
        <v>44.16</v>
      </c>
      <c r="I1963" t="str">
        <f>VLOOKUP(orders__17[[#This Row],[Customer_ID]],customers__2[#All],3,0)</f>
        <v>West</v>
      </c>
      <c r="J1963" t="str">
        <f>VLOOKUP(orders__17[[#This Row],[Customer_ID]],customers__2[#All],4,0)</f>
        <v>Corporate</v>
      </c>
      <c r="K1963" t="str">
        <f>VLOOKUP(orders__17[[#This Row],[Product_ID]],products[#All],3,0)</f>
        <v>Technology</v>
      </c>
      <c r="L1963" s="1" t="str">
        <f>VLOOKUP(orders__17[[#This Row],[Product_ID]],products[#All],4,0)</f>
        <v>Accessories</v>
      </c>
      <c r="M1963" s="1" t="str">
        <f>VLOOKUP(orders__17[[#This Row],[Order_ID]],returns[#All],2,0)</f>
        <v>No</v>
      </c>
    </row>
    <row r="1964" spans="1:13" x14ac:dyDescent="0.3">
      <c r="A1964" s="1" t="s">
        <v>2270</v>
      </c>
      <c r="B1964" s="2">
        <v>44872</v>
      </c>
      <c r="C1964" s="1" t="s">
        <v>391</v>
      </c>
      <c r="D1964" s="1" t="s">
        <v>177</v>
      </c>
      <c r="E1964">
        <v>5</v>
      </c>
      <c r="F1964" s="4">
        <v>499.96</v>
      </c>
      <c r="G1964" s="3">
        <v>0.1</v>
      </c>
      <c r="H1964" s="4">
        <v>48.56</v>
      </c>
      <c r="I1964" t="str">
        <f>VLOOKUP(orders__17[[#This Row],[Customer_ID]],customers__2[#All],3,0)</f>
        <v>West</v>
      </c>
      <c r="J1964" t="str">
        <f>VLOOKUP(orders__17[[#This Row],[Customer_ID]],customers__2[#All],4,0)</f>
        <v>Corporate</v>
      </c>
      <c r="K1964" t="str">
        <f>VLOOKUP(orders__17[[#This Row],[Product_ID]],products[#All],3,0)</f>
        <v>Furniture</v>
      </c>
      <c r="L1964" s="1" t="str">
        <f>VLOOKUP(orders__17[[#This Row],[Product_ID]],products[#All],4,0)</f>
        <v>Table</v>
      </c>
      <c r="M1964" s="1" t="str">
        <f>VLOOKUP(orders__17[[#This Row],[Order_ID]],returns[#All],2,0)</f>
        <v>No</v>
      </c>
    </row>
    <row r="1965" spans="1:13" x14ac:dyDescent="0.3">
      <c r="A1965" s="1" t="s">
        <v>2271</v>
      </c>
      <c r="B1965" s="2">
        <v>45207</v>
      </c>
      <c r="C1965" s="1" t="s">
        <v>165</v>
      </c>
      <c r="D1965" s="1" t="s">
        <v>83</v>
      </c>
      <c r="E1965">
        <v>5</v>
      </c>
      <c r="F1965" s="4">
        <v>1637.14</v>
      </c>
      <c r="G1965" s="3">
        <v>0</v>
      </c>
      <c r="H1965" s="4">
        <v>411.32</v>
      </c>
      <c r="I1965" t="str">
        <f>VLOOKUP(orders__17[[#This Row],[Customer_ID]],customers__2[#All],3,0)</f>
        <v>West</v>
      </c>
      <c r="J1965" t="str">
        <f>VLOOKUP(orders__17[[#This Row],[Customer_ID]],customers__2[#All],4,0)</f>
        <v>Corporate</v>
      </c>
      <c r="K1965" t="str">
        <f>VLOOKUP(orders__17[[#This Row],[Product_ID]],products[#All],3,0)</f>
        <v>Furniture</v>
      </c>
      <c r="L1965" s="1" t="str">
        <f>VLOOKUP(orders__17[[#This Row],[Product_ID]],products[#All],4,0)</f>
        <v>Table</v>
      </c>
      <c r="M1965" s="1" t="str">
        <f>VLOOKUP(orders__17[[#This Row],[Order_ID]],returns[#All],2,0)</f>
        <v>No</v>
      </c>
    </row>
    <row r="1966" spans="1:13" x14ac:dyDescent="0.3">
      <c r="A1966" s="1" t="s">
        <v>2272</v>
      </c>
      <c r="B1966" s="2">
        <v>45244</v>
      </c>
      <c r="C1966" s="1" t="s">
        <v>85</v>
      </c>
      <c r="D1966" s="1" t="s">
        <v>72</v>
      </c>
      <c r="E1966">
        <v>4</v>
      </c>
      <c r="F1966" s="4">
        <v>379.15</v>
      </c>
      <c r="G1966" s="3">
        <v>0.1</v>
      </c>
      <c r="H1966" s="4">
        <v>110.65</v>
      </c>
      <c r="I1966" t="str">
        <f>VLOOKUP(orders__17[[#This Row],[Customer_ID]],customers__2[#All],3,0)</f>
        <v>East</v>
      </c>
      <c r="J1966" t="str">
        <f>VLOOKUP(orders__17[[#This Row],[Customer_ID]],customers__2[#All],4,0)</f>
        <v>Corporate</v>
      </c>
      <c r="K1966" t="str">
        <f>VLOOKUP(orders__17[[#This Row],[Product_ID]],products[#All],3,0)</f>
        <v>Furniture</v>
      </c>
      <c r="L1966" s="1" t="str">
        <f>VLOOKUP(orders__17[[#This Row],[Product_ID]],products[#All],4,0)</f>
        <v>Chair</v>
      </c>
      <c r="M1966" s="1" t="str">
        <f>VLOOKUP(orders__17[[#This Row],[Order_ID]],returns[#All],2,0)</f>
        <v>No</v>
      </c>
    </row>
    <row r="1967" spans="1:13" x14ac:dyDescent="0.3">
      <c r="A1967" s="1" t="s">
        <v>2273</v>
      </c>
      <c r="B1967" s="2">
        <v>45207</v>
      </c>
      <c r="C1967" s="1" t="s">
        <v>238</v>
      </c>
      <c r="D1967" s="1" t="s">
        <v>86</v>
      </c>
      <c r="E1967">
        <v>1</v>
      </c>
      <c r="F1967" s="4">
        <v>751.03</v>
      </c>
      <c r="G1967" s="3">
        <v>0</v>
      </c>
      <c r="H1967" s="4">
        <v>87.98</v>
      </c>
      <c r="I1967" t="str">
        <f>VLOOKUP(orders__17[[#This Row],[Customer_ID]],customers__2[#All],3,0)</f>
        <v>West</v>
      </c>
      <c r="J1967" t="str">
        <f>VLOOKUP(orders__17[[#This Row],[Customer_ID]],customers__2[#All],4,0)</f>
        <v>Corporate</v>
      </c>
      <c r="K1967" t="str">
        <f>VLOOKUP(orders__17[[#This Row],[Product_ID]],products[#All],3,0)</f>
        <v>Furniture</v>
      </c>
      <c r="L1967" s="1" t="str">
        <f>VLOOKUP(orders__17[[#This Row],[Product_ID]],products[#All],4,0)</f>
        <v>Table</v>
      </c>
      <c r="M1967" s="1" t="str">
        <f>VLOOKUP(orders__17[[#This Row],[Order_ID]],returns[#All],2,0)</f>
        <v>No</v>
      </c>
    </row>
    <row r="1968" spans="1:13" x14ac:dyDescent="0.3">
      <c r="A1968" s="1" t="s">
        <v>2274</v>
      </c>
      <c r="B1968" s="2">
        <v>45211</v>
      </c>
      <c r="C1968" s="1" t="s">
        <v>179</v>
      </c>
      <c r="D1968" s="1" t="s">
        <v>75</v>
      </c>
      <c r="E1968">
        <v>2</v>
      </c>
      <c r="F1968" s="4">
        <v>1742.85</v>
      </c>
      <c r="G1968" s="3">
        <v>0.2</v>
      </c>
      <c r="H1968" s="4">
        <v>302.74</v>
      </c>
      <c r="I1968" t="str">
        <f>VLOOKUP(orders__17[[#This Row],[Customer_ID]],customers__2[#All],3,0)</f>
        <v>North</v>
      </c>
      <c r="J1968" t="str">
        <f>VLOOKUP(orders__17[[#This Row],[Customer_ID]],customers__2[#All],4,0)</f>
        <v>Consumer</v>
      </c>
      <c r="K1968" t="str">
        <f>VLOOKUP(orders__17[[#This Row],[Product_ID]],products[#All],3,0)</f>
        <v>Technology</v>
      </c>
      <c r="L1968" s="1" t="str">
        <f>VLOOKUP(orders__17[[#This Row],[Product_ID]],products[#All],4,0)</f>
        <v>Tablet</v>
      </c>
      <c r="M1968" s="1" t="str">
        <f>VLOOKUP(orders__17[[#This Row],[Order_ID]],returns[#All],2,0)</f>
        <v>No</v>
      </c>
    </row>
    <row r="1969" spans="1:13" x14ac:dyDescent="0.3">
      <c r="A1969" s="1" t="s">
        <v>2275</v>
      </c>
      <c r="B1969" s="2">
        <v>45302</v>
      </c>
      <c r="C1969" s="1" t="s">
        <v>744</v>
      </c>
      <c r="D1969" s="1" t="s">
        <v>109</v>
      </c>
      <c r="E1969">
        <v>1</v>
      </c>
      <c r="F1969" s="4">
        <v>394.36</v>
      </c>
      <c r="G1969" s="3">
        <v>0</v>
      </c>
      <c r="H1969" s="4">
        <v>28.21</v>
      </c>
      <c r="I1969" t="str">
        <f>VLOOKUP(orders__17[[#This Row],[Customer_ID]],customers__2[#All],3,0)</f>
        <v>East</v>
      </c>
      <c r="J1969" t="str">
        <f>VLOOKUP(orders__17[[#This Row],[Customer_ID]],customers__2[#All],4,0)</f>
        <v>Consumer</v>
      </c>
      <c r="K1969" t="str">
        <f>VLOOKUP(orders__17[[#This Row],[Product_ID]],products[#All],3,0)</f>
        <v>Furniture</v>
      </c>
      <c r="L1969" s="1" t="str">
        <f>VLOOKUP(orders__17[[#This Row],[Product_ID]],products[#All],4,0)</f>
        <v>Chair</v>
      </c>
      <c r="M1969" s="1" t="str">
        <f>VLOOKUP(orders__17[[#This Row],[Order_ID]],returns[#All],2,0)</f>
        <v>No</v>
      </c>
    </row>
    <row r="1970" spans="1:13" x14ac:dyDescent="0.3">
      <c r="A1970" s="1" t="s">
        <v>2276</v>
      </c>
      <c r="B1970" s="2">
        <v>44900</v>
      </c>
      <c r="C1970" s="1" t="s">
        <v>494</v>
      </c>
      <c r="D1970" s="1" t="s">
        <v>22</v>
      </c>
      <c r="E1970">
        <v>2</v>
      </c>
      <c r="F1970" s="4">
        <v>257.2</v>
      </c>
      <c r="G1970" s="3">
        <v>0.3</v>
      </c>
      <c r="H1970" s="4">
        <v>48.81</v>
      </c>
      <c r="I1970" t="str">
        <f>VLOOKUP(orders__17[[#This Row],[Customer_ID]],customers__2[#All],3,0)</f>
        <v>South</v>
      </c>
      <c r="J1970" t="str">
        <f>VLOOKUP(orders__17[[#This Row],[Customer_ID]],customers__2[#All],4,0)</f>
        <v>Home Office</v>
      </c>
      <c r="K1970" t="str">
        <f>VLOOKUP(orders__17[[#This Row],[Product_ID]],products[#All],3,0)</f>
        <v>Furniture</v>
      </c>
      <c r="L1970" s="1" t="str">
        <f>VLOOKUP(orders__17[[#This Row],[Product_ID]],products[#All],4,0)</f>
        <v>Chair</v>
      </c>
      <c r="M1970" s="1" t="str">
        <f>VLOOKUP(orders__17[[#This Row],[Order_ID]],returns[#All],2,0)</f>
        <v>No</v>
      </c>
    </row>
    <row r="1971" spans="1:13" x14ac:dyDescent="0.3">
      <c r="A1971" s="1" t="s">
        <v>2277</v>
      </c>
      <c r="B1971" s="2">
        <v>45457</v>
      </c>
      <c r="C1971" s="1" t="s">
        <v>425</v>
      </c>
      <c r="D1971" s="1" t="s">
        <v>215</v>
      </c>
      <c r="E1971">
        <v>2</v>
      </c>
      <c r="F1971" s="4">
        <v>1020.62</v>
      </c>
      <c r="G1971" s="3">
        <v>0.2</v>
      </c>
      <c r="H1971" s="4">
        <v>179.32</v>
      </c>
      <c r="I1971" t="str">
        <f>VLOOKUP(orders__17[[#This Row],[Customer_ID]],customers__2[#All],3,0)</f>
        <v>East</v>
      </c>
      <c r="J1971" t="str">
        <f>VLOOKUP(orders__17[[#This Row],[Customer_ID]],customers__2[#All],4,0)</f>
        <v>Home Office</v>
      </c>
      <c r="K1971" t="str">
        <f>VLOOKUP(orders__17[[#This Row],[Product_ID]],products[#All],3,0)</f>
        <v>Furniture</v>
      </c>
      <c r="L1971" s="1" t="str">
        <f>VLOOKUP(orders__17[[#This Row],[Product_ID]],products[#All],4,0)</f>
        <v>Table</v>
      </c>
      <c r="M1971" s="1" t="str">
        <f>VLOOKUP(orders__17[[#This Row],[Order_ID]],returns[#All],2,0)</f>
        <v>No</v>
      </c>
    </row>
    <row r="1972" spans="1:13" x14ac:dyDescent="0.3">
      <c r="A1972" s="1" t="s">
        <v>2278</v>
      </c>
      <c r="B1972" s="2">
        <v>45420</v>
      </c>
      <c r="C1972" s="1" t="s">
        <v>697</v>
      </c>
      <c r="D1972" s="1" t="s">
        <v>13</v>
      </c>
      <c r="E1972">
        <v>1</v>
      </c>
      <c r="F1972" s="4">
        <v>674.6</v>
      </c>
      <c r="G1972" s="3">
        <v>0.3</v>
      </c>
      <c r="H1972" s="4">
        <v>58.09</v>
      </c>
      <c r="I1972" t="str">
        <f>VLOOKUP(orders__17[[#This Row],[Customer_ID]],customers__2[#All],3,0)</f>
        <v>South</v>
      </c>
      <c r="J1972" t="str">
        <f>VLOOKUP(orders__17[[#This Row],[Customer_ID]],customers__2[#All],4,0)</f>
        <v>Corporate</v>
      </c>
      <c r="K1972" t="str">
        <f>VLOOKUP(orders__17[[#This Row],[Product_ID]],products[#All],3,0)</f>
        <v>Furniture</v>
      </c>
      <c r="L1972" s="1" t="str">
        <f>VLOOKUP(orders__17[[#This Row],[Product_ID]],products[#All],4,0)</f>
        <v>Desk</v>
      </c>
      <c r="M1972" s="1" t="str">
        <f>VLOOKUP(orders__17[[#This Row],[Order_ID]],returns[#All],2,0)</f>
        <v>No</v>
      </c>
    </row>
    <row r="1973" spans="1:13" x14ac:dyDescent="0.3">
      <c r="A1973" s="1" t="s">
        <v>2279</v>
      </c>
      <c r="B1973" s="2">
        <v>44799</v>
      </c>
      <c r="C1973" s="1" t="s">
        <v>1061</v>
      </c>
      <c r="D1973" s="1" t="s">
        <v>727</v>
      </c>
      <c r="E1973">
        <v>5</v>
      </c>
      <c r="F1973" s="4">
        <v>1170.48</v>
      </c>
      <c r="G1973" s="3">
        <v>0.2</v>
      </c>
      <c r="H1973" s="4">
        <v>187.88</v>
      </c>
      <c r="I1973" t="str">
        <f>VLOOKUP(orders__17[[#This Row],[Customer_ID]],customers__2[#All],3,0)</f>
        <v>East</v>
      </c>
      <c r="J1973" t="str">
        <f>VLOOKUP(orders__17[[#This Row],[Customer_ID]],customers__2[#All],4,0)</f>
        <v>Consumer</v>
      </c>
      <c r="K1973" t="str">
        <f>VLOOKUP(orders__17[[#This Row],[Product_ID]],products[#All],3,0)</f>
        <v>Furniture</v>
      </c>
      <c r="L1973" s="1" t="str">
        <f>VLOOKUP(orders__17[[#This Row],[Product_ID]],products[#All],4,0)</f>
        <v>Chair</v>
      </c>
      <c r="M1973" s="1" t="str">
        <f>VLOOKUP(orders__17[[#This Row],[Order_ID]],returns[#All],2,0)</f>
        <v>Yes</v>
      </c>
    </row>
    <row r="1974" spans="1:13" x14ac:dyDescent="0.3">
      <c r="A1974" s="1" t="s">
        <v>2280</v>
      </c>
      <c r="B1974" s="2">
        <v>44643</v>
      </c>
      <c r="C1974" s="1" t="s">
        <v>447</v>
      </c>
      <c r="D1974" s="1" t="s">
        <v>263</v>
      </c>
      <c r="E1974">
        <v>2</v>
      </c>
      <c r="F1974" s="4">
        <v>1627.23</v>
      </c>
      <c r="G1974" s="3">
        <v>0.1</v>
      </c>
      <c r="H1974" s="4">
        <v>217.28</v>
      </c>
      <c r="I1974" t="str">
        <f>VLOOKUP(orders__17[[#This Row],[Customer_ID]],customers__2[#All],3,0)</f>
        <v>West</v>
      </c>
      <c r="J1974" t="str">
        <f>VLOOKUP(orders__17[[#This Row],[Customer_ID]],customers__2[#All],4,0)</f>
        <v>Corporate</v>
      </c>
      <c r="K1974" t="str">
        <f>VLOOKUP(orders__17[[#This Row],[Product_ID]],products[#All],3,0)</f>
        <v>Office Supplies</v>
      </c>
      <c r="L1974" s="1" t="str">
        <f>VLOOKUP(orders__17[[#This Row],[Product_ID]],products[#All],4,0)</f>
        <v>Storage</v>
      </c>
      <c r="M1974" s="1" t="str">
        <f>VLOOKUP(orders__17[[#This Row],[Order_ID]],returns[#All],2,0)</f>
        <v>No</v>
      </c>
    </row>
    <row r="1975" spans="1:13" x14ac:dyDescent="0.3">
      <c r="A1975" s="1" t="s">
        <v>2281</v>
      </c>
      <c r="B1975" s="2">
        <v>44652</v>
      </c>
      <c r="C1975" s="1" t="s">
        <v>353</v>
      </c>
      <c r="D1975" s="1" t="s">
        <v>218</v>
      </c>
      <c r="E1975">
        <v>1</v>
      </c>
      <c r="F1975" s="4">
        <v>360.58</v>
      </c>
      <c r="G1975" s="3">
        <v>0.3</v>
      </c>
      <c r="H1975" s="4">
        <v>65.069999999999993</v>
      </c>
      <c r="I1975" t="str">
        <f>VLOOKUP(orders__17[[#This Row],[Customer_ID]],customers__2[#All],3,0)</f>
        <v>East</v>
      </c>
      <c r="J1975" t="str">
        <f>VLOOKUP(orders__17[[#This Row],[Customer_ID]],customers__2[#All],4,0)</f>
        <v>Home Office</v>
      </c>
      <c r="K1975" t="str">
        <f>VLOOKUP(orders__17[[#This Row],[Product_ID]],products[#All],3,0)</f>
        <v>Office Supplies</v>
      </c>
      <c r="L1975" s="1" t="str">
        <f>VLOOKUP(orders__17[[#This Row],[Product_ID]],products[#All],4,0)</f>
        <v>Storage</v>
      </c>
      <c r="M1975" s="1" t="str">
        <f>VLOOKUP(orders__17[[#This Row],[Order_ID]],returns[#All],2,0)</f>
        <v>Yes</v>
      </c>
    </row>
    <row r="1976" spans="1:13" x14ac:dyDescent="0.3">
      <c r="A1976" s="1" t="s">
        <v>2282</v>
      </c>
      <c r="B1976" s="2">
        <v>44638</v>
      </c>
      <c r="C1976" s="1" t="s">
        <v>598</v>
      </c>
      <c r="D1976" s="1" t="s">
        <v>59</v>
      </c>
      <c r="E1976">
        <v>2</v>
      </c>
      <c r="F1976" s="4">
        <v>1203.33</v>
      </c>
      <c r="G1976" s="3">
        <v>0</v>
      </c>
      <c r="H1976" s="4">
        <v>236.35</v>
      </c>
      <c r="I1976" t="str">
        <f>VLOOKUP(orders__17[[#This Row],[Customer_ID]],customers__2[#All],3,0)</f>
        <v>South</v>
      </c>
      <c r="J1976" t="str">
        <f>VLOOKUP(orders__17[[#This Row],[Customer_ID]],customers__2[#All],4,0)</f>
        <v>Home Office</v>
      </c>
      <c r="K1976" t="str">
        <f>VLOOKUP(orders__17[[#This Row],[Product_ID]],products[#All],3,0)</f>
        <v>Office Supplies</v>
      </c>
      <c r="L1976" s="1" t="str">
        <f>VLOOKUP(orders__17[[#This Row],[Product_ID]],products[#All],4,0)</f>
        <v>Paper</v>
      </c>
      <c r="M1976" s="1" t="str">
        <f>VLOOKUP(orders__17[[#This Row],[Order_ID]],returns[#All],2,0)</f>
        <v>No</v>
      </c>
    </row>
    <row r="1977" spans="1:13" x14ac:dyDescent="0.3">
      <c r="A1977" s="1" t="s">
        <v>2283</v>
      </c>
      <c r="B1977" s="2">
        <v>44701</v>
      </c>
      <c r="C1977" s="1" t="s">
        <v>96</v>
      </c>
      <c r="D1977" s="1" t="s">
        <v>211</v>
      </c>
      <c r="E1977">
        <v>3</v>
      </c>
      <c r="F1977" s="4">
        <v>1060.47</v>
      </c>
      <c r="G1977" s="3">
        <v>0.1</v>
      </c>
      <c r="H1977" s="4">
        <v>55.28</v>
      </c>
      <c r="I1977" t="str">
        <f>VLOOKUP(orders__17[[#This Row],[Customer_ID]],customers__2[#All],3,0)</f>
        <v>West</v>
      </c>
      <c r="J1977" t="str">
        <f>VLOOKUP(orders__17[[#This Row],[Customer_ID]],customers__2[#All],4,0)</f>
        <v>Corporate</v>
      </c>
      <c r="K1977" t="str">
        <f>VLOOKUP(orders__17[[#This Row],[Product_ID]],products[#All],3,0)</f>
        <v>Office Supplies</v>
      </c>
      <c r="L1977" s="1" t="str">
        <f>VLOOKUP(orders__17[[#This Row],[Product_ID]],products[#All],4,0)</f>
        <v>Binder</v>
      </c>
      <c r="M1977" s="1" t="str">
        <f>VLOOKUP(orders__17[[#This Row],[Order_ID]],returns[#All],2,0)</f>
        <v>No</v>
      </c>
    </row>
    <row r="1978" spans="1:13" x14ac:dyDescent="0.3">
      <c r="A1978" s="1" t="s">
        <v>2284</v>
      </c>
      <c r="B1978" s="2">
        <v>44588</v>
      </c>
      <c r="C1978" s="1" t="s">
        <v>94</v>
      </c>
      <c r="D1978" s="1" t="s">
        <v>323</v>
      </c>
      <c r="E1978">
        <v>5</v>
      </c>
      <c r="F1978" s="4">
        <v>373.75</v>
      </c>
      <c r="G1978" s="3">
        <v>0</v>
      </c>
      <c r="H1978" s="4">
        <v>89.79</v>
      </c>
      <c r="I1978" t="str">
        <f>VLOOKUP(orders__17[[#This Row],[Customer_ID]],customers__2[#All],3,0)</f>
        <v>North</v>
      </c>
      <c r="J1978" t="str">
        <f>VLOOKUP(orders__17[[#This Row],[Customer_ID]],customers__2[#All],4,0)</f>
        <v>Home Office</v>
      </c>
      <c r="K1978" t="str">
        <f>VLOOKUP(orders__17[[#This Row],[Product_ID]],products[#All],3,0)</f>
        <v>Technology</v>
      </c>
      <c r="L1978" s="1" t="str">
        <f>VLOOKUP(orders__17[[#This Row],[Product_ID]],products[#All],4,0)</f>
        <v>Tablet</v>
      </c>
      <c r="M1978" s="1" t="str">
        <f>VLOOKUP(orders__17[[#This Row],[Order_ID]],returns[#All],2,0)</f>
        <v>No</v>
      </c>
    </row>
    <row r="1979" spans="1:13" x14ac:dyDescent="0.3">
      <c r="A1979" s="1" t="s">
        <v>2285</v>
      </c>
      <c r="B1979" s="2">
        <v>45193</v>
      </c>
      <c r="C1979" s="1" t="s">
        <v>537</v>
      </c>
      <c r="D1979" s="1" t="s">
        <v>288</v>
      </c>
      <c r="E1979">
        <v>4</v>
      </c>
      <c r="F1979" s="4">
        <v>1285.5999999999999</v>
      </c>
      <c r="G1979" s="3">
        <v>0.2</v>
      </c>
      <c r="H1979" s="4">
        <v>293.44</v>
      </c>
      <c r="I1979" t="str">
        <f>VLOOKUP(orders__17[[#This Row],[Customer_ID]],customers__2[#All],3,0)</f>
        <v>West</v>
      </c>
      <c r="J1979" t="str">
        <f>VLOOKUP(orders__17[[#This Row],[Customer_ID]],customers__2[#All],4,0)</f>
        <v>Consumer</v>
      </c>
      <c r="K1979" t="str">
        <f>VLOOKUP(orders__17[[#This Row],[Product_ID]],products[#All],3,0)</f>
        <v>Furniture</v>
      </c>
      <c r="L1979" s="1" t="str">
        <f>VLOOKUP(orders__17[[#This Row],[Product_ID]],products[#All],4,0)</f>
        <v>Chair</v>
      </c>
      <c r="M1979" s="1" t="str">
        <f>VLOOKUP(orders__17[[#This Row],[Order_ID]],returns[#All],2,0)</f>
        <v>No</v>
      </c>
    </row>
    <row r="1980" spans="1:13" x14ac:dyDescent="0.3">
      <c r="A1980" s="1" t="s">
        <v>2286</v>
      </c>
      <c r="B1980" s="2">
        <v>45223</v>
      </c>
      <c r="C1980" s="1" t="s">
        <v>265</v>
      </c>
      <c r="D1980" s="1" t="s">
        <v>679</v>
      </c>
      <c r="E1980">
        <v>2</v>
      </c>
      <c r="F1980" s="4">
        <v>619.91999999999996</v>
      </c>
      <c r="G1980" s="3">
        <v>0.2</v>
      </c>
      <c r="H1980" s="4">
        <v>87.76</v>
      </c>
      <c r="I1980" t="str">
        <f>VLOOKUP(orders__17[[#This Row],[Customer_ID]],customers__2[#All],3,0)</f>
        <v>East</v>
      </c>
      <c r="J1980" t="str">
        <f>VLOOKUP(orders__17[[#This Row],[Customer_ID]],customers__2[#All],4,0)</f>
        <v>Consumer</v>
      </c>
      <c r="K1980" t="str">
        <f>VLOOKUP(orders__17[[#This Row],[Product_ID]],products[#All],3,0)</f>
        <v>Office Supplies</v>
      </c>
      <c r="L1980" s="1" t="str">
        <f>VLOOKUP(orders__17[[#This Row],[Product_ID]],products[#All],4,0)</f>
        <v>Paper</v>
      </c>
      <c r="M1980" s="1" t="str">
        <f>VLOOKUP(orders__17[[#This Row],[Order_ID]],returns[#All],2,0)</f>
        <v>Yes</v>
      </c>
    </row>
    <row r="1981" spans="1:13" x14ac:dyDescent="0.3">
      <c r="A1981" s="1" t="s">
        <v>2287</v>
      </c>
      <c r="B1981" s="2">
        <v>44905</v>
      </c>
      <c r="C1981" s="1" t="s">
        <v>321</v>
      </c>
      <c r="D1981" s="1" t="s">
        <v>215</v>
      </c>
      <c r="E1981">
        <v>3</v>
      </c>
      <c r="F1981" s="4">
        <v>1026.8900000000001</v>
      </c>
      <c r="G1981" s="3">
        <v>0</v>
      </c>
      <c r="H1981" s="4">
        <v>64.930000000000007</v>
      </c>
      <c r="I1981" t="str">
        <f>VLOOKUP(orders__17[[#This Row],[Customer_ID]],customers__2[#All],3,0)</f>
        <v>South</v>
      </c>
      <c r="J1981" t="str">
        <f>VLOOKUP(orders__17[[#This Row],[Customer_ID]],customers__2[#All],4,0)</f>
        <v>Corporate</v>
      </c>
      <c r="K1981" t="str">
        <f>VLOOKUP(orders__17[[#This Row],[Product_ID]],products[#All],3,0)</f>
        <v>Furniture</v>
      </c>
      <c r="L1981" s="1" t="str">
        <f>VLOOKUP(orders__17[[#This Row],[Product_ID]],products[#All],4,0)</f>
        <v>Table</v>
      </c>
      <c r="M1981" s="1" t="str">
        <f>VLOOKUP(orders__17[[#This Row],[Order_ID]],returns[#All],2,0)</f>
        <v>No</v>
      </c>
    </row>
    <row r="1982" spans="1:13" x14ac:dyDescent="0.3">
      <c r="A1982" s="1" t="s">
        <v>2288</v>
      </c>
      <c r="B1982" s="2">
        <v>44781</v>
      </c>
      <c r="C1982" s="1" t="s">
        <v>290</v>
      </c>
      <c r="D1982" s="1" t="s">
        <v>100</v>
      </c>
      <c r="E1982">
        <v>4</v>
      </c>
      <c r="F1982" s="4">
        <v>256.32</v>
      </c>
      <c r="G1982" s="3">
        <v>0</v>
      </c>
      <c r="H1982" s="4">
        <v>61.19</v>
      </c>
      <c r="I1982" t="str">
        <f>VLOOKUP(orders__17[[#This Row],[Customer_ID]],customers__2[#All],3,0)</f>
        <v>East</v>
      </c>
      <c r="J1982" t="str">
        <f>VLOOKUP(orders__17[[#This Row],[Customer_ID]],customers__2[#All],4,0)</f>
        <v>Home Office</v>
      </c>
      <c r="K1982" t="str">
        <f>VLOOKUP(orders__17[[#This Row],[Product_ID]],products[#All],3,0)</f>
        <v>Technology</v>
      </c>
      <c r="L1982" s="1" t="str">
        <f>VLOOKUP(orders__17[[#This Row],[Product_ID]],products[#All],4,0)</f>
        <v>Laptop</v>
      </c>
      <c r="M1982" s="1" t="str">
        <f>VLOOKUP(orders__17[[#This Row],[Order_ID]],returns[#All],2,0)</f>
        <v>No</v>
      </c>
    </row>
    <row r="1983" spans="1:13" x14ac:dyDescent="0.3">
      <c r="A1983" s="1" t="s">
        <v>2289</v>
      </c>
      <c r="B1983" s="2">
        <v>44631</v>
      </c>
      <c r="C1983" s="1" t="s">
        <v>834</v>
      </c>
      <c r="D1983" s="1" t="s">
        <v>392</v>
      </c>
      <c r="E1983">
        <v>4</v>
      </c>
      <c r="F1983" s="4">
        <v>973.21</v>
      </c>
      <c r="G1983" s="3">
        <v>0.1</v>
      </c>
      <c r="H1983" s="4">
        <v>281.06</v>
      </c>
      <c r="I1983" t="str">
        <f>VLOOKUP(orders__17[[#This Row],[Customer_ID]],customers__2[#All],3,0)</f>
        <v>South</v>
      </c>
      <c r="J1983" t="str">
        <f>VLOOKUP(orders__17[[#This Row],[Customer_ID]],customers__2[#All],4,0)</f>
        <v>Consumer</v>
      </c>
      <c r="K1983" t="str">
        <f>VLOOKUP(orders__17[[#This Row],[Product_ID]],products[#All],3,0)</f>
        <v>Furniture</v>
      </c>
      <c r="L1983" s="1" t="str">
        <f>VLOOKUP(orders__17[[#This Row],[Product_ID]],products[#All],4,0)</f>
        <v>Desk</v>
      </c>
      <c r="M1983" s="1" t="str">
        <f>VLOOKUP(orders__17[[#This Row],[Order_ID]],returns[#All],2,0)</f>
        <v>No</v>
      </c>
    </row>
    <row r="1984" spans="1:13" x14ac:dyDescent="0.3">
      <c r="A1984" s="1" t="s">
        <v>2290</v>
      </c>
      <c r="B1984" s="2">
        <v>44867</v>
      </c>
      <c r="C1984" s="1" t="s">
        <v>927</v>
      </c>
      <c r="D1984" s="1" t="s">
        <v>294</v>
      </c>
      <c r="E1984">
        <v>2</v>
      </c>
      <c r="F1984" s="4">
        <v>682.28</v>
      </c>
      <c r="G1984" s="3">
        <v>0</v>
      </c>
      <c r="H1984" s="4">
        <v>75.08</v>
      </c>
      <c r="I1984" t="str">
        <f>VLOOKUP(orders__17[[#This Row],[Customer_ID]],customers__2[#All],3,0)</f>
        <v>South</v>
      </c>
      <c r="J1984" t="str">
        <f>VLOOKUP(orders__17[[#This Row],[Customer_ID]],customers__2[#All],4,0)</f>
        <v>Corporate</v>
      </c>
      <c r="K1984" t="str">
        <f>VLOOKUP(orders__17[[#This Row],[Product_ID]],products[#All],3,0)</f>
        <v>Technology</v>
      </c>
      <c r="L1984" s="1" t="str">
        <f>VLOOKUP(orders__17[[#This Row],[Product_ID]],products[#All],4,0)</f>
        <v>Tablet</v>
      </c>
      <c r="M1984" s="1" t="str">
        <f>VLOOKUP(orders__17[[#This Row],[Order_ID]],returns[#All],2,0)</f>
        <v>Yes</v>
      </c>
    </row>
    <row r="1985" spans="1:13" x14ac:dyDescent="0.3">
      <c r="A1985" s="1" t="s">
        <v>2291</v>
      </c>
      <c r="B1985" s="2">
        <v>45433</v>
      </c>
      <c r="C1985" s="1" t="s">
        <v>384</v>
      </c>
      <c r="D1985" s="1" t="s">
        <v>502</v>
      </c>
      <c r="E1985">
        <v>1</v>
      </c>
      <c r="F1985" s="4">
        <v>1662.52</v>
      </c>
      <c r="G1985" s="3">
        <v>0.3</v>
      </c>
      <c r="H1985" s="4">
        <v>217.59</v>
      </c>
      <c r="I1985" t="str">
        <f>VLOOKUP(orders__17[[#This Row],[Customer_ID]],customers__2[#All],3,0)</f>
        <v>East</v>
      </c>
      <c r="J1985" t="str">
        <f>VLOOKUP(orders__17[[#This Row],[Customer_ID]],customers__2[#All],4,0)</f>
        <v>Corporate</v>
      </c>
      <c r="K1985" t="str">
        <f>VLOOKUP(orders__17[[#This Row],[Product_ID]],products[#All],3,0)</f>
        <v>Furniture</v>
      </c>
      <c r="L1985" s="1" t="str">
        <f>VLOOKUP(orders__17[[#This Row],[Product_ID]],products[#All],4,0)</f>
        <v>Shelf</v>
      </c>
      <c r="M1985" s="1" t="str">
        <f>VLOOKUP(orders__17[[#This Row],[Order_ID]],returns[#All],2,0)</f>
        <v>No</v>
      </c>
    </row>
    <row r="1986" spans="1:13" x14ac:dyDescent="0.3">
      <c r="A1986" s="1" t="s">
        <v>2292</v>
      </c>
      <c r="B1986" s="2">
        <v>44788</v>
      </c>
      <c r="C1986" s="1" t="s">
        <v>282</v>
      </c>
      <c r="D1986" s="1" t="s">
        <v>92</v>
      </c>
      <c r="E1986">
        <v>2</v>
      </c>
      <c r="F1986" s="4">
        <v>208.26</v>
      </c>
      <c r="G1986" s="3">
        <v>0.3</v>
      </c>
      <c r="H1986" s="4">
        <v>19.98</v>
      </c>
      <c r="I1986" t="str">
        <f>VLOOKUP(orders__17[[#This Row],[Customer_ID]],customers__2[#All],3,0)</f>
        <v>South</v>
      </c>
      <c r="J1986" t="str">
        <f>VLOOKUP(orders__17[[#This Row],[Customer_ID]],customers__2[#All],4,0)</f>
        <v>Home Office</v>
      </c>
      <c r="K1986" t="str">
        <f>VLOOKUP(orders__17[[#This Row],[Product_ID]],products[#All],3,0)</f>
        <v>Furniture</v>
      </c>
      <c r="L1986" s="1" t="str">
        <f>VLOOKUP(orders__17[[#This Row],[Product_ID]],products[#All],4,0)</f>
        <v>Shelf</v>
      </c>
      <c r="M1986" s="1" t="str">
        <f>VLOOKUP(orders__17[[#This Row],[Order_ID]],returns[#All],2,0)</f>
        <v>No</v>
      </c>
    </row>
    <row r="1987" spans="1:13" x14ac:dyDescent="0.3">
      <c r="A1987" s="1" t="s">
        <v>2293</v>
      </c>
      <c r="B1987" s="2">
        <v>45345</v>
      </c>
      <c r="C1987" s="1" t="s">
        <v>494</v>
      </c>
      <c r="D1987" s="1" t="s">
        <v>31</v>
      </c>
      <c r="E1987">
        <v>3</v>
      </c>
      <c r="F1987" s="4">
        <v>895.35</v>
      </c>
      <c r="G1987" s="3">
        <v>0</v>
      </c>
      <c r="H1987" s="4">
        <v>173.91</v>
      </c>
      <c r="I1987" t="str">
        <f>VLOOKUP(orders__17[[#This Row],[Customer_ID]],customers__2[#All],3,0)</f>
        <v>South</v>
      </c>
      <c r="J1987" t="str">
        <f>VLOOKUP(orders__17[[#This Row],[Customer_ID]],customers__2[#All],4,0)</f>
        <v>Home Office</v>
      </c>
      <c r="K1987" t="str">
        <f>VLOOKUP(orders__17[[#This Row],[Product_ID]],products[#All],3,0)</f>
        <v>Furniture</v>
      </c>
      <c r="L1987" s="1" t="str">
        <f>VLOOKUP(orders__17[[#This Row],[Product_ID]],products[#All],4,0)</f>
        <v>Chair</v>
      </c>
      <c r="M1987" s="1" t="str">
        <f>VLOOKUP(orders__17[[#This Row],[Order_ID]],returns[#All],2,0)</f>
        <v>No</v>
      </c>
    </row>
    <row r="1988" spans="1:13" x14ac:dyDescent="0.3">
      <c r="A1988" s="1" t="s">
        <v>2294</v>
      </c>
      <c r="B1988" s="2">
        <v>44866</v>
      </c>
      <c r="C1988" s="1" t="s">
        <v>442</v>
      </c>
      <c r="D1988" s="1" t="s">
        <v>727</v>
      </c>
      <c r="E1988">
        <v>4</v>
      </c>
      <c r="F1988" s="4">
        <v>971.02</v>
      </c>
      <c r="G1988" s="3">
        <v>0.3</v>
      </c>
      <c r="H1988" s="4">
        <v>86.14</v>
      </c>
      <c r="I1988" t="str">
        <f>VLOOKUP(orders__17[[#This Row],[Customer_ID]],customers__2[#All],3,0)</f>
        <v>North</v>
      </c>
      <c r="J1988" t="str">
        <f>VLOOKUP(orders__17[[#This Row],[Customer_ID]],customers__2[#All],4,0)</f>
        <v>Consumer</v>
      </c>
      <c r="K1988" t="str">
        <f>VLOOKUP(orders__17[[#This Row],[Product_ID]],products[#All],3,0)</f>
        <v>Furniture</v>
      </c>
      <c r="L1988" s="1" t="str">
        <f>VLOOKUP(orders__17[[#This Row],[Product_ID]],products[#All],4,0)</f>
        <v>Chair</v>
      </c>
      <c r="M1988" s="1" t="str">
        <f>VLOOKUP(orders__17[[#This Row],[Order_ID]],returns[#All],2,0)</f>
        <v>No</v>
      </c>
    </row>
    <row r="1989" spans="1:13" x14ac:dyDescent="0.3">
      <c r="A1989" s="1" t="s">
        <v>2295</v>
      </c>
      <c r="B1989" s="2">
        <v>45181</v>
      </c>
      <c r="C1989" s="1" t="s">
        <v>63</v>
      </c>
      <c r="D1989" s="1" t="s">
        <v>242</v>
      </c>
      <c r="E1989">
        <v>2</v>
      </c>
      <c r="F1989" s="4">
        <v>1477.51</v>
      </c>
      <c r="G1989" s="3">
        <v>0</v>
      </c>
      <c r="H1989" s="4">
        <v>205.45</v>
      </c>
      <c r="I1989" t="str">
        <f>VLOOKUP(orders__17[[#This Row],[Customer_ID]],customers__2[#All],3,0)</f>
        <v>East</v>
      </c>
      <c r="J1989" t="str">
        <f>VLOOKUP(orders__17[[#This Row],[Customer_ID]],customers__2[#All],4,0)</f>
        <v>Home Office</v>
      </c>
      <c r="K1989" t="str">
        <f>VLOOKUP(orders__17[[#This Row],[Product_ID]],products[#All],3,0)</f>
        <v>Technology</v>
      </c>
      <c r="L1989" s="1" t="str">
        <f>VLOOKUP(orders__17[[#This Row],[Product_ID]],products[#All],4,0)</f>
        <v>Phone</v>
      </c>
      <c r="M1989" s="1" t="str">
        <f>VLOOKUP(orders__17[[#This Row],[Order_ID]],returns[#All],2,0)</f>
        <v>No</v>
      </c>
    </row>
    <row r="1990" spans="1:13" x14ac:dyDescent="0.3">
      <c r="A1990" s="1" t="s">
        <v>2296</v>
      </c>
      <c r="B1990" s="2">
        <v>44697</v>
      </c>
      <c r="C1990" s="1" t="s">
        <v>124</v>
      </c>
      <c r="D1990" s="1" t="s">
        <v>177</v>
      </c>
      <c r="E1990">
        <v>1</v>
      </c>
      <c r="F1990" s="4">
        <v>1191.1500000000001</v>
      </c>
      <c r="G1990" s="3">
        <v>0.1</v>
      </c>
      <c r="H1990" s="4">
        <v>267.12</v>
      </c>
      <c r="I1990" t="str">
        <f>VLOOKUP(orders__17[[#This Row],[Customer_ID]],customers__2[#All],3,0)</f>
        <v>North</v>
      </c>
      <c r="J1990" t="str">
        <f>VLOOKUP(orders__17[[#This Row],[Customer_ID]],customers__2[#All],4,0)</f>
        <v>Consumer</v>
      </c>
      <c r="K1990" t="str">
        <f>VLOOKUP(orders__17[[#This Row],[Product_ID]],products[#All],3,0)</f>
        <v>Furniture</v>
      </c>
      <c r="L1990" s="1" t="str">
        <f>VLOOKUP(orders__17[[#This Row],[Product_ID]],products[#All],4,0)</f>
        <v>Table</v>
      </c>
      <c r="M1990" s="1" t="str">
        <f>VLOOKUP(orders__17[[#This Row],[Order_ID]],returns[#All],2,0)</f>
        <v>No</v>
      </c>
    </row>
    <row r="1991" spans="1:13" x14ac:dyDescent="0.3">
      <c r="A1991" s="1" t="s">
        <v>2297</v>
      </c>
      <c r="B1991" s="2">
        <v>45065</v>
      </c>
      <c r="C1991" s="1" t="s">
        <v>121</v>
      </c>
      <c r="D1991" s="1" t="s">
        <v>70</v>
      </c>
      <c r="E1991">
        <v>2</v>
      </c>
      <c r="F1991" s="4">
        <v>1367.7</v>
      </c>
      <c r="G1991" s="3">
        <v>0.3</v>
      </c>
      <c r="H1991" s="4">
        <v>259.89999999999998</v>
      </c>
      <c r="I1991" t="str">
        <f>VLOOKUP(orders__17[[#This Row],[Customer_ID]],customers__2[#All],3,0)</f>
        <v>East</v>
      </c>
      <c r="J1991" t="str">
        <f>VLOOKUP(orders__17[[#This Row],[Customer_ID]],customers__2[#All],4,0)</f>
        <v>Corporate</v>
      </c>
      <c r="K1991" t="str">
        <f>VLOOKUP(orders__17[[#This Row],[Product_ID]],products[#All],3,0)</f>
        <v>Office Supplies</v>
      </c>
      <c r="L1991" s="1" t="str">
        <f>VLOOKUP(orders__17[[#This Row],[Product_ID]],products[#All],4,0)</f>
        <v>Paper</v>
      </c>
      <c r="M1991" s="1" t="str">
        <f>VLOOKUP(orders__17[[#This Row],[Order_ID]],returns[#All],2,0)</f>
        <v>No</v>
      </c>
    </row>
    <row r="1992" spans="1:13" x14ac:dyDescent="0.3">
      <c r="A1992" s="1" t="s">
        <v>2298</v>
      </c>
      <c r="B1992" s="2">
        <v>45282</v>
      </c>
      <c r="C1992" s="1" t="s">
        <v>332</v>
      </c>
      <c r="D1992" s="1" t="s">
        <v>258</v>
      </c>
      <c r="E1992">
        <v>5</v>
      </c>
      <c r="F1992" s="4">
        <v>1576.39</v>
      </c>
      <c r="G1992" s="3">
        <v>0.3</v>
      </c>
      <c r="H1992" s="4">
        <v>231.12</v>
      </c>
      <c r="I1992" t="str">
        <f>VLOOKUP(orders__17[[#This Row],[Customer_ID]],customers__2[#All],3,0)</f>
        <v>North</v>
      </c>
      <c r="J1992" t="str">
        <f>VLOOKUP(orders__17[[#This Row],[Customer_ID]],customers__2[#All],4,0)</f>
        <v>Home Office</v>
      </c>
      <c r="K1992" t="str">
        <f>VLOOKUP(orders__17[[#This Row],[Product_ID]],products[#All],3,0)</f>
        <v>Technology</v>
      </c>
      <c r="L1992" s="1" t="str">
        <f>VLOOKUP(orders__17[[#This Row],[Product_ID]],products[#All],4,0)</f>
        <v>Phone</v>
      </c>
      <c r="M1992" s="1" t="str">
        <f>VLOOKUP(orders__17[[#This Row],[Order_ID]],returns[#All],2,0)</f>
        <v>No</v>
      </c>
    </row>
    <row r="1993" spans="1:13" x14ac:dyDescent="0.3">
      <c r="A1993" s="1" t="s">
        <v>2299</v>
      </c>
      <c r="B1993" s="2">
        <v>44677</v>
      </c>
      <c r="C1993" s="1" t="s">
        <v>336</v>
      </c>
      <c r="D1993" s="1" t="s">
        <v>43</v>
      </c>
      <c r="E1993">
        <v>1</v>
      </c>
      <c r="F1993" s="4">
        <v>1738.19</v>
      </c>
      <c r="G1993" s="3">
        <v>0</v>
      </c>
      <c r="H1993" s="4">
        <v>269.52999999999997</v>
      </c>
      <c r="I1993" t="str">
        <f>VLOOKUP(orders__17[[#This Row],[Customer_ID]],customers__2[#All],3,0)</f>
        <v>South</v>
      </c>
      <c r="J1993" t="str">
        <f>VLOOKUP(orders__17[[#This Row],[Customer_ID]],customers__2[#All],4,0)</f>
        <v>Consumer</v>
      </c>
      <c r="K1993" t="str">
        <f>VLOOKUP(orders__17[[#This Row],[Product_ID]],products[#All],3,0)</f>
        <v>Technology</v>
      </c>
      <c r="L1993" s="1" t="str">
        <f>VLOOKUP(orders__17[[#This Row],[Product_ID]],products[#All],4,0)</f>
        <v>Tablet</v>
      </c>
      <c r="M1993" s="1" t="str">
        <f>VLOOKUP(orders__17[[#This Row],[Order_ID]],returns[#All],2,0)</f>
        <v>No</v>
      </c>
    </row>
    <row r="1994" spans="1:13" x14ac:dyDescent="0.3">
      <c r="A1994" s="1" t="s">
        <v>2300</v>
      </c>
      <c r="B1994" s="2">
        <v>44776</v>
      </c>
      <c r="C1994" s="1" t="s">
        <v>388</v>
      </c>
      <c r="D1994" s="1" t="s">
        <v>19</v>
      </c>
      <c r="E1994">
        <v>3</v>
      </c>
      <c r="F1994" s="4">
        <v>696.36</v>
      </c>
      <c r="G1994" s="3">
        <v>0.3</v>
      </c>
      <c r="H1994" s="4">
        <v>132.68</v>
      </c>
      <c r="I1994" t="str">
        <f>VLOOKUP(orders__17[[#This Row],[Customer_ID]],customers__2[#All],3,0)</f>
        <v>East</v>
      </c>
      <c r="J1994" t="str">
        <f>VLOOKUP(orders__17[[#This Row],[Customer_ID]],customers__2[#All],4,0)</f>
        <v>Home Office</v>
      </c>
      <c r="K1994" t="str">
        <f>VLOOKUP(orders__17[[#This Row],[Product_ID]],products[#All],3,0)</f>
        <v>Office Supplies</v>
      </c>
      <c r="L1994" s="1" t="str">
        <f>VLOOKUP(orders__17[[#This Row],[Product_ID]],products[#All],4,0)</f>
        <v>Pen</v>
      </c>
      <c r="M1994" s="1" t="str">
        <f>VLOOKUP(orders__17[[#This Row],[Order_ID]],returns[#All],2,0)</f>
        <v>No</v>
      </c>
    </row>
    <row r="1995" spans="1:13" x14ac:dyDescent="0.3">
      <c r="A1995" s="1" t="s">
        <v>2301</v>
      </c>
      <c r="B1995" s="2">
        <v>45170</v>
      </c>
      <c r="C1995" s="1" t="s">
        <v>80</v>
      </c>
      <c r="D1995" s="1" t="s">
        <v>61</v>
      </c>
      <c r="E1995">
        <v>4</v>
      </c>
      <c r="F1995" s="4">
        <v>1122.24</v>
      </c>
      <c r="G1995" s="3">
        <v>0.2</v>
      </c>
      <c r="H1995" s="4">
        <v>57.76</v>
      </c>
      <c r="I1995" t="str">
        <f>VLOOKUP(orders__17[[#This Row],[Customer_ID]],customers__2[#All],3,0)</f>
        <v>East</v>
      </c>
      <c r="J1995" t="str">
        <f>VLOOKUP(orders__17[[#This Row],[Customer_ID]],customers__2[#All],4,0)</f>
        <v>Home Office</v>
      </c>
      <c r="K1995" t="str">
        <f>VLOOKUP(orders__17[[#This Row],[Product_ID]],products[#All],3,0)</f>
        <v>Office Supplies</v>
      </c>
      <c r="L1995" s="1" t="str">
        <f>VLOOKUP(orders__17[[#This Row],[Product_ID]],products[#All],4,0)</f>
        <v>Binder</v>
      </c>
      <c r="M1995" s="1" t="str">
        <f>VLOOKUP(orders__17[[#This Row],[Order_ID]],returns[#All],2,0)</f>
        <v>No</v>
      </c>
    </row>
    <row r="1996" spans="1:13" x14ac:dyDescent="0.3">
      <c r="A1996" s="1" t="s">
        <v>2302</v>
      </c>
      <c r="B1996" s="2">
        <v>45262</v>
      </c>
      <c r="C1996" s="1" t="s">
        <v>223</v>
      </c>
      <c r="D1996" s="1" t="s">
        <v>132</v>
      </c>
      <c r="E1996">
        <v>2</v>
      </c>
      <c r="F1996" s="4">
        <v>1696.21</v>
      </c>
      <c r="G1996" s="3">
        <v>0.1</v>
      </c>
      <c r="H1996" s="4">
        <v>118.1</v>
      </c>
      <c r="I1996" t="str">
        <f>VLOOKUP(orders__17[[#This Row],[Customer_ID]],customers__2[#All],3,0)</f>
        <v>East</v>
      </c>
      <c r="J1996" t="str">
        <f>VLOOKUP(orders__17[[#This Row],[Customer_ID]],customers__2[#All],4,0)</f>
        <v>Home Office</v>
      </c>
      <c r="K1996" t="str">
        <f>VLOOKUP(orders__17[[#This Row],[Product_ID]],products[#All],3,0)</f>
        <v>Furniture</v>
      </c>
      <c r="L1996" s="1" t="str">
        <f>VLOOKUP(orders__17[[#This Row],[Product_ID]],products[#All],4,0)</f>
        <v>Shelf</v>
      </c>
      <c r="M1996" s="1" t="str">
        <f>VLOOKUP(orders__17[[#This Row],[Order_ID]],returns[#All],2,0)</f>
        <v>No</v>
      </c>
    </row>
    <row r="1997" spans="1:13" x14ac:dyDescent="0.3">
      <c r="A1997" s="1" t="s">
        <v>2303</v>
      </c>
      <c r="B1997" s="2">
        <v>44922</v>
      </c>
      <c r="C1997" s="1" t="s">
        <v>271</v>
      </c>
      <c r="D1997" s="1" t="s">
        <v>100</v>
      </c>
      <c r="E1997">
        <v>1</v>
      </c>
      <c r="F1997" s="4">
        <v>1979.96</v>
      </c>
      <c r="G1997" s="3">
        <v>0.1</v>
      </c>
      <c r="H1997" s="4">
        <v>535.21</v>
      </c>
      <c r="I1997" t="str">
        <f>VLOOKUP(orders__17[[#This Row],[Customer_ID]],customers__2[#All],3,0)</f>
        <v>East</v>
      </c>
      <c r="J1997" t="str">
        <f>VLOOKUP(orders__17[[#This Row],[Customer_ID]],customers__2[#All],4,0)</f>
        <v>Corporate</v>
      </c>
      <c r="K1997" t="str">
        <f>VLOOKUP(orders__17[[#This Row],[Product_ID]],products[#All],3,0)</f>
        <v>Technology</v>
      </c>
      <c r="L1997" s="1" t="str">
        <f>VLOOKUP(orders__17[[#This Row],[Product_ID]],products[#All],4,0)</f>
        <v>Laptop</v>
      </c>
      <c r="M1997" s="1" t="str">
        <f>VLOOKUP(orders__17[[#This Row],[Order_ID]],returns[#All],2,0)</f>
        <v>No</v>
      </c>
    </row>
    <row r="1998" spans="1:13" x14ac:dyDescent="0.3">
      <c r="A1998" s="1" t="s">
        <v>2304</v>
      </c>
      <c r="B1998" s="2">
        <v>45369</v>
      </c>
      <c r="C1998" s="1" t="s">
        <v>15</v>
      </c>
      <c r="D1998" s="1" t="s">
        <v>263</v>
      </c>
      <c r="E1998">
        <v>5</v>
      </c>
      <c r="F1998" s="4">
        <v>1790.09</v>
      </c>
      <c r="G1998" s="3">
        <v>0.3</v>
      </c>
      <c r="H1998" s="4">
        <v>124.36</v>
      </c>
      <c r="I1998" t="str">
        <f>VLOOKUP(orders__17[[#This Row],[Customer_ID]],customers__2[#All],3,0)</f>
        <v>West</v>
      </c>
      <c r="J1998" t="str">
        <f>VLOOKUP(orders__17[[#This Row],[Customer_ID]],customers__2[#All],4,0)</f>
        <v>Corporate</v>
      </c>
      <c r="K1998" t="str">
        <f>VLOOKUP(orders__17[[#This Row],[Product_ID]],products[#All],3,0)</f>
        <v>Office Supplies</v>
      </c>
      <c r="L1998" s="1" t="str">
        <f>VLOOKUP(orders__17[[#This Row],[Product_ID]],products[#All],4,0)</f>
        <v>Storage</v>
      </c>
      <c r="M1998" s="1" t="str">
        <f>VLOOKUP(orders__17[[#This Row],[Order_ID]],returns[#All],2,0)</f>
        <v>No</v>
      </c>
    </row>
    <row r="1999" spans="1:13" x14ac:dyDescent="0.3">
      <c r="A1999" s="1" t="s">
        <v>2305</v>
      </c>
      <c r="B1999" s="2">
        <v>45199</v>
      </c>
      <c r="C1999" s="1" t="s">
        <v>192</v>
      </c>
      <c r="D1999" s="1" t="s">
        <v>372</v>
      </c>
      <c r="E1999">
        <v>1</v>
      </c>
      <c r="F1999" s="4">
        <v>805.79</v>
      </c>
      <c r="G1999" s="3">
        <v>0.3</v>
      </c>
      <c r="H1999" s="4">
        <v>182.67</v>
      </c>
      <c r="I1999" t="str">
        <f>VLOOKUP(orders__17[[#This Row],[Customer_ID]],customers__2[#All],3,0)</f>
        <v>South</v>
      </c>
      <c r="J1999" t="str">
        <f>VLOOKUP(orders__17[[#This Row],[Customer_ID]],customers__2[#All],4,0)</f>
        <v>Corporate</v>
      </c>
      <c r="K1999" t="str">
        <f>VLOOKUP(orders__17[[#This Row],[Product_ID]],products[#All],3,0)</f>
        <v>Furniture</v>
      </c>
      <c r="L1999" s="1" t="str">
        <f>VLOOKUP(orders__17[[#This Row],[Product_ID]],products[#All],4,0)</f>
        <v>Shelf</v>
      </c>
      <c r="M1999" s="1" t="str">
        <f>VLOOKUP(orders__17[[#This Row],[Order_ID]],returns[#All],2,0)</f>
        <v>Yes</v>
      </c>
    </row>
    <row r="2000" spans="1:13" x14ac:dyDescent="0.3">
      <c r="A2000" s="1" t="s">
        <v>2306</v>
      </c>
      <c r="B2000" s="2">
        <v>45206</v>
      </c>
      <c r="C2000" s="1" t="s">
        <v>494</v>
      </c>
      <c r="D2000" s="1" t="s">
        <v>201</v>
      </c>
      <c r="E2000">
        <v>5</v>
      </c>
      <c r="F2000" s="4">
        <v>470.82</v>
      </c>
      <c r="G2000" s="3">
        <v>0.2</v>
      </c>
      <c r="H2000" s="4">
        <v>131.83000000000001</v>
      </c>
      <c r="I2000" t="str">
        <f>VLOOKUP(orders__17[[#This Row],[Customer_ID]],customers__2[#All],3,0)</f>
        <v>South</v>
      </c>
      <c r="J2000" t="str">
        <f>VLOOKUP(orders__17[[#This Row],[Customer_ID]],customers__2[#All],4,0)</f>
        <v>Home Office</v>
      </c>
      <c r="K2000" t="str">
        <f>VLOOKUP(orders__17[[#This Row],[Product_ID]],products[#All],3,0)</f>
        <v>Office Supplies</v>
      </c>
      <c r="L2000" s="1" t="str">
        <f>VLOOKUP(orders__17[[#This Row],[Product_ID]],products[#All],4,0)</f>
        <v>Paper</v>
      </c>
      <c r="M2000" s="1" t="str">
        <f>VLOOKUP(orders__17[[#This Row],[Order_ID]],returns[#All],2,0)</f>
        <v>No</v>
      </c>
    </row>
    <row r="2001" spans="1:13" x14ac:dyDescent="0.3">
      <c r="A2001" s="1" t="s">
        <v>2307</v>
      </c>
      <c r="B2001" s="2">
        <v>44754</v>
      </c>
      <c r="C2001" s="1" t="s">
        <v>106</v>
      </c>
      <c r="D2001" s="1" t="s">
        <v>218</v>
      </c>
      <c r="E2001">
        <v>3</v>
      </c>
      <c r="F2001" s="4">
        <v>1029.8499999999999</v>
      </c>
      <c r="G2001" s="3">
        <v>0.2</v>
      </c>
      <c r="H2001" s="4">
        <v>121.18</v>
      </c>
      <c r="I2001" t="str">
        <f>VLOOKUP(orders__17[[#This Row],[Customer_ID]],customers__2[#All],3,0)</f>
        <v>South</v>
      </c>
      <c r="J2001" t="str">
        <f>VLOOKUP(orders__17[[#This Row],[Customer_ID]],customers__2[#All],4,0)</f>
        <v>Consumer</v>
      </c>
      <c r="K2001" t="str">
        <f>VLOOKUP(orders__17[[#This Row],[Product_ID]],products[#All],3,0)</f>
        <v>Office Supplies</v>
      </c>
      <c r="L2001" s="1" t="str">
        <f>VLOOKUP(orders__17[[#This Row],[Product_ID]],products[#All],4,0)</f>
        <v>Storage</v>
      </c>
      <c r="M2001" s="1" t="str">
        <f>VLOOKUP(orders__17[[#This Row],[Order_ID]],returns[#All],2,0)</f>
        <v>Yes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4A57C-3DD1-457C-AD24-AD1BC2E208A1}">
  <dimension ref="A3:B8"/>
  <sheetViews>
    <sheetView workbookViewId="0">
      <selection activeCell="B15" sqref="B15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936" width="6.5546875" bestFit="1" customWidth="1"/>
    <col min="937" max="1988" width="7.5546875" bestFit="1" customWidth="1"/>
    <col min="1989" max="1989" width="10.77734375" bestFit="1" customWidth="1"/>
    <col min="1990" max="1996" width="13.44140625" bestFit="1" customWidth="1"/>
    <col min="1997" max="1997" width="16.21875" bestFit="1" customWidth="1"/>
    <col min="1998" max="1998" width="10.77734375" bestFit="1" customWidth="1"/>
  </cols>
  <sheetData>
    <row r="3" spans="1:2" x14ac:dyDescent="0.3">
      <c r="A3" s="5" t="s">
        <v>2641</v>
      </c>
      <c r="B3" t="s">
        <v>2643</v>
      </c>
    </row>
    <row r="4" spans="1:2" x14ac:dyDescent="0.3">
      <c r="A4" s="6" t="s">
        <v>2318</v>
      </c>
      <c r="B4" s="1">
        <v>562432.74999999988</v>
      </c>
    </row>
    <row r="5" spans="1:2" x14ac:dyDescent="0.3">
      <c r="A5" s="6" t="s">
        <v>2320</v>
      </c>
      <c r="B5" s="1">
        <v>515231.38999999926</v>
      </c>
    </row>
    <row r="6" spans="1:2" x14ac:dyDescent="0.3">
      <c r="A6" s="6" t="s">
        <v>2312</v>
      </c>
      <c r="B6" s="1">
        <v>493073.36000000057</v>
      </c>
    </row>
    <row r="7" spans="1:2" x14ac:dyDescent="0.3">
      <c r="A7" s="6" t="s">
        <v>2315</v>
      </c>
      <c r="B7" s="1">
        <v>526873.74</v>
      </c>
    </row>
    <row r="8" spans="1:2" x14ac:dyDescent="0.3">
      <c r="A8" s="6" t="s">
        <v>2642</v>
      </c>
      <c r="B8" s="1">
        <v>2097611.2399999998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E700D-1FEC-4598-9BA8-44B635DB0AD3}">
  <dimension ref="A3:B7"/>
  <sheetViews>
    <sheetView workbookViewId="0">
      <selection activeCell="B9" sqref="B9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5" t="s">
        <v>2641</v>
      </c>
      <c r="B3" t="s">
        <v>2644</v>
      </c>
    </row>
    <row r="4" spans="1:2" x14ac:dyDescent="0.3">
      <c r="A4" s="6" t="s">
        <v>2525</v>
      </c>
      <c r="B4" s="1">
        <v>127870.35</v>
      </c>
    </row>
    <row r="5" spans="1:2" x14ac:dyDescent="0.3">
      <c r="A5" s="6" t="s">
        <v>2522</v>
      </c>
      <c r="B5" s="1">
        <v>121672.36999999995</v>
      </c>
    </row>
    <row r="6" spans="1:2" x14ac:dyDescent="0.3">
      <c r="A6" s="6" t="s">
        <v>2530</v>
      </c>
      <c r="B6" s="1">
        <v>115364.24000000002</v>
      </c>
    </row>
    <row r="7" spans="1:2" x14ac:dyDescent="0.3">
      <c r="A7" s="6" t="s">
        <v>2642</v>
      </c>
      <c r="B7" s="1">
        <v>364906.95999999996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3576-D448-4DFD-9483-F193735DF003}">
  <dimension ref="A3:B16"/>
  <sheetViews>
    <sheetView workbookViewId="0">
      <selection activeCell="E13" sqref="E1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5" t="s">
        <v>2641</v>
      </c>
      <c r="B3" t="s">
        <v>2643</v>
      </c>
    </row>
    <row r="4" spans="1:2" x14ac:dyDescent="0.3">
      <c r="A4" s="7" t="s">
        <v>2645</v>
      </c>
      <c r="B4" s="1">
        <v>211781.49999999997</v>
      </c>
    </row>
    <row r="5" spans="1:2" x14ac:dyDescent="0.3">
      <c r="A5" s="7" t="s">
        <v>2646</v>
      </c>
      <c r="B5" s="1">
        <v>209545.31000000011</v>
      </c>
    </row>
    <row r="6" spans="1:2" x14ac:dyDescent="0.3">
      <c r="A6" s="7" t="s">
        <v>2647</v>
      </c>
      <c r="B6" s="1">
        <v>224340.75999999998</v>
      </c>
    </row>
    <row r="7" spans="1:2" x14ac:dyDescent="0.3">
      <c r="A7" s="7" t="s">
        <v>2648</v>
      </c>
      <c r="B7" s="1">
        <v>195991.20999999996</v>
      </c>
    </row>
    <row r="8" spans="1:2" x14ac:dyDescent="0.3">
      <c r="A8" s="7" t="s">
        <v>2649</v>
      </c>
      <c r="B8" s="1">
        <v>248271.09000000017</v>
      </c>
    </row>
    <row r="9" spans="1:2" x14ac:dyDescent="0.3">
      <c r="A9" s="7" t="s">
        <v>2650</v>
      </c>
      <c r="B9" s="1">
        <v>165884.48999999996</v>
      </c>
    </row>
    <row r="10" spans="1:2" x14ac:dyDescent="0.3">
      <c r="A10" s="7" t="s">
        <v>2651</v>
      </c>
      <c r="B10" s="1">
        <v>153869.36999999991</v>
      </c>
    </row>
    <row r="11" spans="1:2" x14ac:dyDescent="0.3">
      <c r="A11" s="7" t="s">
        <v>2652</v>
      </c>
      <c r="B11" s="1">
        <v>129504.08</v>
      </c>
    </row>
    <row r="12" spans="1:2" x14ac:dyDescent="0.3">
      <c r="A12" s="7" t="s">
        <v>2653</v>
      </c>
      <c r="B12" s="1">
        <v>134371.55000000002</v>
      </c>
    </row>
    <row r="13" spans="1:2" x14ac:dyDescent="0.3">
      <c r="A13" s="7" t="s">
        <v>2654</v>
      </c>
      <c r="B13" s="1">
        <v>128736.33000000003</v>
      </c>
    </row>
    <row r="14" spans="1:2" x14ac:dyDescent="0.3">
      <c r="A14" s="7" t="s">
        <v>2655</v>
      </c>
      <c r="B14" s="1">
        <v>149043.36999999994</v>
      </c>
    </row>
    <row r="15" spans="1:2" x14ac:dyDescent="0.3">
      <c r="A15" s="7" t="s">
        <v>2656</v>
      </c>
      <c r="B15" s="1">
        <v>146272.18</v>
      </c>
    </row>
    <row r="16" spans="1:2" x14ac:dyDescent="0.3">
      <c r="A16" s="7" t="s">
        <v>2642</v>
      </c>
      <c r="B16" s="1">
        <v>2097611.2400000002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BD4DC-1386-4C1E-8FEE-2FD5ACCC00AB}">
  <dimension ref="A3:B6"/>
  <sheetViews>
    <sheetView tabSelected="1" workbookViewId="0">
      <selection activeCell="D19" sqref="D19"/>
    </sheetView>
  </sheetViews>
  <sheetFormatPr defaultRowHeight="14.4" x14ac:dyDescent="0.3"/>
  <cols>
    <col min="1" max="1" width="12.5546875" bestFit="1" customWidth="1"/>
    <col min="2" max="2" width="20.6640625" bestFit="1" customWidth="1"/>
  </cols>
  <sheetData>
    <row r="3" spans="1:2" x14ac:dyDescent="0.3">
      <c r="A3" s="5" t="s">
        <v>2641</v>
      </c>
      <c r="B3" t="s">
        <v>2657</v>
      </c>
    </row>
    <row r="4" spans="1:2" x14ac:dyDescent="0.3">
      <c r="A4" s="6" t="s">
        <v>2637</v>
      </c>
      <c r="B4" s="1">
        <v>1585</v>
      </c>
    </row>
    <row r="5" spans="1:2" x14ac:dyDescent="0.3">
      <c r="A5" s="6" t="s">
        <v>2638</v>
      </c>
      <c r="B5" s="1">
        <v>415</v>
      </c>
    </row>
    <row r="6" spans="1:2" x14ac:dyDescent="0.3">
      <c r="A6" s="6" t="s">
        <v>2642</v>
      </c>
      <c r="B6" s="1">
        <v>2000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7CA552-5E48-4E9D-9428-F24BB2ED7D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Orders</vt:lpstr>
      <vt:lpstr>Customers</vt:lpstr>
      <vt:lpstr>Products</vt:lpstr>
      <vt:lpstr>Returns</vt:lpstr>
      <vt:lpstr>Analysis</vt:lpstr>
      <vt:lpstr>Pivot_Region</vt:lpstr>
      <vt:lpstr>Pivot_Category</vt:lpstr>
      <vt:lpstr>Pivot_Monthly</vt:lpstr>
      <vt:lpstr>Pivot_Returns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2026-05-04T04:32:31Z</dcterms:created>
  <dcterms:modified xsi:type="dcterms:W3CDTF">2026-05-04T05:02:26Z</dcterms:modified>
</cp:coreProperties>
</file>